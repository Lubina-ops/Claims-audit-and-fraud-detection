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laimants" sheetId="2" state="visible" r:id="rId2"/>
    <sheet name="Summary (Claimants)" sheetId="3" state="visible" r:id="rId3"/>
    <sheet name="Disagree (Claimants)" sheetId="4" state="visible" r:id="rId4"/>
    <sheet name="Dealers" sheetId="5" state="visible" r:id="rId5"/>
    <sheet name="Summary (Dealers)" sheetId="6" state="visible" r:id="rId6"/>
    <sheet name="Disagree (Dealers)" sheetId="7" state="visible" r:id="rId7"/>
  </sheets>
  <definedNames>
    <definedName name="_xlnm._FilterDatabase" localSheetId="3" hidden="1">'Disagree (Claimants)'!$A$3:$G$266</definedName>
    <definedName name="_xlnm._FilterDatabase" localSheetId="6" hidden="1">'Disagree (Dealers)'!$A$3:$G$34</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4E78"/>
      <sz val="13"/>
    </font>
    <font>
      <name val="Arial"/>
      <i val="1"/>
      <color rgb="00666666"/>
      <sz val="9"/>
    </font>
    <font>
      <name val="Arial"/>
      <b val="1"/>
      <color rgb="00FFFFFF"/>
      <sz val="10"/>
    </font>
    <font>
      <name val="Arial"/>
      <sz val="10"/>
    </font>
    <font>
      <name val="Arial"/>
      <b val="1"/>
      <sz val="10"/>
    </font>
    <font>
      <name val="Arial"/>
      <b val="1"/>
      <color rgb="00C00000"/>
      <sz val="12"/>
    </font>
    <font>
      <name val="Arial"/>
      <b val="1"/>
      <color rgb="00BF9000"/>
      <sz val="13"/>
    </font>
    <font>
      <name val="Arial"/>
      <b val="1"/>
      <color rgb="001F4E78"/>
      <sz val="14"/>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8" fillId="0" borderId="0" pivotButton="0" quotePrefix="0" xfId="0"/>
    <xf numFmtId="0" fontId="4"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5" fillId="0" borderId="0" pivotButton="0" quotePrefix="0" xfId="0"/>
    <xf numFmtId="164" fontId="0"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vertical="center"/>
    </xf>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95" customWidth="1" min="1" max="1"/>
  </cols>
  <sheetData>
    <row r="1">
      <c r="A1" s="1" t="inlineStr">
        <is>
          <t>KM Claims - Step 4 vs Step 5 (REAL data, interactive)</t>
        </is>
      </c>
    </row>
    <row r="3">
      <c r="A3" s="2" t="inlineStr"/>
    </row>
    <row r="4">
      <c r="A4" s="2" t="inlineStr">
        <is>
          <t>Populated from your real step-4 and step-5 output files.</t>
        </is>
      </c>
    </row>
    <row r="5">
      <c r="A5" s="2" t="inlineStr"/>
    </row>
    <row r="6">
      <c r="A6" s="2" t="inlineStr">
        <is>
          <t>Sheets per entity: Ratings (editable) | Summary (live kappa) | Disagree (review list).</t>
        </is>
      </c>
    </row>
    <row r="7">
      <c r="A7" s="2" t="inlineStr"/>
    </row>
    <row r="8">
      <c r="A8" s="2" t="inlineStr">
        <is>
          <t>Edit a rating in a Ratings sheet and the matching Summary sheet updates live.</t>
        </is>
      </c>
    </row>
    <row r="9">
      <c r="A9" s="2" t="inlineStr"/>
    </row>
    <row r="10">
      <c r="A10" s="2" t="inlineStr">
        <is>
          <t xml:space="preserve">  Claimants: 1990 entities, 263 disagreements to review</t>
        </is>
      </c>
    </row>
    <row r="11">
      <c r="A11" s="2" t="inlineStr">
        <is>
          <t xml:space="preserve">  Dealers: 225 entities, 31 disagreements to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94"/>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9" customWidth="1" min="8" max="8"/>
  </cols>
  <sheetData>
    <row r="1">
      <c r="A1" s="3" t="inlineStr">
        <is>
          <t>Claimants - Step 4 vs Step 5 (editable)</t>
        </is>
      </c>
    </row>
    <row r="2">
      <c r="A2" s="4" t="inlineStr">
        <is>
          <t>Change the Step 4 / Step 5 columns; the Summary sheet updates live.</t>
        </is>
      </c>
    </row>
    <row r="4">
      <c r="A4" s="5" t="inlineStr">
        <is>
          <t>ClaimantName</t>
        </is>
      </c>
      <c r="B4" s="5" t="inlineStr">
        <is>
          <t>claim_count</t>
        </is>
      </c>
      <c r="C4" s="5" t="inlineStr">
        <is>
          <t>high_count</t>
        </is>
      </c>
      <c r="D4" s="5" t="inlineStr">
        <is>
          <t>raw_high_rate</t>
        </is>
      </c>
      <c r="E4" s="5" t="inlineStr">
        <is>
          <t>wilson_lower</t>
        </is>
      </c>
      <c r="F4" s="5" t="inlineStr">
        <is>
          <t>step4_level</t>
        </is>
      </c>
      <c r="G4" s="5" t="inlineStr">
        <is>
          <t>step5_level</t>
        </is>
      </c>
      <c r="H4" s="5" t="inlineStr">
        <is>
          <t>agree?</t>
        </is>
      </c>
    </row>
    <row r="5">
      <c r="A5" s="6" t="inlineStr">
        <is>
          <t>Aaron Bowman</t>
        </is>
      </c>
      <c r="B5" s="7" t="n">
        <v>3</v>
      </c>
      <c r="C5" s="7" t="n">
        <v>3</v>
      </c>
      <c r="D5" s="7" t="n">
        <v>1</v>
      </c>
      <c r="E5" s="7" t="n">
        <v>0.4385</v>
      </c>
      <c r="F5" s="8" t="inlineStr">
        <is>
          <t>High</t>
        </is>
      </c>
      <c r="G5" s="8" t="inlineStr">
        <is>
          <t>High</t>
        </is>
      </c>
      <c r="H5">
        <f>IF(F5=G5,"YES","NO")</f>
        <v/>
      </c>
    </row>
    <row r="6">
      <c r="A6" s="6" t="inlineStr">
        <is>
          <t>Aaron Piper</t>
        </is>
      </c>
      <c r="B6" s="7" t="n">
        <v>33</v>
      </c>
      <c r="C6" s="7" t="n">
        <v>8</v>
      </c>
      <c r="D6" s="7" t="n">
        <v>0.2424</v>
      </c>
      <c r="E6" s="7" t="n">
        <v>0.1283</v>
      </c>
      <c r="F6" s="8" t="inlineStr">
        <is>
          <t>High</t>
        </is>
      </c>
      <c r="G6" s="8" t="inlineStr">
        <is>
          <t>High</t>
        </is>
      </c>
      <c r="H6">
        <f>IF(F6=G6,"YES","NO")</f>
        <v/>
      </c>
    </row>
    <row r="7">
      <c r="A7" s="6" t="inlineStr">
        <is>
          <t>Adam Allen</t>
        </is>
      </c>
      <c r="B7" s="7" t="n">
        <v>285</v>
      </c>
      <c r="C7" s="7" t="n">
        <v>81</v>
      </c>
      <c r="D7" s="7" t="n">
        <v>0.2842</v>
      </c>
      <c r="E7" s="7" t="n">
        <v>0.235</v>
      </c>
      <c r="F7" s="8" t="inlineStr">
        <is>
          <t>High</t>
        </is>
      </c>
      <c r="G7" s="8" t="inlineStr">
        <is>
          <t>Low</t>
        </is>
      </c>
      <c r="H7">
        <f>IF(F7=G7,"YES","NO")</f>
        <v/>
      </c>
    </row>
    <row r="8">
      <c r="A8" s="6" t="inlineStr">
        <is>
          <t>Adam Jack</t>
        </is>
      </c>
      <c r="B8" s="7" t="n">
        <v>532</v>
      </c>
      <c r="C8" s="7" t="n">
        <v>113</v>
      </c>
      <c r="D8" s="7" t="n">
        <v>0.2124</v>
      </c>
      <c r="E8" s="7" t="n">
        <v>0.1798</v>
      </c>
      <c r="F8" s="8" t="inlineStr">
        <is>
          <t>High</t>
        </is>
      </c>
      <c r="G8" s="8" t="inlineStr">
        <is>
          <t>High</t>
        </is>
      </c>
      <c r="H8">
        <f>IF(F8=G8,"YES","NO")</f>
        <v/>
      </c>
    </row>
    <row r="9">
      <c r="A9" s="6" t="inlineStr">
        <is>
          <t>Alan Walker</t>
        </is>
      </c>
      <c r="B9" s="7" t="n">
        <v>83</v>
      </c>
      <c r="C9" s="7" t="n">
        <v>19</v>
      </c>
      <c r="D9" s="7" t="n">
        <v>0.2289</v>
      </c>
      <c r="E9" s="7" t="n">
        <v>0.1517</v>
      </c>
      <c r="F9" s="8" t="inlineStr">
        <is>
          <t>High</t>
        </is>
      </c>
      <c r="G9" s="8" t="inlineStr">
        <is>
          <t>High</t>
        </is>
      </c>
      <c r="H9">
        <f>IF(F9=G9,"YES","NO")</f>
        <v/>
      </c>
    </row>
    <row r="10">
      <c r="A10" s="6" t="inlineStr">
        <is>
          <t>Alec Houser</t>
        </is>
      </c>
      <c r="B10" s="7" t="n">
        <v>716</v>
      </c>
      <c r="C10" s="7" t="n">
        <v>107</v>
      </c>
      <c r="D10" s="7" t="n">
        <v>0.1494</v>
      </c>
      <c r="E10" s="7" t="n">
        <v>0.1252</v>
      </c>
      <c r="F10" s="8" t="inlineStr">
        <is>
          <t>High</t>
        </is>
      </c>
      <c r="G10" s="8" t="inlineStr">
        <is>
          <t>Low</t>
        </is>
      </c>
      <c r="H10">
        <f>IF(F10=G10,"YES","NO")</f>
        <v/>
      </c>
    </row>
    <row r="11">
      <c r="A11" s="6" t="inlineStr">
        <is>
          <t>Alex McClung</t>
        </is>
      </c>
      <c r="B11" s="7" t="n">
        <v>4</v>
      </c>
      <c r="C11" s="7" t="n">
        <v>3</v>
      </c>
      <c r="D11" s="7" t="n">
        <v>0.75</v>
      </c>
      <c r="E11" s="7" t="n">
        <v>0.3006</v>
      </c>
      <c r="F11" s="8" t="inlineStr">
        <is>
          <t>High</t>
        </is>
      </c>
      <c r="G11" s="8" t="inlineStr">
        <is>
          <t>Medium</t>
        </is>
      </c>
      <c r="H11">
        <f>IF(F11=G11,"YES","NO")</f>
        <v/>
      </c>
    </row>
    <row r="12">
      <c r="A12" s="6" t="inlineStr">
        <is>
          <t>Alex Smagala</t>
        </is>
      </c>
      <c r="B12" s="7" t="n">
        <v>377</v>
      </c>
      <c r="C12" s="7" t="n">
        <v>231</v>
      </c>
      <c r="D12" s="7" t="n">
        <v>0.6127</v>
      </c>
      <c r="E12" s="7" t="n">
        <v>0.5627</v>
      </c>
      <c r="F12" s="8" t="inlineStr">
        <is>
          <t>High</t>
        </is>
      </c>
      <c r="G12" s="8" t="inlineStr">
        <is>
          <t>High</t>
        </is>
      </c>
      <c r="H12">
        <f>IF(F12=G12,"YES","NO")</f>
        <v/>
      </c>
    </row>
    <row r="13">
      <c r="A13" s="6" t="inlineStr">
        <is>
          <t>Allie Reece</t>
        </is>
      </c>
      <c r="B13" s="7" t="n">
        <v>1</v>
      </c>
      <c r="C13" s="7" t="n">
        <v>1</v>
      </c>
      <c r="D13" s="7" t="n">
        <v>1</v>
      </c>
      <c r="E13" s="7" t="n">
        <v>0.2065</v>
      </c>
      <c r="F13" s="8" t="inlineStr">
        <is>
          <t>High</t>
        </is>
      </c>
      <c r="G13" s="8" t="inlineStr">
        <is>
          <t>Low</t>
        </is>
      </c>
      <c r="H13">
        <f>IF(F13=G13,"YES","NO")</f>
        <v/>
      </c>
    </row>
    <row r="14">
      <c r="A14" s="6" t="inlineStr">
        <is>
          <t>Alyssa Cline</t>
        </is>
      </c>
      <c r="B14" s="7" t="n">
        <v>105</v>
      </c>
      <c r="C14" s="7" t="n">
        <v>73</v>
      </c>
      <c r="D14" s="7" t="n">
        <v>0.6952</v>
      </c>
      <c r="E14" s="7" t="n">
        <v>0.6016</v>
      </c>
      <c r="F14" s="8" t="inlineStr">
        <is>
          <t>High</t>
        </is>
      </c>
      <c r="G14" s="8" t="inlineStr">
        <is>
          <t>High</t>
        </is>
      </c>
      <c r="H14">
        <f>IF(F14=G14,"YES","NO")</f>
        <v/>
      </c>
    </row>
    <row r="15">
      <c r="A15" s="6" t="inlineStr">
        <is>
          <t>Amy Echols</t>
        </is>
      </c>
      <c r="B15" s="7" t="n">
        <v>11</v>
      </c>
      <c r="C15" s="7" t="n">
        <v>7</v>
      </c>
      <c r="D15" s="7" t="n">
        <v>0.6364</v>
      </c>
      <c r="E15" s="7" t="n">
        <v>0.3538</v>
      </c>
      <c r="F15" s="8" t="inlineStr">
        <is>
          <t>High</t>
        </is>
      </c>
      <c r="G15" s="8" t="inlineStr">
        <is>
          <t>High</t>
        </is>
      </c>
      <c r="H15">
        <f>IF(F15=G15,"YES","NO")</f>
        <v/>
      </c>
    </row>
    <row r="16">
      <c r="A16" s="6" t="inlineStr">
        <is>
          <t>Amy Lagaras</t>
        </is>
      </c>
      <c r="B16" s="7" t="n">
        <v>36</v>
      </c>
      <c r="C16" s="7" t="n">
        <v>15</v>
      </c>
      <c r="D16" s="7" t="n">
        <v>0.4167</v>
      </c>
      <c r="E16" s="7" t="n">
        <v>0.2714</v>
      </c>
      <c r="F16" s="8" t="inlineStr">
        <is>
          <t>High</t>
        </is>
      </c>
      <c r="G16" s="8" t="inlineStr">
        <is>
          <t>High</t>
        </is>
      </c>
      <c r="H16">
        <f>IF(F16=G16,"YES","NO")</f>
        <v/>
      </c>
    </row>
    <row r="17">
      <c r="A17" s="6" t="inlineStr">
        <is>
          <t>Andre Stone</t>
        </is>
      </c>
      <c r="B17" s="7" t="n">
        <v>2</v>
      </c>
      <c r="C17" s="7" t="n">
        <v>2</v>
      </c>
      <c r="D17" s="7" t="n">
        <v>1</v>
      </c>
      <c r="E17" s="7" t="n">
        <v>0.3424</v>
      </c>
      <c r="F17" s="8" t="inlineStr">
        <is>
          <t>High</t>
        </is>
      </c>
      <c r="G17" s="8" t="inlineStr">
        <is>
          <t>Medium</t>
        </is>
      </c>
      <c r="H17">
        <f>IF(F17=G17,"YES","NO")</f>
        <v/>
      </c>
    </row>
    <row r="18">
      <c r="A18" s="6" t="inlineStr">
        <is>
          <t>Andrew Bass</t>
        </is>
      </c>
      <c r="B18" s="7" t="n">
        <v>36</v>
      </c>
      <c r="C18" s="7" t="n">
        <v>13</v>
      </c>
      <c r="D18" s="7" t="n">
        <v>0.3611</v>
      </c>
      <c r="E18" s="7" t="n">
        <v>0.2248</v>
      </c>
      <c r="F18" s="8" t="inlineStr">
        <is>
          <t>High</t>
        </is>
      </c>
      <c r="G18" s="8" t="inlineStr">
        <is>
          <t>High</t>
        </is>
      </c>
      <c r="H18">
        <f>IF(F18=G18,"YES","NO")</f>
        <v/>
      </c>
    </row>
    <row r="19">
      <c r="A19" s="6" t="inlineStr">
        <is>
          <t>Andrew Wheelan</t>
        </is>
      </c>
      <c r="B19" s="7" t="n">
        <v>1</v>
      </c>
      <c r="C19" s="7" t="n">
        <v>1</v>
      </c>
      <c r="D19" s="7" t="n">
        <v>1</v>
      </c>
      <c r="E19" s="7" t="n">
        <v>0.2065</v>
      </c>
      <c r="F19" s="8" t="inlineStr">
        <is>
          <t>High</t>
        </is>
      </c>
      <c r="G19" s="8" t="inlineStr">
        <is>
          <t>High</t>
        </is>
      </c>
      <c r="H19">
        <f>IF(F19=G19,"YES","NO")</f>
        <v/>
      </c>
    </row>
    <row r="20">
      <c r="A20" s="6" t="inlineStr">
        <is>
          <t>Andy Rutledge</t>
        </is>
      </c>
      <c r="B20" s="7" t="n">
        <v>20</v>
      </c>
      <c r="C20" s="7" t="n">
        <v>8</v>
      </c>
      <c r="D20" s="7" t="n">
        <v>0.4</v>
      </c>
      <c r="E20" s="7" t="n">
        <v>0.2188</v>
      </c>
      <c r="F20" s="8" t="inlineStr">
        <is>
          <t>High</t>
        </is>
      </c>
      <c r="G20" s="8" t="inlineStr">
        <is>
          <t>High</t>
        </is>
      </c>
      <c r="H20">
        <f>IF(F20=G20,"YES","NO")</f>
        <v/>
      </c>
    </row>
    <row r="21">
      <c r="A21" s="6" t="inlineStr">
        <is>
          <t>Anthony Gambrel</t>
        </is>
      </c>
      <c r="B21" s="7" t="n">
        <v>1</v>
      </c>
      <c r="C21" s="7" t="n">
        <v>1</v>
      </c>
      <c r="D21" s="7" t="n">
        <v>1</v>
      </c>
      <c r="E21" s="7" t="n">
        <v>0.2065</v>
      </c>
      <c r="F21" s="8" t="inlineStr">
        <is>
          <t>High</t>
        </is>
      </c>
      <c r="G21" s="8" t="inlineStr">
        <is>
          <t>High</t>
        </is>
      </c>
      <c r="H21">
        <f>IF(F21=G21,"YES","NO")</f>
        <v/>
      </c>
    </row>
    <row r="22">
      <c r="A22" s="6" t="inlineStr">
        <is>
          <t>Ariana Nino</t>
        </is>
      </c>
      <c r="B22" s="7" t="n">
        <v>10</v>
      </c>
      <c r="C22" s="7" t="n">
        <v>6</v>
      </c>
      <c r="D22" s="7" t="n">
        <v>0.6</v>
      </c>
      <c r="E22" s="7" t="n">
        <v>0.3127</v>
      </c>
      <c r="F22" s="8" t="inlineStr">
        <is>
          <t>High</t>
        </is>
      </c>
      <c r="G22" s="8" t="inlineStr">
        <is>
          <t>Low</t>
        </is>
      </c>
      <c r="H22">
        <f>IF(F22=G22,"YES","NO")</f>
        <v/>
      </c>
    </row>
    <row r="23">
      <c r="A23" s="6" t="inlineStr">
        <is>
          <t>Ashlee Skoruppa</t>
        </is>
      </c>
      <c r="B23" s="7" t="n">
        <v>3</v>
      </c>
      <c r="C23" s="7" t="n">
        <v>2</v>
      </c>
      <c r="D23" s="7" t="n">
        <v>0.6667</v>
      </c>
      <c r="E23" s="7" t="n">
        <v>0.2077</v>
      </c>
      <c r="F23" s="8" t="inlineStr">
        <is>
          <t>High</t>
        </is>
      </c>
      <c r="G23" s="8" t="inlineStr">
        <is>
          <t>High</t>
        </is>
      </c>
      <c r="H23">
        <f>IF(F23=G23,"YES","NO")</f>
        <v/>
      </c>
    </row>
    <row r="24">
      <c r="A24" s="6" t="inlineStr">
        <is>
          <t>Ashley Medina</t>
        </is>
      </c>
      <c r="B24" s="7" t="n">
        <v>6</v>
      </c>
      <c r="C24" s="7" t="n">
        <v>3</v>
      </c>
      <c r="D24" s="7" t="n">
        <v>0.5</v>
      </c>
      <c r="E24" s="7" t="n">
        <v>0.1876</v>
      </c>
      <c r="F24" s="8" t="inlineStr">
        <is>
          <t>High</t>
        </is>
      </c>
      <c r="G24" s="8" t="inlineStr">
        <is>
          <t>High</t>
        </is>
      </c>
      <c r="H24">
        <f>IF(F24=G24,"YES","NO")</f>
        <v/>
      </c>
    </row>
    <row r="25">
      <c r="A25" s="6" t="inlineStr">
        <is>
          <t>Audrey Simich</t>
        </is>
      </c>
      <c r="B25" s="7" t="n">
        <v>6</v>
      </c>
      <c r="C25" s="7" t="n">
        <v>6</v>
      </c>
      <c r="D25" s="7" t="n">
        <v>1</v>
      </c>
      <c r="E25" s="7" t="n">
        <v>0.6097</v>
      </c>
      <c r="F25" s="8" t="inlineStr">
        <is>
          <t>High</t>
        </is>
      </c>
      <c r="G25" s="8" t="inlineStr">
        <is>
          <t>High</t>
        </is>
      </c>
      <c r="H25">
        <f>IF(F25=G25,"YES","NO")</f>
        <v/>
      </c>
    </row>
    <row r="26">
      <c r="A26" s="6" t="inlineStr">
        <is>
          <t>Austin  Hackett</t>
        </is>
      </c>
      <c r="B26" s="7" t="n">
        <v>104</v>
      </c>
      <c r="C26" s="7" t="n">
        <v>57</v>
      </c>
      <c r="D26" s="7" t="n">
        <v>0.5481</v>
      </c>
      <c r="E26" s="7" t="n">
        <v>0.4524</v>
      </c>
      <c r="F26" s="8" t="inlineStr">
        <is>
          <t>High</t>
        </is>
      </c>
      <c r="G26" s="8" t="inlineStr">
        <is>
          <t>High</t>
        </is>
      </c>
      <c r="H26">
        <f>IF(F26=G26,"YES","NO")</f>
        <v/>
      </c>
    </row>
    <row r="27">
      <c r="A27" s="6" t="inlineStr">
        <is>
          <t>Azhmaliyyih Teal</t>
        </is>
      </c>
      <c r="B27" s="7" t="n">
        <v>15</v>
      </c>
      <c r="C27" s="7" t="n">
        <v>15</v>
      </c>
      <c r="D27" s="7" t="n">
        <v>1</v>
      </c>
      <c r="E27" s="7" t="n">
        <v>0.7961</v>
      </c>
      <c r="F27" s="8" t="inlineStr">
        <is>
          <t>High</t>
        </is>
      </c>
      <c r="G27" s="8" t="inlineStr">
        <is>
          <t>High</t>
        </is>
      </c>
      <c r="H27">
        <f>IF(F27=G27,"YES","NO")</f>
        <v/>
      </c>
    </row>
    <row r="28">
      <c r="A28" s="6" t="inlineStr">
        <is>
          <t>Azzia MacDonald</t>
        </is>
      </c>
      <c r="B28" s="7" t="n">
        <v>13</v>
      </c>
      <c r="C28" s="7" t="n">
        <v>5</v>
      </c>
      <c r="D28" s="7" t="n">
        <v>0.3846</v>
      </c>
      <c r="E28" s="7" t="n">
        <v>0.1771</v>
      </c>
      <c r="F28" s="8" t="inlineStr">
        <is>
          <t>High</t>
        </is>
      </c>
      <c r="G28" s="8" t="inlineStr">
        <is>
          <t>High</t>
        </is>
      </c>
      <c r="H28">
        <f>IF(F28=G28,"YES","NO")</f>
        <v/>
      </c>
    </row>
    <row r="29">
      <c r="A29" s="6" t="inlineStr">
        <is>
          <t>Ben Philpot</t>
        </is>
      </c>
      <c r="B29" s="7" t="n">
        <v>63</v>
      </c>
      <c r="C29" s="7" t="n">
        <v>16</v>
      </c>
      <c r="D29" s="7" t="n">
        <v>0.254</v>
      </c>
      <c r="E29" s="7" t="n">
        <v>0.1628</v>
      </c>
      <c r="F29" s="8" t="inlineStr">
        <is>
          <t>High</t>
        </is>
      </c>
      <c r="G29" s="8" t="inlineStr">
        <is>
          <t>High</t>
        </is>
      </c>
      <c r="H29">
        <f>IF(F29=G29,"YES","NO")</f>
        <v/>
      </c>
    </row>
    <row r="30">
      <c r="A30" s="6" t="inlineStr">
        <is>
          <t>Bill Lockie</t>
        </is>
      </c>
      <c r="B30" s="7" t="n">
        <v>137</v>
      </c>
      <c r="C30" s="7" t="n">
        <v>33</v>
      </c>
      <c r="D30" s="7" t="n">
        <v>0.2409</v>
      </c>
      <c r="E30" s="7" t="n">
        <v>0.177</v>
      </c>
      <c r="F30" s="8" t="inlineStr">
        <is>
          <t>High</t>
        </is>
      </c>
      <c r="G30" s="8" t="inlineStr">
        <is>
          <t>High</t>
        </is>
      </c>
      <c r="H30">
        <f>IF(F30=G30,"YES","NO")</f>
        <v/>
      </c>
    </row>
    <row r="31">
      <c r="A31" s="6" t="inlineStr">
        <is>
          <t>Bo Turbeville</t>
        </is>
      </c>
      <c r="B31" s="7" t="n">
        <v>12</v>
      </c>
      <c r="C31" s="7" t="n">
        <v>9</v>
      </c>
      <c r="D31" s="7" t="n">
        <v>0.75</v>
      </c>
      <c r="E31" s="7" t="n">
        <v>0.4677</v>
      </c>
      <c r="F31" s="8" t="inlineStr">
        <is>
          <t>High</t>
        </is>
      </c>
      <c r="G31" s="8" t="inlineStr">
        <is>
          <t>Medium</t>
        </is>
      </c>
      <c r="H31">
        <f>IF(F31=G31,"YES","NO")</f>
        <v/>
      </c>
    </row>
    <row r="32">
      <c r="A32" s="6" t="inlineStr">
        <is>
          <t>Bob  Murphy</t>
        </is>
      </c>
      <c r="B32" s="7" t="n">
        <v>36</v>
      </c>
      <c r="C32" s="7" t="n">
        <v>12</v>
      </c>
      <c r="D32" s="7" t="n">
        <v>0.3333</v>
      </c>
      <c r="E32" s="7" t="n">
        <v>0.2021</v>
      </c>
      <c r="F32" s="8" t="inlineStr">
        <is>
          <t>High</t>
        </is>
      </c>
      <c r="G32" s="8" t="inlineStr">
        <is>
          <t>Low</t>
        </is>
      </c>
      <c r="H32">
        <f>IF(F32=G32,"YES","NO")</f>
        <v/>
      </c>
    </row>
    <row r="33">
      <c r="A33" s="6" t="inlineStr">
        <is>
          <t>Bob McGowan</t>
        </is>
      </c>
      <c r="B33" s="7" t="n">
        <v>37</v>
      </c>
      <c r="C33" s="7" t="n">
        <v>9</v>
      </c>
      <c r="D33" s="7" t="n">
        <v>0.2432</v>
      </c>
      <c r="E33" s="7" t="n">
        <v>0.1336</v>
      </c>
      <c r="F33" s="8" t="inlineStr">
        <is>
          <t>High</t>
        </is>
      </c>
      <c r="G33" s="8" t="inlineStr">
        <is>
          <t>Low</t>
        </is>
      </c>
      <c r="H33">
        <f>IF(F33=G33,"YES","NO")</f>
        <v/>
      </c>
    </row>
    <row r="34">
      <c r="A34" s="6" t="inlineStr">
        <is>
          <t>Brad Gerber</t>
        </is>
      </c>
      <c r="B34" s="7" t="n">
        <v>77</v>
      </c>
      <c r="C34" s="7" t="n">
        <v>20</v>
      </c>
      <c r="D34" s="7" t="n">
        <v>0.2597</v>
      </c>
      <c r="E34" s="7" t="n">
        <v>0.1749</v>
      </c>
      <c r="F34" s="8" t="inlineStr">
        <is>
          <t>High</t>
        </is>
      </c>
      <c r="G34" s="8" t="inlineStr">
        <is>
          <t>Low</t>
        </is>
      </c>
      <c r="H34">
        <f>IF(F34=G34,"YES","NO")</f>
        <v/>
      </c>
    </row>
    <row r="35">
      <c r="A35" s="6" t="inlineStr">
        <is>
          <t>Bradley Baker</t>
        </is>
      </c>
      <c r="B35" s="7" t="n">
        <v>345</v>
      </c>
      <c r="C35" s="7" t="n">
        <v>165</v>
      </c>
      <c r="D35" s="7" t="n">
        <v>0.4783</v>
      </c>
      <c r="E35" s="7" t="n">
        <v>0.4261</v>
      </c>
      <c r="F35" s="8" t="inlineStr">
        <is>
          <t>High</t>
        </is>
      </c>
      <c r="G35" s="8" t="inlineStr">
        <is>
          <t>High</t>
        </is>
      </c>
      <c r="H35">
        <f>IF(F35=G35,"YES","NO")</f>
        <v/>
      </c>
    </row>
    <row r="36">
      <c r="A36" s="6" t="inlineStr">
        <is>
          <t>Brady Wells</t>
        </is>
      </c>
      <c r="B36" s="7" t="n">
        <v>61</v>
      </c>
      <c r="C36" s="7" t="n">
        <v>18</v>
      </c>
      <c r="D36" s="7" t="n">
        <v>0.2951</v>
      </c>
      <c r="E36" s="7" t="n">
        <v>0.1955</v>
      </c>
      <c r="F36" s="8" t="inlineStr">
        <is>
          <t>High</t>
        </is>
      </c>
      <c r="G36" s="8" t="inlineStr">
        <is>
          <t>High</t>
        </is>
      </c>
      <c r="H36">
        <f>IF(F36=G36,"YES","NO")</f>
        <v/>
      </c>
    </row>
    <row r="37">
      <c r="A37" s="6" t="inlineStr">
        <is>
          <t>Brandon Fisher</t>
        </is>
      </c>
      <c r="B37" s="7" t="n">
        <v>96</v>
      </c>
      <c r="C37" s="7" t="n">
        <v>45</v>
      </c>
      <c r="D37" s="7" t="n">
        <v>0.4688</v>
      </c>
      <c r="E37" s="7" t="n">
        <v>0.3721</v>
      </c>
      <c r="F37" s="8" t="inlineStr">
        <is>
          <t>High</t>
        </is>
      </c>
      <c r="G37" s="8" t="inlineStr">
        <is>
          <t>High</t>
        </is>
      </c>
      <c r="H37">
        <f>IF(F37=G37,"YES","NO")</f>
        <v/>
      </c>
    </row>
    <row r="38">
      <c r="A38" s="6" t="inlineStr">
        <is>
          <t>Brandon Vallier</t>
        </is>
      </c>
      <c r="B38" s="7" t="n">
        <v>256</v>
      </c>
      <c r="C38" s="7" t="n">
        <v>42</v>
      </c>
      <c r="D38" s="7" t="n">
        <v>0.1641</v>
      </c>
      <c r="E38" s="7" t="n">
        <v>0.1237</v>
      </c>
      <c r="F38" s="8" t="inlineStr">
        <is>
          <t>High</t>
        </is>
      </c>
      <c r="G38" s="8" t="inlineStr">
        <is>
          <t>High</t>
        </is>
      </c>
      <c r="H38">
        <f>IF(F38=G38,"YES","NO")</f>
        <v/>
      </c>
    </row>
    <row r="39">
      <c r="A39" s="6" t="inlineStr">
        <is>
          <t>Brecken Sickles</t>
        </is>
      </c>
      <c r="B39" s="7" t="n">
        <v>380</v>
      </c>
      <c r="C39" s="7" t="n">
        <v>210</v>
      </c>
      <c r="D39" s="7" t="n">
        <v>0.5526</v>
      </c>
      <c r="E39" s="7" t="n">
        <v>0.5024</v>
      </c>
      <c r="F39" s="8" t="inlineStr">
        <is>
          <t>High</t>
        </is>
      </c>
      <c r="G39" s="8" t="inlineStr">
        <is>
          <t>High</t>
        </is>
      </c>
      <c r="H39">
        <f>IF(F39=G39,"YES","NO")</f>
        <v/>
      </c>
    </row>
    <row r="40">
      <c r="A40" s="6" t="inlineStr">
        <is>
          <t>Brenda Wall</t>
        </is>
      </c>
      <c r="B40" s="7" t="n">
        <v>4</v>
      </c>
      <c r="C40" s="7" t="n">
        <v>2</v>
      </c>
      <c r="D40" s="7" t="n">
        <v>0.5</v>
      </c>
      <c r="E40" s="7" t="n">
        <v>0.15</v>
      </c>
      <c r="F40" s="8" t="inlineStr">
        <is>
          <t>High</t>
        </is>
      </c>
      <c r="G40" s="8" t="inlineStr">
        <is>
          <t>Medium</t>
        </is>
      </c>
      <c r="H40">
        <f>IF(F40=G40,"YES","NO")</f>
        <v/>
      </c>
    </row>
    <row r="41">
      <c r="A41" s="6" t="inlineStr">
        <is>
          <t>Brent  West</t>
        </is>
      </c>
      <c r="B41" s="7" t="n">
        <v>3</v>
      </c>
      <c r="C41" s="7" t="n">
        <v>2</v>
      </c>
      <c r="D41" s="7" t="n">
        <v>0.6667</v>
      </c>
      <c r="E41" s="7" t="n">
        <v>0.2077</v>
      </c>
      <c r="F41" s="8" t="inlineStr">
        <is>
          <t>High</t>
        </is>
      </c>
      <c r="G41" s="8" t="inlineStr">
        <is>
          <t>High</t>
        </is>
      </c>
      <c r="H41">
        <f>IF(F41=G41,"YES","NO")</f>
        <v/>
      </c>
    </row>
    <row r="42">
      <c r="A42" s="6" t="inlineStr">
        <is>
          <t>Brett Herner</t>
        </is>
      </c>
      <c r="B42" s="7" t="n">
        <v>548</v>
      </c>
      <c r="C42" s="7" t="n">
        <v>178</v>
      </c>
      <c r="D42" s="7" t="n">
        <v>0.3248</v>
      </c>
      <c r="E42" s="7" t="n">
        <v>0.2869</v>
      </c>
      <c r="F42" s="8" t="inlineStr">
        <is>
          <t>High</t>
        </is>
      </c>
      <c r="G42" s="8" t="inlineStr">
        <is>
          <t>High</t>
        </is>
      </c>
      <c r="H42">
        <f>IF(F42=G42,"YES","NO")</f>
        <v/>
      </c>
    </row>
    <row r="43">
      <c r="A43" s="6" t="inlineStr">
        <is>
          <t>Brian Baumann</t>
        </is>
      </c>
      <c r="B43" s="7" t="n">
        <v>14</v>
      </c>
      <c r="C43" s="7" t="n">
        <v>13</v>
      </c>
      <c r="D43" s="7" t="n">
        <v>0.9286</v>
      </c>
      <c r="E43" s="7" t="n">
        <v>0.6853</v>
      </c>
      <c r="F43" s="8" t="inlineStr">
        <is>
          <t>High</t>
        </is>
      </c>
      <c r="G43" s="8" t="inlineStr">
        <is>
          <t>High</t>
        </is>
      </c>
      <c r="H43">
        <f>IF(F43=G43,"YES","NO")</f>
        <v/>
      </c>
    </row>
    <row r="44">
      <c r="A44" s="6" t="inlineStr">
        <is>
          <t>Brode Albrecht</t>
        </is>
      </c>
      <c r="B44" s="7" t="n">
        <v>404</v>
      </c>
      <c r="C44" s="7" t="n">
        <v>154</v>
      </c>
      <c r="D44" s="7" t="n">
        <v>0.3812</v>
      </c>
      <c r="E44" s="7" t="n">
        <v>0.3352</v>
      </c>
      <c r="F44" s="8" t="inlineStr">
        <is>
          <t>High</t>
        </is>
      </c>
      <c r="G44" s="8" t="inlineStr">
        <is>
          <t>High</t>
        </is>
      </c>
      <c r="H44">
        <f>IF(F44=G44,"YES","NO")</f>
        <v/>
      </c>
    </row>
    <row r="45">
      <c r="A45" s="6" t="inlineStr">
        <is>
          <t>Bryan Mueller</t>
        </is>
      </c>
      <c r="B45" s="7" t="n">
        <v>25</v>
      </c>
      <c r="C45" s="7" t="n">
        <v>13</v>
      </c>
      <c r="D45" s="7" t="n">
        <v>0.52</v>
      </c>
      <c r="E45" s="7" t="n">
        <v>0.335</v>
      </c>
      <c r="F45" s="8" t="inlineStr">
        <is>
          <t>High</t>
        </is>
      </c>
      <c r="G45" s="8" t="inlineStr">
        <is>
          <t>High</t>
        </is>
      </c>
      <c r="H45">
        <f>IF(F45=G45,"YES","NO")</f>
        <v/>
      </c>
    </row>
    <row r="46">
      <c r="A46" s="6" t="inlineStr">
        <is>
          <t>Carl Dunaway</t>
        </is>
      </c>
      <c r="B46" s="7" t="n">
        <v>12</v>
      </c>
      <c r="C46" s="7" t="n">
        <v>4</v>
      </c>
      <c r="D46" s="7" t="n">
        <v>0.3333</v>
      </c>
      <c r="E46" s="7" t="n">
        <v>0.1381</v>
      </c>
      <c r="F46" s="8" t="inlineStr">
        <is>
          <t>High</t>
        </is>
      </c>
      <c r="G46" s="8" t="inlineStr">
        <is>
          <t>Medium</t>
        </is>
      </c>
      <c r="H46">
        <f>IF(F46=G46,"YES","NO")</f>
        <v/>
      </c>
    </row>
    <row r="47">
      <c r="A47" s="6" t="inlineStr">
        <is>
          <t>Carrie Boulay</t>
        </is>
      </c>
      <c r="B47" s="7" t="n">
        <v>247</v>
      </c>
      <c r="C47" s="7" t="n">
        <v>107</v>
      </c>
      <c r="D47" s="7" t="n">
        <v>0.4332</v>
      </c>
      <c r="E47" s="7" t="n">
        <v>0.3729</v>
      </c>
      <c r="F47" s="8" t="inlineStr">
        <is>
          <t>High</t>
        </is>
      </c>
      <c r="G47" s="8" t="inlineStr">
        <is>
          <t>Low</t>
        </is>
      </c>
      <c r="H47">
        <f>IF(F47=G47,"YES","NO")</f>
        <v/>
      </c>
    </row>
    <row r="48">
      <c r="A48" s="6" t="inlineStr">
        <is>
          <t>Chris Adams</t>
        </is>
      </c>
      <c r="B48" s="7" t="n">
        <v>67</v>
      </c>
      <c r="C48" s="7" t="n">
        <v>18</v>
      </c>
      <c r="D48" s="7" t="n">
        <v>0.2687</v>
      </c>
      <c r="E48" s="7" t="n">
        <v>0.1772</v>
      </c>
      <c r="F48" s="8" t="inlineStr">
        <is>
          <t>High</t>
        </is>
      </c>
      <c r="G48" s="8" t="inlineStr">
        <is>
          <t>High</t>
        </is>
      </c>
      <c r="H48">
        <f>IF(F48=G48,"YES","NO")</f>
        <v/>
      </c>
    </row>
    <row r="49">
      <c r="A49" s="6" t="inlineStr">
        <is>
          <t>Chris Kuhl</t>
        </is>
      </c>
      <c r="B49" s="7" t="n">
        <v>1</v>
      </c>
      <c r="C49" s="7" t="n">
        <v>1</v>
      </c>
      <c r="D49" s="7" t="n">
        <v>1</v>
      </c>
      <c r="E49" s="7" t="n">
        <v>0.2065</v>
      </c>
      <c r="F49" s="8" t="inlineStr">
        <is>
          <t>High</t>
        </is>
      </c>
      <c r="G49" s="8" t="inlineStr">
        <is>
          <t>High</t>
        </is>
      </c>
      <c r="H49">
        <f>IF(F49=G49,"YES","NO")</f>
        <v/>
      </c>
    </row>
    <row r="50">
      <c r="A50" s="6" t="inlineStr">
        <is>
          <t>Chris Meunier</t>
        </is>
      </c>
      <c r="B50" s="7" t="n">
        <v>65</v>
      </c>
      <c r="C50" s="7" t="n">
        <v>29</v>
      </c>
      <c r="D50" s="7" t="n">
        <v>0.4462</v>
      </c>
      <c r="E50" s="7" t="n">
        <v>0.3317</v>
      </c>
      <c r="F50" s="8" t="inlineStr">
        <is>
          <t>High</t>
        </is>
      </c>
      <c r="G50" s="8" t="inlineStr">
        <is>
          <t>Low</t>
        </is>
      </c>
      <c r="H50">
        <f>IF(F50=G50,"YES","NO")</f>
        <v/>
      </c>
    </row>
    <row r="51">
      <c r="A51" s="6" t="inlineStr">
        <is>
          <t>Chris Stewart</t>
        </is>
      </c>
      <c r="B51" s="7" t="n">
        <v>374</v>
      </c>
      <c r="C51" s="7" t="n">
        <v>118</v>
      </c>
      <c r="D51" s="7" t="n">
        <v>0.3155</v>
      </c>
      <c r="E51" s="7" t="n">
        <v>0.2705</v>
      </c>
      <c r="F51" s="8" t="inlineStr">
        <is>
          <t>High</t>
        </is>
      </c>
      <c r="G51" s="8" t="inlineStr">
        <is>
          <t>High</t>
        </is>
      </c>
      <c r="H51">
        <f>IF(F51=G51,"YES","NO")</f>
        <v/>
      </c>
    </row>
    <row r="52">
      <c r="A52" s="6" t="inlineStr">
        <is>
          <t>Claude Helmke</t>
        </is>
      </c>
      <c r="B52" s="7" t="n">
        <v>41</v>
      </c>
      <c r="C52" s="7" t="n">
        <v>13</v>
      </c>
      <c r="D52" s="7" t="n">
        <v>0.3171</v>
      </c>
      <c r="E52" s="7" t="n">
        <v>0.1956</v>
      </c>
      <c r="F52" s="8" t="inlineStr">
        <is>
          <t>High</t>
        </is>
      </c>
      <c r="G52" s="8" t="inlineStr">
        <is>
          <t>High</t>
        </is>
      </c>
      <c r="H52">
        <f>IF(F52=G52,"YES","NO")</f>
        <v/>
      </c>
    </row>
    <row r="53">
      <c r="A53" s="6" t="inlineStr">
        <is>
          <t>Cliff Redig</t>
        </is>
      </c>
      <c r="B53" s="7" t="n">
        <v>38</v>
      </c>
      <c r="C53" s="7" t="n">
        <v>14</v>
      </c>
      <c r="D53" s="7" t="n">
        <v>0.3684</v>
      </c>
      <c r="E53" s="7" t="n">
        <v>0.2338</v>
      </c>
      <c r="F53" s="8" t="inlineStr">
        <is>
          <t>High</t>
        </is>
      </c>
      <c r="G53" s="8" t="inlineStr">
        <is>
          <t>High</t>
        </is>
      </c>
      <c r="H53">
        <f>IF(F53=G53,"YES","NO")</f>
        <v/>
      </c>
    </row>
    <row r="54">
      <c r="A54" s="6" t="inlineStr">
        <is>
          <t>Clint Jeney</t>
        </is>
      </c>
      <c r="B54" s="7" t="n">
        <v>2039</v>
      </c>
      <c r="C54" s="7" t="n">
        <v>936</v>
      </c>
      <c r="D54" s="7" t="n">
        <v>0.459</v>
      </c>
      <c r="E54" s="7" t="n">
        <v>0.4375</v>
      </c>
      <c r="F54" s="8" t="inlineStr">
        <is>
          <t>High</t>
        </is>
      </c>
      <c r="G54" s="8" t="inlineStr">
        <is>
          <t>High</t>
        </is>
      </c>
      <c r="H54">
        <f>IF(F54=G54,"YES","NO")</f>
        <v/>
      </c>
    </row>
    <row r="55">
      <c r="A55" s="6" t="inlineStr">
        <is>
          <t>Cody Knudsen</t>
        </is>
      </c>
      <c r="B55" s="7" t="n">
        <v>4</v>
      </c>
      <c r="C55" s="7" t="n">
        <v>4</v>
      </c>
      <c r="D55" s="7" t="n">
        <v>1</v>
      </c>
      <c r="E55" s="7" t="n">
        <v>0.5101</v>
      </c>
      <c r="F55" s="8" t="inlineStr">
        <is>
          <t>High</t>
        </is>
      </c>
      <c r="G55" s="8" t="inlineStr">
        <is>
          <t>High</t>
        </is>
      </c>
      <c r="H55">
        <f>IF(F55=G55,"YES","NO")</f>
        <v/>
      </c>
    </row>
    <row r="56">
      <c r="A56" s="6" t="inlineStr">
        <is>
          <t>Courtney Flannigan</t>
        </is>
      </c>
      <c r="B56" s="7" t="n">
        <v>1</v>
      </c>
      <c r="C56" s="7" t="n">
        <v>1</v>
      </c>
      <c r="D56" s="7" t="n">
        <v>1</v>
      </c>
      <c r="E56" s="7" t="n">
        <v>0.2065</v>
      </c>
      <c r="F56" s="8" t="inlineStr">
        <is>
          <t>High</t>
        </is>
      </c>
      <c r="G56" s="8" t="inlineStr">
        <is>
          <t>Low</t>
        </is>
      </c>
      <c r="H56">
        <f>IF(F56=G56,"YES","NO")</f>
        <v/>
      </c>
    </row>
    <row r="57">
      <c r="A57" s="6" t="inlineStr">
        <is>
          <t>Craig Sweezey</t>
        </is>
      </c>
      <c r="B57" s="7" t="n">
        <v>157</v>
      </c>
      <c r="C57" s="7" t="n">
        <v>116</v>
      </c>
      <c r="D57" s="7" t="n">
        <v>0.7389</v>
      </c>
      <c r="E57" s="7" t="n">
        <v>0.665</v>
      </c>
      <c r="F57" s="8" t="inlineStr">
        <is>
          <t>High</t>
        </is>
      </c>
      <c r="G57" s="8" t="inlineStr">
        <is>
          <t>High</t>
        </is>
      </c>
      <c r="H57">
        <f>IF(F57=G57,"YES","NO")</f>
        <v/>
      </c>
    </row>
    <row r="58">
      <c r="A58" s="6" t="inlineStr">
        <is>
          <t>Curt Ralph</t>
        </is>
      </c>
      <c r="B58" s="7" t="n">
        <v>654</v>
      </c>
      <c r="C58" s="7" t="n">
        <v>383</v>
      </c>
      <c r="D58" s="7" t="n">
        <v>0.5856</v>
      </c>
      <c r="E58" s="7" t="n">
        <v>0.5475</v>
      </c>
      <c r="F58" s="8" t="inlineStr">
        <is>
          <t>High</t>
        </is>
      </c>
      <c r="G58" s="8" t="inlineStr">
        <is>
          <t>High</t>
        </is>
      </c>
      <c r="H58">
        <f>IF(F58=G58,"YES","NO")</f>
        <v/>
      </c>
    </row>
    <row r="59">
      <c r="A59" s="6" t="inlineStr">
        <is>
          <t>Curtis Van</t>
        </is>
      </c>
      <c r="B59" s="7" t="n">
        <v>132</v>
      </c>
      <c r="C59" s="7" t="n">
        <v>27</v>
      </c>
      <c r="D59" s="7" t="n">
        <v>0.2045</v>
      </c>
      <c r="E59" s="7" t="n">
        <v>0.1446</v>
      </c>
      <c r="F59" s="8" t="inlineStr">
        <is>
          <t>High</t>
        </is>
      </c>
      <c r="G59" s="8" t="inlineStr">
        <is>
          <t>Low</t>
        </is>
      </c>
      <c r="H59">
        <f>IF(F59=G59,"YES","NO")</f>
        <v/>
      </c>
    </row>
    <row r="60">
      <c r="A60" s="6" t="inlineStr">
        <is>
          <t>Dan Nowosad</t>
        </is>
      </c>
      <c r="B60" s="7" t="n">
        <v>289</v>
      </c>
      <c r="C60" s="7" t="n">
        <v>146</v>
      </c>
      <c r="D60" s="7" t="n">
        <v>0.5052</v>
      </c>
      <c r="E60" s="7" t="n">
        <v>0.4479</v>
      </c>
      <c r="F60" s="8" t="inlineStr">
        <is>
          <t>High</t>
        </is>
      </c>
      <c r="G60" s="8" t="inlineStr">
        <is>
          <t>High</t>
        </is>
      </c>
      <c r="H60">
        <f>IF(F60=G60,"YES","NO")</f>
        <v/>
      </c>
    </row>
    <row r="61">
      <c r="A61" s="6" t="inlineStr">
        <is>
          <t>Daniel Reigh</t>
        </is>
      </c>
      <c r="B61" s="7" t="n">
        <v>145</v>
      </c>
      <c r="C61" s="7" t="n">
        <v>145</v>
      </c>
      <c r="D61" s="7" t="n">
        <v>1</v>
      </c>
      <c r="E61" s="7" t="n">
        <v>0.9742</v>
      </c>
      <c r="F61" s="8" t="inlineStr">
        <is>
          <t>High</t>
        </is>
      </c>
      <c r="G61" s="8" t="inlineStr">
        <is>
          <t>High</t>
        </is>
      </c>
      <c r="H61">
        <f>IF(F61=G61,"YES","NO")</f>
        <v/>
      </c>
    </row>
    <row r="62">
      <c r="A62" s="6" t="inlineStr">
        <is>
          <t>Danielle Blackwell</t>
        </is>
      </c>
      <c r="B62" s="7" t="n">
        <v>9</v>
      </c>
      <c r="C62" s="7" t="n">
        <v>3</v>
      </c>
      <c r="D62" s="7" t="n">
        <v>0.3333</v>
      </c>
      <c r="E62" s="7" t="n">
        <v>0.1206</v>
      </c>
      <c r="F62" s="8" t="inlineStr">
        <is>
          <t>High</t>
        </is>
      </c>
      <c r="G62" s="8" t="inlineStr">
        <is>
          <t>Low</t>
        </is>
      </c>
      <c r="H62">
        <f>IF(F62=G62,"YES","NO")</f>
        <v/>
      </c>
    </row>
    <row r="63">
      <c r="A63" s="6" t="inlineStr">
        <is>
          <t>Danny Wood</t>
        </is>
      </c>
      <c r="B63" s="7" t="n">
        <v>10</v>
      </c>
      <c r="C63" s="7" t="n">
        <v>10</v>
      </c>
      <c r="D63" s="7" t="n">
        <v>1</v>
      </c>
      <c r="E63" s="7" t="n">
        <v>0.7225</v>
      </c>
      <c r="F63" s="8" t="inlineStr">
        <is>
          <t>High</t>
        </is>
      </c>
      <c r="G63" s="8" t="inlineStr">
        <is>
          <t>High</t>
        </is>
      </c>
      <c r="H63">
        <f>IF(F63=G63,"YES","NO")</f>
        <v/>
      </c>
    </row>
    <row r="64">
      <c r="A64" s="6" t="inlineStr">
        <is>
          <t>Darin Levere</t>
        </is>
      </c>
      <c r="B64" s="7" t="n">
        <v>8</v>
      </c>
      <c r="C64" s="7" t="n">
        <v>3</v>
      </c>
      <c r="D64" s="7" t="n">
        <v>0.375</v>
      </c>
      <c r="E64" s="7" t="n">
        <v>0.1368</v>
      </c>
      <c r="F64" s="8" t="inlineStr">
        <is>
          <t>High</t>
        </is>
      </c>
      <c r="G64" s="8" t="inlineStr">
        <is>
          <t>Low</t>
        </is>
      </c>
      <c r="H64">
        <f>IF(F64=G64,"YES","NO")</f>
        <v/>
      </c>
    </row>
    <row r="65">
      <c r="A65" s="6" t="inlineStr">
        <is>
          <t>David White</t>
        </is>
      </c>
      <c r="B65" s="7" t="n">
        <v>303</v>
      </c>
      <c r="C65" s="7" t="n">
        <v>52</v>
      </c>
      <c r="D65" s="7" t="n">
        <v>0.1716</v>
      </c>
      <c r="E65" s="7" t="n">
        <v>0.1333</v>
      </c>
      <c r="F65" s="8" t="inlineStr">
        <is>
          <t>High</t>
        </is>
      </c>
      <c r="G65" s="8" t="inlineStr">
        <is>
          <t>High</t>
        </is>
      </c>
      <c r="H65">
        <f>IF(F65=G65,"YES","NO")</f>
        <v/>
      </c>
    </row>
    <row r="66">
      <c r="A66" s="6" t="inlineStr">
        <is>
          <t>Debbie Hojnacki</t>
        </is>
      </c>
      <c r="B66" s="7" t="n">
        <v>24</v>
      </c>
      <c r="C66" s="7" t="n">
        <v>8</v>
      </c>
      <c r="D66" s="7" t="n">
        <v>0.3333</v>
      </c>
      <c r="E66" s="7" t="n">
        <v>0.1797</v>
      </c>
      <c r="F66" s="8" t="inlineStr">
        <is>
          <t>High</t>
        </is>
      </c>
      <c r="G66" s="8" t="inlineStr">
        <is>
          <t>High</t>
        </is>
      </c>
      <c r="H66">
        <f>IF(F66=G66,"YES","NO")</f>
        <v/>
      </c>
    </row>
    <row r="67">
      <c r="A67" s="6" t="inlineStr">
        <is>
          <t>Debbie Lumley</t>
        </is>
      </c>
      <c r="B67" s="7" t="n">
        <v>29</v>
      </c>
      <c r="C67" s="7" t="n">
        <v>7</v>
      </c>
      <c r="D67" s="7" t="n">
        <v>0.2414</v>
      </c>
      <c r="E67" s="7" t="n">
        <v>0.1222</v>
      </c>
      <c r="F67" s="8" t="inlineStr">
        <is>
          <t>High</t>
        </is>
      </c>
      <c r="G67" s="8" t="inlineStr">
        <is>
          <t>Low</t>
        </is>
      </c>
      <c r="H67">
        <f>IF(F67=G67,"YES","NO")</f>
        <v/>
      </c>
    </row>
    <row r="68">
      <c r="A68" s="6" t="inlineStr">
        <is>
          <t>Dennis Allison</t>
        </is>
      </c>
      <c r="B68" s="7" t="n">
        <v>2264</v>
      </c>
      <c r="C68" s="7" t="n">
        <v>680</v>
      </c>
      <c r="D68" s="7" t="n">
        <v>0.3004</v>
      </c>
      <c r="E68" s="7" t="n">
        <v>0.2818</v>
      </c>
      <c r="F68" s="8" t="inlineStr">
        <is>
          <t>High</t>
        </is>
      </c>
      <c r="G68" s="8" t="inlineStr">
        <is>
          <t>High</t>
        </is>
      </c>
      <c r="H68">
        <f>IF(F68=G68,"YES","NO")</f>
        <v/>
      </c>
    </row>
    <row r="69">
      <c r="A69" s="6" t="inlineStr">
        <is>
          <t>Dominic Merrill</t>
        </is>
      </c>
      <c r="B69" s="7" t="n">
        <v>368</v>
      </c>
      <c r="C69" s="7" t="n">
        <v>98</v>
      </c>
      <c r="D69" s="7" t="n">
        <v>0.2663</v>
      </c>
      <c r="E69" s="7" t="n">
        <v>0.2237</v>
      </c>
      <c r="F69" s="8" t="inlineStr">
        <is>
          <t>High</t>
        </is>
      </c>
      <c r="G69" s="8" t="inlineStr">
        <is>
          <t>Low</t>
        </is>
      </c>
      <c r="H69">
        <f>IF(F69=G69,"YES","NO")</f>
        <v/>
      </c>
    </row>
    <row r="70">
      <c r="A70" s="6" t="inlineStr">
        <is>
          <t>Doug Judish</t>
        </is>
      </c>
      <c r="B70" s="7" t="n">
        <v>261</v>
      </c>
      <c r="C70" s="7" t="n">
        <v>48</v>
      </c>
      <c r="D70" s="7" t="n">
        <v>0.1839</v>
      </c>
      <c r="E70" s="7" t="n">
        <v>0.1416</v>
      </c>
      <c r="F70" s="8" t="inlineStr">
        <is>
          <t>High</t>
        </is>
      </c>
      <c r="G70" s="8" t="inlineStr">
        <is>
          <t>High</t>
        </is>
      </c>
      <c r="H70">
        <f>IF(F70=G70,"YES","NO")</f>
        <v/>
      </c>
    </row>
    <row r="71">
      <c r="A71" s="6" t="inlineStr">
        <is>
          <t>Doug Sanner</t>
        </is>
      </c>
      <c r="B71" s="7" t="n">
        <v>322</v>
      </c>
      <c r="C71" s="7" t="n">
        <v>227</v>
      </c>
      <c r="D71" s="7" t="n">
        <v>0.705</v>
      </c>
      <c r="E71" s="7" t="n">
        <v>0.653</v>
      </c>
      <c r="F71" s="8" t="inlineStr">
        <is>
          <t>High</t>
        </is>
      </c>
      <c r="G71" s="8" t="inlineStr">
        <is>
          <t>High</t>
        </is>
      </c>
      <c r="H71">
        <f>IF(F71=G71,"YES","NO")</f>
        <v/>
      </c>
    </row>
    <row r="72">
      <c r="A72" s="6" t="inlineStr">
        <is>
          <t>Drew Gedrys</t>
        </is>
      </c>
      <c r="B72" s="7" t="n">
        <v>7</v>
      </c>
      <c r="C72" s="7" t="n">
        <v>6</v>
      </c>
      <c r="D72" s="7" t="n">
        <v>0.8571</v>
      </c>
      <c r="E72" s="7" t="n">
        <v>0.4869</v>
      </c>
      <c r="F72" s="8" t="inlineStr">
        <is>
          <t>High</t>
        </is>
      </c>
      <c r="G72" s="8" t="inlineStr">
        <is>
          <t>Low</t>
        </is>
      </c>
      <c r="H72">
        <f>IF(F72=G72,"YES","NO")</f>
        <v/>
      </c>
    </row>
    <row r="73">
      <c r="A73" s="6" t="inlineStr">
        <is>
          <t>Edward Stamm</t>
        </is>
      </c>
      <c r="B73" s="7" t="n">
        <v>346</v>
      </c>
      <c r="C73" s="7" t="n">
        <v>145</v>
      </c>
      <c r="D73" s="7" t="n">
        <v>0.4191</v>
      </c>
      <c r="E73" s="7" t="n">
        <v>0.3683</v>
      </c>
      <c r="F73" s="8" t="inlineStr">
        <is>
          <t>High</t>
        </is>
      </c>
      <c r="G73" s="8" t="inlineStr">
        <is>
          <t>High</t>
        </is>
      </c>
      <c r="H73">
        <f>IF(F73=G73,"YES","NO")</f>
        <v/>
      </c>
    </row>
    <row r="74">
      <c r="A74" s="6" t="inlineStr">
        <is>
          <t>Emmanuel Contreras</t>
        </is>
      </c>
      <c r="B74" s="7" t="n">
        <v>3</v>
      </c>
      <c r="C74" s="7" t="n">
        <v>3</v>
      </c>
      <c r="D74" s="7" t="n">
        <v>1</v>
      </c>
      <c r="E74" s="7" t="n">
        <v>0.4385</v>
      </c>
      <c r="F74" s="8" t="inlineStr">
        <is>
          <t>High</t>
        </is>
      </c>
      <c r="G74" s="8" t="inlineStr">
        <is>
          <t>High</t>
        </is>
      </c>
      <c r="H74">
        <f>IF(F74=G74,"YES","NO")</f>
        <v/>
      </c>
    </row>
    <row r="75">
      <c r="A75" s="6" t="inlineStr">
        <is>
          <t>Erik Salinas</t>
        </is>
      </c>
      <c r="B75" s="7" t="n">
        <v>38</v>
      </c>
      <c r="C75" s="7" t="n">
        <v>33</v>
      </c>
      <c r="D75" s="7" t="n">
        <v>0.8683999999999999</v>
      </c>
      <c r="E75" s="7" t="n">
        <v>0.7267</v>
      </c>
      <c r="F75" s="8" t="inlineStr">
        <is>
          <t>High</t>
        </is>
      </c>
      <c r="G75" s="8" t="inlineStr">
        <is>
          <t>High</t>
        </is>
      </c>
      <c r="H75">
        <f>IF(F75=G75,"YES","NO")</f>
        <v/>
      </c>
    </row>
    <row r="76">
      <c r="A76" s="6" t="inlineStr">
        <is>
          <t>Erik Watson</t>
        </is>
      </c>
      <c r="B76" s="7" t="n">
        <v>5</v>
      </c>
      <c r="C76" s="7" t="n">
        <v>2</v>
      </c>
      <c r="D76" s="7" t="n">
        <v>0.4</v>
      </c>
      <c r="E76" s="7" t="n">
        <v>0.1176</v>
      </c>
      <c r="F76" s="8" t="inlineStr">
        <is>
          <t>High</t>
        </is>
      </c>
      <c r="G76" s="8" t="inlineStr">
        <is>
          <t>Low</t>
        </is>
      </c>
      <c r="H76">
        <f>IF(F76=G76,"YES","NO")</f>
        <v/>
      </c>
    </row>
    <row r="77">
      <c r="A77" s="6" t="inlineStr">
        <is>
          <t>Floyd Hood</t>
        </is>
      </c>
      <c r="B77" s="7" t="n">
        <v>99</v>
      </c>
      <c r="C77" s="7" t="n">
        <v>18</v>
      </c>
      <c r="D77" s="7" t="n">
        <v>0.1818</v>
      </c>
      <c r="E77" s="7" t="n">
        <v>0.1182</v>
      </c>
      <c r="F77" s="8" t="inlineStr">
        <is>
          <t>High</t>
        </is>
      </c>
      <c r="G77" s="8" t="inlineStr">
        <is>
          <t>High</t>
        </is>
      </c>
      <c r="H77">
        <f>IF(F77=G77,"YES","NO")</f>
        <v/>
      </c>
    </row>
    <row r="78">
      <c r="A78" s="6" t="inlineStr">
        <is>
          <t>Frank Ulloa</t>
        </is>
      </c>
      <c r="B78" s="7" t="n">
        <v>56</v>
      </c>
      <c r="C78" s="7" t="n">
        <v>28</v>
      </c>
      <c r="D78" s="7" t="n">
        <v>0.5</v>
      </c>
      <c r="E78" s="7" t="n">
        <v>0.3733</v>
      </c>
      <c r="F78" s="8" t="inlineStr">
        <is>
          <t>High</t>
        </is>
      </c>
      <c r="G78" s="8" t="inlineStr">
        <is>
          <t>High</t>
        </is>
      </c>
      <c r="H78">
        <f>IF(F78=G78,"YES","NO")</f>
        <v/>
      </c>
    </row>
    <row r="79">
      <c r="A79" s="6" t="inlineStr">
        <is>
          <t>Fred Allard</t>
        </is>
      </c>
      <c r="B79" s="7" t="n">
        <v>69</v>
      </c>
      <c r="C79" s="7" t="n">
        <v>20</v>
      </c>
      <c r="D79" s="7" t="n">
        <v>0.2899</v>
      </c>
      <c r="E79" s="7" t="n">
        <v>0.1962</v>
      </c>
      <c r="F79" s="8" t="inlineStr">
        <is>
          <t>High</t>
        </is>
      </c>
      <c r="G79" s="8" t="inlineStr">
        <is>
          <t>High</t>
        </is>
      </c>
      <c r="H79">
        <f>IF(F79=G79,"YES","NO")</f>
        <v/>
      </c>
    </row>
    <row r="80">
      <c r="A80" s="6" t="inlineStr">
        <is>
          <t>GARY FAUCHEUX</t>
        </is>
      </c>
      <c r="B80" s="7" t="n">
        <v>3</v>
      </c>
      <c r="C80" s="7" t="n">
        <v>3</v>
      </c>
      <c r="D80" s="7" t="n">
        <v>1</v>
      </c>
      <c r="E80" s="7" t="n">
        <v>0.4385</v>
      </c>
      <c r="F80" s="8" t="inlineStr">
        <is>
          <t>High</t>
        </is>
      </c>
      <c r="G80" s="8" t="inlineStr">
        <is>
          <t>High</t>
        </is>
      </c>
      <c r="H80">
        <f>IF(F80=G80,"YES","NO")</f>
        <v/>
      </c>
    </row>
    <row r="81">
      <c r="A81" s="6" t="inlineStr">
        <is>
          <t>Garrett Dupuis</t>
        </is>
      </c>
      <c r="B81" s="7" t="n">
        <v>6</v>
      </c>
      <c r="C81" s="7" t="n">
        <v>3</v>
      </c>
      <c r="D81" s="7" t="n">
        <v>0.5</v>
      </c>
      <c r="E81" s="7" t="n">
        <v>0.1876</v>
      </c>
      <c r="F81" s="8" t="inlineStr">
        <is>
          <t>High</t>
        </is>
      </c>
      <c r="G81" s="8" t="inlineStr">
        <is>
          <t>Low</t>
        </is>
      </c>
      <c r="H81">
        <f>IF(F81=G81,"YES","NO")</f>
        <v/>
      </c>
    </row>
    <row r="82">
      <c r="A82" s="6" t="inlineStr">
        <is>
          <t>Gary Gal</t>
        </is>
      </c>
      <c r="B82" s="7" t="n">
        <v>2</v>
      </c>
      <c r="C82" s="7" t="n">
        <v>2</v>
      </c>
      <c r="D82" s="7" t="n">
        <v>1</v>
      </c>
      <c r="E82" s="7" t="n">
        <v>0.3424</v>
      </c>
      <c r="F82" s="8" t="inlineStr">
        <is>
          <t>High</t>
        </is>
      </c>
      <c r="G82" s="8" t="inlineStr">
        <is>
          <t>High</t>
        </is>
      </c>
      <c r="H82">
        <f>IF(F82=G82,"YES","NO")</f>
        <v/>
      </c>
    </row>
    <row r="83">
      <c r="A83" s="6" t="inlineStr">
        <is>
          <t>Geneva Thompson</t>
        </is>
      </c>
      <c r="B83" s="7" t="n">
        <v>18</v>
      </c>
      <c r="C83" s="7" t="n">
        <v>5</v>
      </c>
      <c r="D83" s="7" t="n">
        <v>0.2778</v>
      </c>
      <c r="E83" s="7" t="n">
        <v>0.125</v>
      </c>
      <c r="F83" s="8" t="inlineStr">
        <is>
          <t>High</t>
        </is>
      </c>
      <c r="G83" s="8" t="inlineStr">
        <is>
          <t>High</t>
        </is>
      </c>
      <c r="H83">
        <f>IF(F83=G83,"YES","NO")</f>
        <v/>
      </c>
    </row>
    <row r="84">
      <c r="A84" s="6" t="inlineStr">
        <is>
          <t>George Zeuss</t>
        </is>
      </c>
      <c r="B84" s="7" t="n">
        <v>54</v>
      </c>
      <c r="C84" s="7" t="n">
        <v>18</v>
      </c>
      <c r="D84" s="7" t="n">
        <v>0.3333</v>
      </c>
      <c r="E84" s="7" t="n">
        <v>0.2224</v>
      </c>
      <c r="F84" s="8" t="inlineStr">
        <is>
          <t>High</t>
        </is>
      </c>
      <c r="G84" s="8" t="inlineStr">
        <is>
          <t>High</t>
        </is>
      </c>
      <c r="H84">
        <f>IF(F84=G84,"YES","NO")</f>
        <v/>
      </c>
    </row>
    <row r="85">
      <c r="A85" s="6" t="inlineStr">
        <is>
          <t>Gina Buchman</t>
        </is>
      </c>
      <c r="B85" s="7" t="n">
        <v>688</v>
      </c>
      <c r="C85" s="7" t="n">
        <v>142</v>
      </c>
      <c r="D85" s="7" t="n">
        <v>0.2064</v>
      </c>
      <c r="E85" s="7" t="n">
        <v>0.1778</v>
      </c>
      <c r="F85" s="8" t="inlineStr">
        <is>
          <t>High</t>
        </is>
      </c>
      <c r="G85" s="8" t="inlineStr">
        <is>
          <t>Low</t>
        </is>
      </c>
      <c r="H85">
        <f>IF(F85=G85,"YES","NO")</f>
        <v/>
      </c>
    </row>
    <row r="86">
      <c r="A86" s="6" t="inlineStr">
        <is>
          <t>Glyn Morgan</t>
        </is>
      </c>
      <c r="B86" s="7" t="n">
        <v>30</v>
      </c>
      <c r="C86" s="7" t="n">
        <v>10</v>
      </c>
      <c r="D86" s="7" t="n">
        <v>0.3333</v>
      </c>
      <c r="E86" s="7" t="n">
        <v>0.1923</v>
      </c>
      <c r="F86" s="8" t="inlineStr">
        <is>
          <t>High</t>
        </is>
      </c>
      <c r="G86" s="8" t="inlineStr">
        <is>
          <t>High</t>
        </is>
      </c>
      <c r="H86">
        <f>IF(F86=G86,"YES","NO")</f>
        <v/>
      </c>
    </row>
    <row r="87">
      <c r="A87" s="6" t="inlineStr">
        <is>
          <t>Grant Berkefeld</t>
        </is>
      </c>
      <c r="B87" s="7" t="n">
        <v>44</v>
      </c>
      <c r="C87" s="7" t="n">
        <v>12</v>
      </c>
      <c r="D87" s="7" t="n">
        <v>0.2727</v>
      </c>
      <c r="E87" s="7" t="n">
        <v>0.1635</v>
      </c>
      <c r="F87" s="8" t="inlineStr">
        <is>
          <t>High</t>
        </is>
      </c>
      <c r="G87" s="8" t="inlineStr">
        <is>
          <t>High</t>
        </is>
      </c>
      <c r="H87">
        <f>IF(F87=G87,"YES","NO")</f>
        <v/>
      </c>
    </row>
    <row r="88">
      <c r="A88" s="6" t="inlineStr">
        <is>
          <t>Haley Klemencic</t>
        </is>
      </c>
      <c r="B88" s="7" t="n">
        <v>225</v>
      </c>
      <c r="C88" s="7" t="n">
        <v>174</v>
      </c>
      <c r="D88" s="7" t="n">
        <v>0.7733</v>
      </c>
      <c r="E88" s="7" t="n">
        <v>0.7143</v>
      </c>
      <c r="F88" s="8" t="inlineStr">
        <is>
          <t>High</t>
        </is>
      </c>
      <c r="G88" s="8" t="inlineStr">
        <is>
          <t>High</t>
        </is>
      </c>
      <c r="H88">
        <f>IF(F88=G88,"YES","NO")</f>
        <v/>
      </c>
    </row>
    <row r="89">
      <c r="A89" s="6" t="inlineStr">
        <is>
          <t>Harold Shepard</t>
        </is>
      </c>
      <c r="B89" s="7" t="n">
        <v>233</v>
      </c>
      <c r="C89" s="7" t="n">
        <v>48</v>
      </c>
      <c r="D89" s="7" t="n">
        <v>0.206</v>
      </c>
      <c r="E89" s="7" t="n">
        <v>0.159</v>
      </c>
      <c r="F89" s="8" t="inlineStr">
        <is>
          <t>High</t>
        </is>
      </c>
      <c r="G89" s="8" t="inlineStr">
        <is>
          <t>High</t>
        </is>
      </c>
      <c r="H89">
        <f>IF(F89=G89,"YES","NO")</f>
        <v/>
      </c>
    </row>
    <row r="90">
      <c r="A90" s="6" t="inlineStr">
        <is>
          <t>Harrison Hall</t>
        </is>
      </c>
      <c r="B90" s="7" t="n">
        <v>1</v>
      </c>
      <c r="C90" s="7" t="n">
        <v>1</v>
      </c>
      <c r="D90" s="7" t="n">
        <v>1</v>
      </c>
      <c r="E90" s="7" t="n">
        <v>0.2065</v>
      </c>
      <c r="F90" s="8" t="inlineStr">
        <is>
          <t>High</t>
        </is>
      </c>
      <c r="G90" s="8" t="inlineStr">
        <is>
          <t>Low</t>
        </is>
      </c>
      <c r="H90">
        <f>IF(F90=G90,"YES","NO")</f>
        <v/>
      </c>
    </row>
    <row r="91">
      <c r="A91" s="6" t="inlineStr">
        <is>
          <t>Heather Willis</t>
        </is>
      </c>
      <c r="B91" s="7" t="n">
        <v>314</v>
      </c>
      <c r="C91" s="7" t="n">
        <v>104</v>
      </c>
      <c r="D91" s="7" t="n">
        <v>0.3312</v>
      </c>
      <c r="E91" s="7" t="n">
        <v>0.2815</v>
      </c>
      <c r="F91" s="8" t="inlineStr">
        <is>
          <t>High</t>
        </is>
      </c>
      <c r="G91" s="8" t="inlineStr">
        <is>
          <t>High</t>
        </is>
      </c>
      <c r="H91">
        <f>IF(F91=G91,"YES","NO")</f>
        <v/>
      </c>
    </row>
    <row r="92">
      <c r="A92" s="6" t="inlineStr">
        <is>
          <t>Hunter O'Bert</t>
        </is>
      </c>
      <c r="B92" s="7" t="n">
        <v>1</v>
      </c>
      <c r="C92" s="7" t="n">
        <v>1</v>
      </c>
      <c r="D92" s="7" t="n">
        <v>1</v>
      </c>
      <c r="E92" s="7" t="n">
        <v>0.2065</v>
      </c>
      <c r="F92" s="8" t="inlineStr">
        <is>
          <t>High</t>
        </is>
      </c>
      <c r="G92" s="8" t="inlineStr">
        <is>
          <t>Low</t>
        </is>
      </c>
      <c r="H92">
        <f>IF(F92=G92,"YES","NO")</f>
        <v/>
      </c>
    </row>
    <row r="93">
      <c r="A93" s="6" t="inlineStr">
        <is>
          <t>Ian Balcazar</t>
        </is>
      </c>
      <c r="B93" s="7" t="n">
        <v>6</v>
      </c>
      <c r="C93" s="7" t="n">
        <v>3</v>
      </c>
      <c r="D93" s="7" t="n">
        <v>0.5</v>
      </c>
      <c r="E93" s="7" t="n">
        <v>0.1876</v>
      </c>
      <c r="F93" s="8" t="inlineStr">
        <is>
          <t>High</t>
        </is>
      </c>
      <c r="G93" s="8" t="inlineStr">
        <is>
          <t>Low</t>
        </is>
      </c>
      <c r="H93">
        <f>IF(F93=G93,"YES","NO")</f>
        <v/>
      </c>
    </row>
    <row r="94">
      <c r="A94" s="6" t="inlineStr">
        <is>
          <t>Ignacio Romero</t>
        </is>
      </c>
      <c r="B94" s="7" t="n">
        <v>100</v>
      </c>
      <c r="C94" s="7" t="n">
        <v>29</v>
      </c>
      <c r="D94" s="7" t="n">
        <v>0.29</v>
      </c>
      <c r="E94" s="7" t="n">
        <v>0.2101</v>
      </c>
      <c r="F94" s="8" t="inlineStr">
        <is>
          <t>High</t>
        </is>
      </c>
      <c r="G94" s="8" t="inlineStr">
        <is>
          <t>Low</t>
        </is>
      </c>
      <c r="H94">
        <f>IF(F94=G94,"YES","NO")</f>
        <v/>
      </c>
    </row>
    <row r="95">
      <c r="A95" s="6" t="inlineStr">
        <is>
          <t>Ira Kanter</t>
        </is>
      </c>
      <c r="B95" s="7" t="n">
        <v>61</v>
      </c>
      <c r="C95" s="7" t="n">
        <v>34</v>
      </c>
      <c r="D95" s="7" t="n">
        <v>0.5574</v>
      </c>
      <c r="E95" s="7" t="n">
        <v>0.433</v>
      </c>
      <c r="F95" s="8" t="inlineStr">
        <is>
          <t>High</t>
        </is>
      </c>
      <c r="G95" s="8" t="inlineStr">
        <is>
          <t>High</t>
        </is>
      </c>
      <c r="H95">
        <f>IF(F95=G95,"YES","NO")</f>
        <v/>
      </c>
    </row>
    <row r="96">
      <c r="A96" s="6" t="inlineStr">
        <is>
          <t>Jacob Fulk</t>
        </is>
      </c>
      <c r="B96" s="7" t="n">
        <v>216</v>
      </c>
      <c r="C96" s="7" t="n">
        <v>48</v>
      </c>
      <c r="D96" s="7" t="n">
        <v>0.2222</v>
      </c>
      <c r="E96" s="7" t="n">
        <v>0.1719</v>
      </c>
      <c r="F96" s="8" t="inlineStr">
        <is>
          <t>High</t>
        </is>
      </c>
      <c r="G96" s="8" t="inlineStr">
        <is>
          <t>High</t>
        </is>
      </c>
      <c r="H96">
        <f>IF(F96=G96,"YES","NO")</f>
        <v/>
      </c>
    </row>
    <row r="97">
      <c r="A97" s="6" t="inlineStr">
        <is>
          <t>Jacquelyn Reed</t>
        </is>
      </c>
      <c r="B97" s="7" t="n">
        <v>26</v>
      </c>
      <c r="C97" s="7" t="n">
        <v>7</v>
      </c>
      <c r="D97" s="7" t="n">
        <v>0.2692</v>
      </c>
      <c r="E97" s="7" t="n">
        <v>0.137</v>
      </c>
      <c r="F97" s="8" t="inlineStr">
        <is>
          <t>High</t>
        </is>
      </c>
      <c r="G97" s="8" t="inlineStr">
        <is>
          <t>Medium</t>
        </is>
      </c>
      <c r="H97">
        <f>IF(F97=G97,"YES","NO")</f>
        <v/>
      </c>
    </row>
    <row r="98">
      <c r="A98" s="6" t="inlineStr">
        <is>
          <t>Jake Herzog</t>
        </is>
      </c>
      <c r="B98" s="7" t="n">
        <v>7</v>
      </c>
      <c r="C98" s="7" t="n">
        <v>3</v>
      </c>
      <c r="D98" s="7" t="n">
        <v>0.4286</v>
      </c>
      <c r="E98" s="7" t="n">
        <v>0.1582</v>
      </c>
      <c r="F98" s="8" t="inlineStr">
        <is>
          <t>High</t>
        </is>
      </c>
      <c r="G98" s="8" t="inlineStr">
        <is>
          <t>High</t>
        </is>
      </c>
      <c r="H98">
        <f>IF(F98=G98,"YES","NO")</f>
        <v/>
      </c>
    </row>
    <row r="99">
      <c r="A99" s="6" t="inlineStr">
        <is>
          <t>Jake Pedersen</t>
        </is>
      </c>
      <c r="B99" s="7" t="n">
        <v>2</v>
      </c>
      <c r="C99" s="7" t="n">
        <v>2</v>
      </c>
      <c r="D99" s="7" t="n">
        <v>1</v>
      </c>
      <c r="E99" s="7" t="n">
        <v>0.3424</v>
      </c>
      <c r="F99" s="8" t="inlineStr">
        <is>
          <t>High</t>
        </is>
      </c>
      <c r="G99" s="8" t="inlineStr">
        <is>
          <t>High</t>
        </is>
      </c>
      <c r="H99">
        <f>IF(F99=G99,"YES","NO")</f>
        <v/>
      </c>
    </row>
    <row r="100">
      <c r="A100" s="6" t="inlineStr">
        <is>
          <t>James Giglio</t>
        </is>
      </c>
      <c r="B100" s="7" t="n">
        <v>231</v>
      </c>
      <c r="C100" s="7" t="n">
        <v>135</v>
      </c>
      <c r="D100" s="7" t="n">
        <v>0.5844</v>
      </c>
      <c r="E100" s="7" t="n">
        <v>0.52</v>
      </c>
      <c r="F100" s="8" t="inlineStr">
        <is>
          <t>High</t>
        </is>
      </c>
      <c r="G100" s="8" t="inlineStr">
        <is>
          <t>High</t>
        </is>
      </c>
      <c r="H100">
        <f>IF(F100=G100,"YES","NO")</f>
        <v/>
      </c>
    </row>
    <row r="101">
      <c r="A101" s="6" t="inlineStr">
        <is>
          <t>James Smith</t>
        </is>
      </c>
      <c r="B101" s="7" t="n">
        <v>325</v>
      </c>
      <c r="C101" s="7" t="n">
        <v>162</v>
      </c>
      <c r="D101" s="7" t="n">
        <v>0.4985</v>
      </c>
      <c r="E101" s="7" t="n">
        <v>0.4444</v>
      </c>
      <c r="F101" s="8" t="inlineStr">
        <is>
          <t>High</t>
        </is>
      </c>
      <c r="G101" s="8" t="inlineStr">
        <is>
          <t>High</t>
        </is>
      </c>
      <c r="H101">
        <f>IF(F101=G101,"YES","NO")</f>
        <v/>
      </c>
    </row>
    <row r="102">
      <c r="A102" s="6" t="inlineStr">
        <is>
          <t>Jasper Vice</t>
        </is>
      </c>
      <c r="B102" s="7" t="n">
        <v>88</v>
      </c>
      <c r="C102" s="7" t="n">
        <v>30</v>
      </c>
      <c r="D102" s="7" t="n">
        <v>0.3409</v>
      </c>
      <c r="E102" s="7" t="n">
        <v>0.2504</v>
      </c>
      <c r="F102" s="8" t="inlineStr">
        <is>
          <t>High</t>
        </is>
      </c>
      <c r="G102" s="8" t="inlineStr">
        <is>
          <t>High</t>
        </is>
      </c>
      <c r="H102">
        <f>IF(F102=G102,"YES","NO")</f>
        <v/>
      </c>
    </row>
    <row r="103">
      <c r="A103" s="6" t="inlineStr">
        <is>
          <t>Jay Gill</t>
        </is>
      </c>
      <c r="B103" s="7" t="n">
        <v>13</v>
      </c>
      <c r="C103" s="7" t="n">
        <v>6</v>
      </c>
      <c r="D103" s="7" t="n">
        <v>0.4615</v>
      </c>
      <c r="E103" s="7" t="n">
        <v>0.2321</v>
      </c>
      <c r="F103" s="8" t="inlineStr">
        <is>
          <t>High</t>
        </is>
      </c>
      <c r="G103" s="8" t="inlineStr">
        <is>
          <t>High</t>
        </is>
      </c>
      <c r="H103">
        <f>IF(F103=G103,"YES","NO")</f>
        <v/>
      </c>
    </row>
    <row r="104">
      <c r="A104" s="6" t="inlineStr">
        <is>
          <t>Jeff Bucher</t>
        </is>
      </c>
      <c r="B104" s="7" t="n">
        <v>31</v>
      </c>
      <c r="C104" s="7" t="n">
        <v>12</v>
      </c>
      <c r="D104" s="7" t="n">
        <v>0.3871</v>
      </c>
      <c r="E104" s="7" t="n">
        <v>0.2373</v>
      </c>
      <c r="F104" s="8" t="inlineStr">
        <is>
          <t>High</t>
        </is>
      </c>
      <c r="G104" s="8" t="inlineStr">
        <is>
          <t>High</t>
        </is>
      </c>
      <c r="H104">
        <f>IF(F104=G104,"YES","NO")</f>
        <v/>
      </c>
    </row>
    <row r="105">
      <c r="A105" s="6" t="inlineStr">
        <is>
          <t>Jeff Disidore</t>
        </is>
      </c>
      <c r="B105" s="7" t="n">
        <v>55</v>
      </c>
      <c r="C105" s="7" t="n">
        <v>13</v>
      </c>
      <c r="D105" s="7" t="n">
        <v>0.2364</v>
      </c>
      <c r="E105" s="7" t="n">
        <v>0.1437</v>
      </c>
      <c r="F105" s="8" t="inlineStr">
        <is>
          <t>High</t>
        </is>
      </c>
      <c r="G105" s="8" t="inlineStr">
        <is>
          <t>High</t>
        </is>
      </c>
      <c r="H105">
        <f>IF(F105=G105,"YES","NO")</f>
        <v/>
      </c>
    </row>
    <row r="106">
      <c r="A106" s="6" t="inlineStr">
        <is>
          <t>Jeff Folger</t>
        </is>
      </c>
      <c r="B106" s="7" t="n">
        <v>44</v>
      </c>
      <c r="C106" s="7" t="n">
        <v>11</v>
      </c>
      <c r="D106" s="7" t="n">
        <v>0.25</v>
      </c>
      <c r="E106" s="7" t="n">
        <v>0.1457</v>
      </c>
      <c r="F106" s="8" t="inlineStr">
        <is>
          <t>High</t>
        </is>
      </c>
      <c r="G106" s="8" t="inlineStr">
        <is>
          <t>Medium</t>
        </is>
      </c>
      <c r="H106">
        <f>IF(F106=G106,"YES","NO")</f>
        <v/>
      </c>
    </row>
    <row r="107">
      <c r="A107" s="6" t="inlineStr">
        <is>
          <t>Jeff McCusker</t>
        </is>
      </c>
      <c r="B107" s="7" t="n">
        <v>15</v>
      </c>
      <c r="C107" s="7" t="n">
        <v>5</v>
      </c>
      <c r="D107" s="7" t="n">
        <v>0.3333</v>
      </c>
      <c r="E107" s="7" t="n">
        <v>0.1518</v>
      </c>
      <c r="F107" s="8" t="inlineStr">
        <is>
          <t>High</t>
        </is>
      </c>
      <c r="G107" s="8" t="inlineStr">
        <is>
          <t>Medium</t>
        </is>
      </c>
      <c r="H107">
        <f>IF(F107=G107,"YES","NO")</f>
        <v/>
      </c>
    </row>
    <row r="108">
      <c r="A108" s="6" t="inlineStr">
        <is>
          <t>Jeff Smith</t>
        </is>
      </c>
      <c r="B108" s="7" t="n">
        <v>40</v>
      </c>
      <c r="C108" s="7" t="n">
        <v>10</v>
      </c>
      <c r="D108" s="7" t="n">
        <v>0.25</v>
      </c>
      <c r="E108" s="7" t="n">
        <v>0.1419</v>
      </c>
      <c r="F108" s="8" t="inlineStr">
        <is>
          <t>High</t>
        </is>
      </c>
      <c r="G108" s="8" t="inlineStr">
        <is>
          <t>Low</t>
        </is>
      </c>
      <c r="H108">
        <f>IF(F108=G108,"YES","NO")</f>
        <v/>
      </c>
    </row>
    <row r="109">
      <c r="A109" s="6" t="inlineStr">
        <is>
          <t>Jennifer Crandall</t>
        </is>
      </c>
      <c r="B109" s="7" t="n">
        <v>202</v>
      </c>
      <c r="C109" s="7" t="n">
        <v>51</v>
      </c>
      <c r="D109" s="7" t="n">
        <v>0.2525</v>
      </c>
      <c r="E109" s="7" t="n">
        <v>0.1976</v>
      </c>
      <c r="F109" s="8" t="inlineStr">
        <is>
          <t>High</t>
        </is>
      </c>
      <c r="G109" s="8" t="inlineStr">
        <is>
          <t>Low</t>
        </is>
      </c>
      <c r="H109">
        <f>IF(F109=G109,"YES","NO")</f>
        <v/>
      </c>
    </row>
    <row r="110">
      <c r="A110" s="6" t="inlineStr">
        <is>
          <t>Jennifer King</t>
        </is>
      </c>
      <c r="B110" s="7" t="n">
        <v>145</v>
      </c>
      <c r="C110" s="7" t="n">
        <v>48</v>
      </c>
      <c r="D110" s="7" t="n">
        <v>0.331</v>
      </c>
      <c r="E110" s="7" t="n">
        <v>0.2597</v>
      </c>
      <c r="F110" s="8" t="inlineStr">
        <is>
          <t>High</t>
        </is>
      </c>
      <c r="G110" s="8" t="inlineStr">
        <is>
          <t>Low</t>
        </is>
      </c>
      <c r="H110">
        <f>IF(F110=G110,"YES","NO")</f>
        <v/>
      </c>
    </row>
    <row r="111">
      <c r="A111" s="6" t="inlineStr">
        <is>
          <t>Jeremey Whitaker</t>
        </is>
      </c>
      <c r="B111" s="7" t="n">
        <v>54</v>
      </c>
      <c r="C111" s="7" t="n">
        <v>20</v>
      </c>
      <c r="D111" s="7" t="n">
        <v>0.3704</v>
      </c>
      <c r="E111" s="7" t="n">
        <v>0.2542</v>
      </c>
      <c r="F111" s="8" t="inlineStr">
        <is>
          <t>High</t>
        </is>
      </c>
      <c r="G111" s="8" t="inlineStr">
        <is>
          <t>High</t>
        </is>
      </c>
      <c r="H111">
        <f>IF(F111=G111,"YES","NO")</f>
        <v/>
      </c>
    </row>
    <row r="112">
      <c r="A112" s="6" t="inlineStr">
        <is>
          <t>Jodie Reynolds</t>
        </is>
      </c>
      <c r="B112" s="7" t="n">
        <v>221</v>
      </c>
      <c r="C112" s="7" t="n">
        <v>75</v>
      </c>
      <c r="D112" s="7" t="n">
        <v>0.3394</v>
      </c>
      <c r="E112" s="7" t="n">
        <v>0.2802</v>
      </c>
      <c r="F112" s="8" t="inlineStr">
        <is>
          <t>High</t>
        </is>
      </c>
      <c r="G112" s="8" t="inlineStr">
        <is>
          <t>Low</t>
        </is>
      </c>
      <c r="H112">
        <f>IF(F112=G112,"YES","NO")</f>
        <v/>
      </c>
    </row>
    <row r="113">
      <c r="A113" s="6" t="inlineStr">
        <is>
          <t>Joel Rexroth</t>
        </is>
      </c>
      <c r="B113" s="7" t="n">
        <v>2</v>
      </c>
      <c r="C113" s="7" t="n">
        <v>2</v>
      </c>
      <c r="D113" s="7" t="n">
        <v>1</v>
      </c>
      <c r="E113" s="7" t="n">
        <v>0.3424</v>
      </c>
      <c r="F113" s="8" t="inlineStr">
        <is>
          <t>High</t>
        </is>
      </c>
      <c r="G113" s="8" t="inlineStr">
        <is>
          <t>High</t>
        </is>
      </c>
      <c r="H113">
        <f>IF(F113=G113,"YES","NO")</f>
        <v/>
      </c>
    </row>
    <row r="114">
      <c r="A114" s="6" t="inlineStr">
        <is>
          <t>John  Foster</t>
        </is>
      </c>
      <c r="B114" s="7" t="n">
        <v>22</v>
      </c>
      <c r="C114" s="7" t="n">
        <v>8</v>
      </c>
      <c r="D114" s="7" t="n">
        <v>0.3636</v>
      </c>
      <c r="E114" s="7" t="n">
        <v>0.1973</v>
      </c>
      <c r="F114" s="8" t="inlineStr">
        <is>
          <t>High</t>
        </is>
      </c>
      <c r="G114" s="8" t="inlineStr">
        <is>
          <t>Low</t>
        </is>
      </c>
      <c r="H114">
        <f>IF(F114=G114,"YES","NO")</f>
        <v/>
      </c>
    </row>
    <row r="115">
      <c r="A115" s="6" t="inlineStr">
        <is>
          <t>John Claiborne</t>
        </is>
      </c>
      <c r="B115" s="7" t="n">
        <v>583</v>
      </c>
      <c r="C115" s="7" t="n">
        <v>505</v>
      </c>
      <c r="D115" s="7" t="n">
        <v>0.8662</v>
      </c>
      <c r="E115" s="7" t="n">
        <v>0.8362000000000001</v>
      </c>
      <c r="F115" s="8" t="inlineStr">
        <is>
          <t>High</t>
        </is>
      </c>
      <c r="G115" s="8" t="inlineStr">
        <is>
          <t>High</t>
        </is>
      </c>
      <c r="H115">
        <f>IF(F115=G115,"YES","NO")</f>
        <v/>
      </c>
    </row>
    <row r="116">
      <c r="A116" s="6" t="inlineStr">
        <is>
          <t>John Davis</t>
        </is>
      </c>
      <c r="B116" s="7" t="n">
        <v>129</v>
      </c>
      <c r="C116" s="7" t="n">
        <v>59</v>
      </c>
      <c r="D116" s="7" t="n">
        <v>0.4574</v>
      </c>
      <c r="E116" s="7" t="n">
        <v>0.3739</v>
      </c>
      <c r="F116" s="8" t="inlineStr">
        <is>
          <t>High</t>
        </is>
      </c>
      <c r="G116" s="8" t="inlineStr">
        <is>
          <t>Low</t>
        </is>
      </c>
      <c r="H116">
        <f>IF(F116=G116,"YES","NO")</f>
        <v/>
      </c>
    </row>
    <row r="117">
      <c r="A117" s="6" t="inlineStr">
        <is>
          <t>John Greene</t>
        </is>
      </c>
      <c r="B117" s="7" t="n">
        <v>49</v>
      </c>
      <c r="C117" s="7" t="n">
        <v>20</v>
      </c>
      <c r="D117" s="7" t="n">
        <v>0.4082</v>
      </c>
      <c r="E117" s="7" t="n">
        <v>0.2822</v>
      </c>
      <c r="F117" s="8" t="inlineStr">
        <is>
          <t>High</t>
        </is>
      </c>
      <c r="G117" s="8" t="inlineStr">
        <is>
          <t>High</t>
        </is>
      </c>
      <c r="H117">
        <f>IF(F117=G117,"YES","NO")</f>
        <v/>
      </c>
    </row>
    <row r="118">
      <c r="A118" s="6" t="inlineStr">
        <is>
          <t>John Kreider</t>
        </is>
      </c>
      <c r="B118" s="7" t="n">
        <v>4</v>
      </c>
      <c r="C118" s="7" t="n">
        <v>2</v>
      </c>
      <c r="D118" s="7" t="n">
        <v>0.5</v>
      </c>
      <c r="E118" s="7" t="n">
        <v>0.15</v>
      </c>
      <c r="F118" s="8" t="inlineStr">
        <is>
          <t>High</t>
        </is>
      </c>
      <c r="G118" s="8" t="inlineStr">
        <is>
          <t>Low</t>
        </is>
      </c>
      <c r="H118">
        <f>IF(F118=G118,"YES","NO")</f>
        <v/>
      </c>
    </row>
    <row r="119">
      <c r="A119" s="6" t="inlineStr">
        <is>
          <t>John Park</t>
        </is>
      </c>
      <c r="B119" s="7" t="n">
        <v>1</v>
      </c>
      <c r="C119" s="7" t="n">
        <v>1</v>
      </c>
      <c r="D119" s="7" t="n">
        <v>1</v>
      </c>
      <c r="E119" s="7" t="n">
        <v>0.2065</v>
      </c>
      <c r="F119" s="8" t="inlineStr">
        <is>
          <t>High</t>
        </is>
      </c>
      <c r="G119" s="8" t="inlineStr">
        <is>
          <t>High</t>
        </is>
      </c>
      <c r="H119">
        <f>IF(F119=G119,"YES","NO")</f>
        <v/>
      </c>
    </row>
    <row r="120">
      <c r="A120" s="6" t="inlineStr">
        <is>
          <t>John Sicignano</t>
        </is>
      </c>
      <c r="B120" s="7" t="n">
        <v>64</v>
      </c>
      <c r="C120" s="7" t="n">
        <v>35</v>
      </c>
      <c r="D120" s="7" t="n">
        <v>0.5469000000000001</v>
      </c>
      <c r="E120" s="7" t="n">
        <v>0.4257</v>
      </c>
      <c r="F120" s="8" t="inlineStr">
        <is>
          <t>High</t>
        </is>
      </c>
      <c r="G120" s="8" t="inlineStr">
        <is>
          <t>Medium</t>
        </is>
      </c>
      <c r="H120">
        <f>IF(F120=G120,"YES","NO")</f>
        <v/>
      </c>
    </row>
    <row r="121">
      <c r="A121" s="6" t="inlineStr">
        <is>
          <t>John Wermann</t>
        </is>
      </c>
      <c r="B121" s="7" t="n">
        <v>2</v>
      </c>
      <c r="C121" s="7" t="n">
        <v>2</v>
      </c>
      <c r="D121" s="7" t="n">
        <v>1</v>
      </c>
      <c r="E121" s="7" t="n">
        <v>0.3424</v>
      </c>
      <c r="F121" s="8" t="inlineStr">
        <is>
          <t>High</t>
        </is>
      </c>
      <c r="G121" s="8" t="inlineStr">
        <is>
          <t>Medium</t>
        </is>
      </c>
      <c r="H121">
        <f>IF(F121=G121,"YES","NO")</f>
        <v/>
      </c>
    </row>
    <row r="122">
      <c r="A122" s="6" t="inlineStr">
        <is>
          <t>Jonathan Frantin</t>
        </is>
      </c>
      <c r="B122" s="7" t="n">
        <v>322</v>
      </c>
      <c r="C122" s="7" t="n">
        <v>81</v>
      </c>
      <c r="D122" s="7" t="n">
        <v>0.2516</v>
      </c>
      <c r="E122" s="7" t="n">
        <v>0.2073</v>
      </c>
      <c r="F122" s="8" t="inlineStr">
        <is>
          <t>High</t>
        </is>
      </c>
      <c r="G122" s="8" t="inlineStr">
        <is>
          <t>High</t>
        </is>
      </c>
      <c r="H122">
        <f>IF(F122=G122,"YES","NO")</f>
        <v/>
      </c>
    </row>
    <row r="123">
      <c r="A123" s="6" t="inlineStr">
        <is>
          <t>Jonathan Geyer</t>
        </is>
      </c>
      <c r="B123" s="7" t="n">
        <v>586</v>
      </c>
      <c r="C123" s="7" t="n">
        <v>88</v>
      </c>
      <c r="D123" s="7" t="n">
        <v>0.1502</v>
      </c>
      <c r="E123" s="7" t="n">
        <v>0.1235</v>
      </c>
      <c r="F123" s="8" t="inlineStr">
        <is>
          <t>High</t>
        </is>
      </c>
      <c r="G123" s="8" t="inlineStr">
        <is>
          <t>High</t>
        </is>
      </c>
      <c r="H123">
        <f>IF(F123=G123,"YES","NO")</f>
        <v/>
      </c>
    </row>
    <row r="124">
      <c r="A124" s="6" t="inlineStr">
        <is>
          <t>Joseph Daigle</t>
        </is>
      </c>
      <c r="B124" s="7" t="n">
        <v>396</v>
      </c>
      <c r="C124" s="7" t="n">
        <v>70</v>
      </c>
      <c r="D124" s="7" t="n">
        <v>0.1768</v>
      </c>
      <c r="E124" s="7" t="n">
        <v>0.1424</v>
      </c>
      <c r="F124" s="8" t="inlineStr">
        <is>
          <t>High</t>
        </is>
      </c>
      <c r="G124" s="8" t="inlineStr">
        <is>
          <t>High</t>
        </is>
      </c>
      <c r="H124">
        <f>IF(F124=G124,"YES","NO")</f>
        <v/>
      </c>
    </row>
    <row r="125">
      <c r="A125" s="6" t="inlineStr">
        <is>
          <t>Josh Stahl</t>
        </is>
      </c>
      <c r="B125" s="7" t="n">
        <v>2</v>
      </c>
      <c r="C125" s="7" t="n">
        <v>2</v>
      </c>
      <c r="D125" s="7" t="n">
        <v>1</v>
      </c>
      <c r="E125" s="7" t="n">
        <v>0.3424</v>
      </c>
      <c r="F125" s="8" t="inlineStr">
        <is>
          <t>High</t>
        </is>
      </c>
      <c r="G125" s="8" t="inlineStr">
        <is>
          <t>High</t>
        </is>
      </c>
      <c r="H125">
        <f>IF(F125=G125,"YES","NO")</f>
        <v/>
      </c>
    </row>
    <row r="126">
      <c r="A126" s="6" t="inlineStr">
        <is>
          <t>Joshua Hamilton</t>
        </is>
      </c>
      <c r="B126" s="7" t="n">
        <v>3</v>
      </c>
      <c r="C126" s="7" t="n">
        <v>2</v>
      </c>
      <c r="D126" s="7" t="n">
        <v>0.6667</v>
      </c>
      <c r="E126" s="7" t="n">
        <v>0.2077</v>
      </c>
      <c r="F126" s="8" t="inlineStr">
        <is>
          <t>High</t>
        </is>
      </c>
      <c r="G126" s="8" t="inlineStr">
        <is>
          <t>Medium</t>
        </is>
      </c>
      <c r="H126">
        <f>IF(F126=G126,"YES","NO")</f>
        <v/>
      </c>
    </row>
    <row r="127">
      <c r="A127" s="6" t="inlineStr">
        <is>
          <t>Josie Larkin</t>
        </is>
      </c>
      <c r="B127" s="7" t="n">
        <v>30</v>
      </c>
      <c r="C127" s="7" t="n">
        <v>8</v>
      </c>
      <c r="D127" s="7" t="n">
        <v>0.2667</v>
      </c>
      <c r="E127" s="7" t="n">
        <v>0.1418</v>
      </c>
      <c r="F127" s="8" t="inlineStr">
        <is>
          <t>High</t>
        </is>
      </c>
      <c r="G127" s="8" t="inlineStr">
        <is>
          <t>High</t>
        </is>
      </c>
      <c r="H127">
        <f>IF(F127=G127,"YES","NO")</f>
        <v/>
      </c>
    </row>
    <row r="128">
      <c r="A128" s="6" t="inlineStr">
        <is>
          <t>Joytika Prasad</t>
        </is>
      </c>
      <c r="B128" s="7" t="n">
        <v>257</v>
      </c>
      <c r="C128" s="7" t="n">
        <v>87</v>
      </c>
      <c r="D128" s="7" t="n">
        <v>0.3385</v>
      </c>
      <c r="E128" s="7" t="n">
        <v>0.2834</v>
      </c>
      <c r="F128" s="8" t="inlineStr">
        <is>
          <t>High</t>
        </is>
      </c>
      <c r="G128" s="8" t="inlineStr">
        <is>
          <t>High</t>
        </is>
      </c>
      <c r="H128">
        <f>IF(F128=G128,"YES","NO")</f>
        <v/>
      </c>
    </row>
    <row r="129">
      <c r="A129" s="6" t="inlineStr">
        <is>
          <t>Justin Dorsey</t>
        </is>
      </c>
      <c r="B129" s="7" t="n">
        <v>46</v>
      </c>
      <c r="C129" s="7" t="n">
        <v>13</v>
      </c>
      <c r="D129" s="7" t="n">
        <v>0.2826</v>
      </c>
      <c r="E129" s="7" t="n">
        <v>0.1732</v>
      </c>
      <c r="F129" s="8" t="inlineStr">
        <is>
          <t>High</t>
        </is>
      </c>
      <c r="G129" s="8" t="inlineStr">
        <is>
          <t>High</t>
        </is>
      </c>
      <c r="H129">
        <f>IF(F129=G129,"YES","NO")</f>
        <v/>
      </c>
    </row>
    <row r="130">
      <c r="A130" s="6" t="inlineStr">
        <is>
          <t>Katelyn Mason</t>
        </is>
      </c>
      <c r="B130" s="7" t="n">
        <v>17</v>
      </c>
      <c r="C130" s="7" t="n">
        <v>6</v>
      </c>
      <c r="D130" s="7" t="n">
        <v>0.3529</v>
      </c>
      <c r="E130" s="7" t="n">
        <v>0.1731</v>
      </c>
      <c r="F130" s="8" t="inlineStr">
        <is>
          <t>High</t>
        </is>
      </c>
      <c r="G130" s="8" t="inlineStr">
        <is>
          <t>High</t>
        </is>
      </c>
      <c r="H130">
        <f>IF(F130=G130,"YES","NO")</f>
        <v/>
      </c>
    </row>
    <row r="131">
      <c r="A131" s="6" t="inlineStr">
        <is>
          <t>Keaton Galindo</t>
        </is>
      </c>
      <c r="B131" s="7" t="n">
        <v>17</v>
      </c>
      <c r="C131" s="7" t="n">
        <v>7</v>
      </c>
      <c r="D131" s="7" t="n">
        <v>0.4118</v>
      </c>
      <c r="E131" s="7" t="n">
        <v>0.2161</v>
      </c>
      <c r="F131" s="8" t="inlineStr">
        <is>
          <t>High</t>
        </is>
      </c>
      <c r="G131" s="8" t="inlineStr">
        <is>
          <t>High</t>
        </is>
      </c>
      <c r="H131">
        <f>IF(F131=G131,"YES","NO")</f>
        <v/>
      </c>
    </row>
    <row r="132">
      <c r="A132" s="6" t="inlineStr">
        <is>
          <t>Keith Cook</t>
        </is>
      </c>
      <c r="B132" s="7" t="n">
        <v>1</v>
      </c>
      <c r="C132" s="7" t="n">
        <v>1</v>
      </c>
      <c r="D132" s="7" t="n">
        <v>1</v>
      </c>
      <c r="E132" s="7" t="n">
        <v>0.2065</v>
      </c>
      <c r="F132" s="8" t="inlineStr">
        <is>
          <t>High</t>
        </is>
      </c>
      <c r="G132" s="8" t="inlineStr">
        <is>
          <t>High</t>
        </is>
      </c>
      <c r="H132">
        <f>IF(F132=G132,"YES","NO")</f>
        <v/>
      </c>
    </row>
    <row r="133">
      <c r="A133" s="6" t="inlineStr">
        <is>
          <t>Kerri Jakobsen</t>
        </is>
      </c>
      <c r="B133" s="7" t="n">
        <v>3</v>
      </c>
      <c r="C133" s="7" t="n">
        <v>3</v>
      </c>
      <c r="D133" s="7" t="n">
        <v>1</v>
      </c>
      <c r="E133" s="7" t="n">
        <v>0.4385</v>
      </c>
      <c r="F133" s="8" t="inlineStr">
        <is>
          <t>High</t>
        </is>
      </c>
      <c r="G133" s="8" t="inlineStr">
        <is>
          <t>Medium</t>
        </is>
      </c>
      <c r="H133">
        <f>IF(F133=G133,"YES","NO")</f>
        <v/>
      </c>
    </row>
    <row r="134">
      <c r="A134" s="6" t="inlineStr">
        <is>
          <t>Kevin Tennenbaum</t>
        </is>
      </c>
      <c r="B134" s="7" t="n">
        <v>412</v>
      </c>
      <c r="C134" s="7" t="n">
        <v>87</v>
      </c>
      <c r="D134" s="7" t="n">
        <v>0.2112</v>
      </c>
      <c r="E134" s="7" t="n">
        <v>0.1745</v>
      </c>
      <c r="F134" s="8" t="inlineStr">
        <is>
          <t>High</t>
        </is>
      </c>
      <c r="G134" s="8" t="inlineStr">
        <is>
          <t>High</t>
        </is>
      </c>
      <c r="H134">
        <f>IF(F134=G134,"YES","NO")</f>
        <v/>
      </c>
    </row>
    <row r="135">
      <c r="A135" s="6" t="inlineStr">
        <is>
          <t>Kim Southerland</t>
        </is>
      </c>
      <c r="B135" s="7" t="n">
        <v>7</v>
      </c>
      <c r="C135" s="7" t="n">
        <v>3</v>
      </c>
      <c r="D135" s="7" t="n">
        <v>0.4286</v>
      </c>
      <c r="E135" s="7" t="n">
        <v>0.1582</v>
      </c>
      <c r="F135" s="8" t="inlineStr">
        <is>
          <t>High</t>
        </is>
      </c>
      <c r="G135" s="8" t="inlineStr">
        <is>
          <t>Low</t>
        </is>
      </c>
      <c r="H135">
        <f>IF(F135=G135,"YES","NO")</f>
        <v/>
      </c>
    </row>
    <row r="136">
      <c r="A136" s="6" t="inlineStr">
        <is>
          <t>Kristy  Becker</t>
        </is>
      </c>
      <c r="B136" s="7" t="n">
        <v>174</v>
      </c>
      <c r="C136" s="7" t="n">
        <v>92</v>
      </c>
      <c r="D136" s="7" t="n">
        <v>0.5286999999999999</v>
      </c>
      <c r="E136" s="7" t="n">
        <v>0.4547</v>
      </c>
      <c r="F136" s="8" t="inlineStr">
        <is>
          <t>High</t>
        </is>
      </c>
      <c r="G136" s="8" t="inlineStr">
        <is>
          <t>High</t>
        </is>
      </c>
      <c r="H136">
        <f>IF(F136=G136,"YES","NO")</f>
        <v/>
      </c>
    </row>
    <row r="137">
      <c r="A137" s="6" t="inlineStr">
        <is>
          <t>Kurtis Nourse</t>
        </is>
      </c>
      <c r="B137" s="7" t="n">
        <v>2</v>
      </c>
      <c r="C137" s="7" t="n">
        <v>2</v>
      </c>
      <c r="D137" s="7" t="n">
        <v>1</v>
      </c>
      <c r="E137" s="7" t="n">
        <v>0.3424</v>
      </c>
      <c r="F137" s="8" t="inlineStr">
        <is>
          <t>High</t>
        </is>
      </c>
      <c r="G137" s="8" t="inlineStr">
        <is>
          <t>Low</t>
        </is>
      </c>
      <c r="H137">
        <f>IF(F137=G137,"YES","NO")</f>
        <v/>
      </c>
    </row>
    <row r="138">
      <c r="A138" s="6" t="inlineStr">
        <is>
          <t>Lane Mallonee</t>
        </is>
      </c>
      <c r="B138" s="7" t="n">
        <v>42</v>
      </c>
      <c r="C138" s="7" t="n">
        <v>14</v>
      </c>
      <c r="D138" s="7" t="n">
        <v>0.3333</v>
      </c>
      <c r="E138" s="7" t="n">
        <v>0.2101</v>
      </c>
      <c r="F138" s="8" t="inlineStr">
        <is>
          <t>High</t>
        </is>
      </c>
      <c r="G138" s="8" t="inlineStr">
        <is>
          <t>High</t>
        </is>
      </c>
      <c r="H138">
        <f>IF(F138=G138,"YES","NO")</f>
        <v/>
      </c>
    </row>
    <row r="139">
      <c r="A139" s="6" t="inlineStr">
        <is>
          <t>Lawton Rinker</t>
        </is>
      </c>
      <c r="B139" s="7" t="n">
        <v>5</v>
      </c>
      <c r="C139" s="7" t="n">
        <v>3</v>
      </c>
      <c r="D139" s="7" t="n">
        <v>0.6</v>
      </c>
      <c r="E139" s="7" t="n">
        <v>0.2307</v>
      </c>
      <c r="F139" s="8" t="inlineStr">
        <is>
          <t>High</t>
        </is>
      </c>
      <c r="G139" s="8" t="inlineStr">
        <is>
          <t>High</t>
        </is>
      </c>
      <c r="H139">
        <f>IF(F139=G139,"YES","NO")</f>
        <v/>
      </c>
    </row>
    <row r="140">
      <c r="A140" s="6" t="inlineStr">
        <is>
          <t>LeRoy DePas</t>
        </is>
      </c>
      <c r="B140" s="7" t="n">
        <v>8</v>
      </c>
      <c r="C140" s="7" t="n">
        <v>3</v>
      </c>
      <c r="D140" s="7" t="n">
        <v>0.375</v>
      </c>
      <c r="E140" s="7" t="n">
        <v>0.1368</v>
      </c>
      <c r="F140" s="8" t="inlineStr">
        <is>
          <t>High</t>
        </is>
      </c>
      <c r="G140" s="8" t="inlineStr">
        <is>
          <t>High</t>
        </is>
      </c>
      <c r="H140">
        <f>IF(F140=G140,"YES","NO")</f>
        <v/>
      </c>
    </row>
    <row r="141">
      <c r="A141" s="6" t="inlineStr">
        <is>
          <t>Lenna Bedoya</t>
        </is>
      </c>
      <c r="B141" s="7" t="n">
        <v>6</v>
      </c>
      <c r="C141" s="7" t="n">
        <v>6</v>
      </c>
      <c r="D141" s="7" t="n">
        <v>1</v>
      </c>
      <c r="E141" s="7" t="n">
        <v>0.6097</v>
      </c>
      <c r="F141" s="8" t="inlineStr">
        <is>
          <t>High</t>
        </is>
      </c>
      <c r="G141" s="8" t="inlineStr">
        <is>
          <t>High</t>
        </is>
      </c>
      <c r="H141">
        <f>IF(F141=G141,"YES","NO")</f>
        <v/>
      </c>
    </row>
    <row r="142">
      <c r="A142" s="6" t="inlineStr">
        <is>
          <t>Linda Silver</t>
        </is>
      </c>
      <c r="B142" s="7" t="n">
        <v>4</v>
      </c>
      <c r="C142" s="7" t="n">
        <v>2</v>
      </c>
      <c r="D142" s="7" t="n">
        <v>0.5</v>
      </c>
      <c r="E142" s="7" t="n">
        <v>0.15</v>
      </c>
      <c r="F142" s="8" t="inlineStr">
        <is>
          <t>High</t>
        </is>
      </c>
      <c r="G142" s="8" t="inlineStr">
        <is>
          <t>Low</t>
        </is>
      </c>
      <c r="H142">
        <f>IF(F142=G142,"YES","NO")</f>
        <v/>
      </c>
    </row>
    <row r="143">
      <c r="A143" s="6" t="inlineStr">
        <is>
          <t>Lindsay Mathews</t>
        </is>
      </c>
      <c r="B143" s="7" t="n">
        <v>63</v>
      </c>
      <c r="C143" s="7" t="n">
        <v>18</v>
      </c>
      <c r="D143" s="7" t="n">
        <v>0.2857</v>
      </c>
      <c r="E143" s="7" t="n">
        <v>0.189</v>
      </c>
      <c r="F143" s="8" t="inlineStr">
        <is>
          <t>High</t>
        </is>
      </c>
      <c r="G143" s="8" t="inlineStr">
        <is>
          <t>High</t>
        </is>
      </c>
      <c r="H143">
        <f>IF(F143=G143,"YES","NO")</f>
        <v/>
      </c>
    </row>
    <row r="144">
      <c r="A144" s="6" t="inlineStr">
        <is>
          <t>Lindsay Roll</t>
        </is>
      </c>
      <c r="B144" s="7" t="n">
        <v>17</v>
      </c>
      <c r="C144" s="7" t="n">
        <v>5</v>
      </c>
      <c r="D144" s="7" t="n">
        <v>0.2941</v>
      </c>
      <c r="E144" s="7" t="n">
        <v>0.1328</v>
      </c>
      <c r="F144" s="8" t="inlineStr">
        <is>
          <t>High</t>
        </is>
      </c>
      <c r="G144" s="8" t="inlineStr">
        <is>
          <t>Low</t>
        </is>
      </c>
      <c r="H144">
        <f>IF(F144=G144,"YES","NO")</f>
        <v/>
      </c>
    </row>
    <row r="145">
      <c r="A145" s="6" t="inlineStr">
        <is>
          <t>Lisa Gray</t>
        </is>
      </c>
      <c r="B145" s="7" t="n">
        <v>190</v>
      </c>
      <c r="C145" s="7" t="n">
        <v>51</v>
      </c>
      <c r="D145" s="7" t="n">
        <v>0.2684</v>
      </c>
      <c r="E145" s="7" t="n">
        <v>0.2105</v>
      </c>
      <c r="F145" s="8" t="inlineStr">
        <is>
          <t>High</t>
        </is>
      </c>
      <c r="G145" s="8" t="inlineStr">
        <is>
          <t>High</t>
        </is>
      </c>
      <c r="H145">
        <f>IF(F145=G145,"YES","NO")</f>
        <v/>
      </c>
    </row>
    <row r="146">
      <c r="A146" s="6" t="inlineStr">
        <is>
          <t>Lisa Johnson</t>
        </is>
      </c>
      <c r="B146" s="7" t="n">
        <v>12</v>
      </c>
      <c r="C146" s="7" t="n">
        <v>7</v>
      </c>
      <c r="D146" s="7" t="n">
        <v>0.5833</v>
      </c>
      <c r="E146" s="7" t="n">
        <v>0.3195</v>
      </c>
      <c r="F146" s="8" t="inlineStr">
        <is>
          <t>High</t>
        </is>
      </c>
      <c r="G146" s="8" t="inlineStr">
        <is>
          <t>High</t>
        </is>
      </c>
      <c r="H146">
        <f>IF(F146=G146,"YES","NO")</f>
        <v/>
      </c>
    </row>
    <row r="147">
      <c r="A147" s="6" t="inlineStr">
        <is>
          <t>Madi Witry</t>
        </is>
      </c>
      <c r="B147" s="7" t="n">
        <v>117</v>
      </c>
      <c r="C147" s="7" t="n">
        <v>66</v>
      </c>
      <c r="D147" s="7" t="n">
        <v>0.5641</v>
      </c>
      <c r="E147" s="7" t="n">
        <v>0.4736</v>
      </c>
      <c r="F147" s="8" t="inlineStr">
        <is>
          <t>High</t>
        </is>
      </c>
      <c r="G147" s="8" t="inlineStr">
        <is>
          <t>High</t>
        </is>
      </c>
      <c r="H147">
        <f>IF(F147=G147,"YES","NO")</f>
        <v/>
      </c>
    </row>
    <row r="148">
      <c r="A148" s="6" t="inlineStr">
        <is>
          <t>Madison Sheaffer</t>
        </is>
      </c>
      <c r="B148" s="7" t="n">
        <v>173</v>
      </c>
      <c r="C148" s="7" t="n">
        <v>31</v>
      </c>
      <c r="D148" s="7" t="n">
        <v>0.1792</v>
      </c>
      <c r="E148" s="7" t="n">
        <v>0.1292</v>
      </c>
      <c r="F148" s="8" t="inlineStr">
        <is>
          <t>High</t>
        </is>
      </c>
      <c r="G148" s="8" t="inlineStr">
        <is>
          <t>Low</t>
        </is>
      </c>
      <c r="H148">
        <f>IF(F148=G148,"YES","NO")</f>
        <v/>
      </c>
    </row>
    <row r="149">
      <c r="A149" s="6" t="inlineStr">
        <is>
          <t>Marco Romero</t>
        </is>
      </c>
      <c r="B149" s="7" t="n">
        <v>7</v>
      </c>
      <c r="C149" s="7" t="n">
        <v>5</v>
      </c>
      <c r="D149" s="7" t="n">
        <v>0.7143</v>
      </c>
      <c r="E149" s="7" t="n">
        <v>0.3589</v>
      </c>
      <c r="F149" s="8" t="inlineStr">
        <is>
          <t>High</t>
        </is>
      </c>
      <c r="G149" s="8" t="inlineStr">
        <is>
          <t>Medium</t>
        </is>
      </c>
      <c r="H149">
        <f>IF(F149=G149,"YES","NO")</f>
        <v/>
      </c>
    </row>
    <row r="150">
      <c r="A150" s="6" t="inlineStr">
        <is>
          <t>Maree Taylor</t>
        </is>
      </c>
      <c r="B150" s="7" t="n">
        <v>6</v>
      </c>
      <c r="C150" s="7" t="n">
        <v>3</v>
      </c>
      <c r="D150" s="7" t="n">
        <v>0.5</v>
      </c>
      <c r="E150" s="7" t="n">
        <v>0.1876</v>
      </c>
      <c r="F150" s="8" t="inlineStr">
        <is>
          <t>High</t>
        </is>
      </c>
      <c r="G150" s="8" t="inlineStr">
        <is>
          <t>Medium</t>
        </is>
      </c>
      <c r="H150">
        <f>IF(F150=G150,"YES","NO")</f>
        <v/>
      </c>
    </row>
    <row r="151">
      <c r="A151" s="6" t="inlineStr">
        <is>
          <t>Mario Munoz</t>
        </is>
      </c>
      <c r="B151" s="7" t="n">
        <v>4</v>
      </c>
      <c r="C151" s="7" t="n">
        <v>2</v>
      </c>
      <c r="D151" s="7" t="n">
        <v>0.5</v>
      </c>
      <c r="E151" s="7" t="n">
        <v>0.15</v>
      </c>
      <c r="F151" s="8" t="inlineStr">
        <is>
          <t>High</t>
        </is>
      </c>
      <c r="G151" s="8" t="inlineStr">
        <is>
          <t>Low</t>
        </is>
      </c>
      <c r="H151">
        <f>IF(F151=G151,"YES","NO")</f>
        <v/>
      </c>
    </row>
    <row r="152">
      <c r="A152" s="6" t="inlineStr">
        <is>
          <t>Mark Clark</t>
        </is>
      </c>
      <c r="B152" s="7" t="n">
        <v>30</v>
      </c>
      <c r="C152" s="7" t="n">
        <v>22</v>
      </c>
      <c r="D152" s="7" t="n">
        <v>0.7333</v>
      </c>
      <c r="E152" s="7" t="n">
        <v>0.5555</v>
      </c>
      <c r="F152" s="8" t="inlineStr">
        <is>
          <t>High</t>
        </is>
      </c>
      <c r="G152" s="8" t="inlineStr">
        <is>
          <t>Low</t>
        </is>
      </c>
      <c r="H152">
        <f>IF(F152=G152,"YES","NO")</f>
        <v/>
      </c>
    </row>
    <row r="153">
      <c r="A153" s="6" t="inlineStr">
        <is>
          <t>Mark Fulk</t>
        </is>
      </c>
      <c r="B153" s="7" t="n">
        <v>750</v>
      </c>
      <c r="C153" s="7" t="n">
        <v>138</v>
      </c>
      <c r="D153" s="7" t="n">
        <v>0.184</v>
      </c>
      <c r="E153" s="7" t="n">
        <v>0.1579</v>
      </c>
      <c r="F153" s="8" t="inlineStr">
        <is>
          <t>High</t>
        </is>
      </c>
      <c r="G153" s="8" t="inlineStr">
        <is>
          <t>High</t>
        </is>
      </c>
      <c r="H153">
        <f>IF(F153=G153,"YES","NO")</f>
        <v/>
      </c>
    </row>
    <row r="154">
      <c r="A154" s="6" t="inlineStr">
        <is>
          <t>Mark Goldsmith</t>
        </is>
      </c>
      <c r="B154" s="7" t="n">
        <v>2</v>
      </c>
      <c r="C154" s="7" t="n">
        <v>2</v>
      </c>
      <c r="D154" s="7" t="n">
        <v>1</v>
      </c>
      <c r="E154" s="7" t="n">
        <v>0.3424</v>
      </c>
      <c r="F154" s="8" t="inlineStr">
        <is>
          <t>High</t>
        </is>
      </c>
      <c r="G154" s="8" t="inlineStr">
        <is>
          <t>High</t>
        </is>
      </c>
      <c r="H154">
        <f>IF(F154=G154,"YES","NO")</f>
        <v/>
      </c>
    </row>
    <row r="155">
      <c r="A155" s="6" t="inlineStr">
        <is>
          <t>Mark Kanakis</t>
        </is>
      </c>
      <c r="B155" s="7" t="n">
        <v>158</v>
      </c>
      <c r="C155" s="7" t="n">
        <v>31</v>
      </c>
      <c r="D155" s="7" t="n">
        <v>0.1962</v>
      </c>
      <c r="E155" s="7" t="n">
        <v>0.1418</v>
      </c>
      <c r="F155" s="8" t="inlineStr">
        <is>
          <t>High</t>
        </is>
      </c>
      <c r="G155" s="8" t="inlineStr">
        <is>
          <t>High</t>
        </is>
      </c>
      <c r="H155">
        <f>IF(F155=G155,"YES","NO")</f>
        <v/>
      </c>
    </row>
    <row r="156">
      <c r="A156" s="6" t="inlineStr">
        <is>
          <t>Mark McKee</t>
        </is>
      </c>
      <c r="B156" s="7" t="n">
        <v>181</v>
      </c>
      <c r="C156" s="7" t="n">
        <v>82</v>
      </c>
      <c r="D156" s="7" t="n">
        <v>0.453</v>
      </c>
      <c r="E156" s="7" t="n">
        <v>0.3822</v>
      </c>
      <c r="F156" s="8" t="inlineStr">
        <is>
          <t>High</t>
        </is>
      </c>
      <c r="G156" s="8" t="inlineStr">
        <is>
          <t>High</t>
        </is>
      </c>
      <c r="H156">
        <f>IF(F156=G156,"YES","NO")</f>
        <v/>
      </c>
    </row>
    <row r="157">
      <c r="A157" s="6" t="inlineStr">
        <is>
          <t>Mark Ultis</t>
        </is>
      </c>
      <c r="B157" s="7" t="n">
        <v>64</v>
      </c>
      <c r="C157" s="7" t="n">
        <v>18</v>
      </c>
      <c r="D157" s="7" t="n">
        <v>0.2812</v>
      </c>
      <c r="E157" s="7" t="n">
        <v>0.1859</v>
      </c>
      <c r="F157" s="8" t="inlineStr">
        <is>
          <t>High</t>
        </is>
      </c>
      <c r="G157" s="8" t="inlineStr">
        <is>
          <t>Low</t>
        </is>
      </c>
      <c r="H157">
        <f>IF(F157=G157,"YES","NO")</f>
        <v/>
      </c>
    </row>
    <row r="158">
      <c r="A158" s="6" t="inlineStr">
        <is>
          <t>Martin Randall</t>
        </is>
      </c>
      <c r="B158" s="7" t="n">
        <v>351</v>
      </c>
      <c r="C158" s="7" t="n">
        <v>239</v>
      </c>
      <c r="D158" s="7" t="n">
        <v>0.6808999999999999</v>
      </c>
      <c r="E158" s="7" t="n">
        <v>0.6304</v>
      </c>
      <c r="F158" s="8" t="inlineStr">
        <is>
          <t>High</t>
        </is>
      </c>
      <c r="G158" s="8" t="inlineStr">
        <is>
          <t>High</t>
        </is>
      </c>
      <c r="H158">
        <f>IF(F158=G158,"YES","NO")</f>
        <v/>
      </c>
    </row>
    <row r="159">
      <c r="A159" s="6" t="inlineStr">
        <is>
          <t>Mason  Magleby</t>
        </is>
      </c>
      <c r="B159" s="7" t="n">
        <v>161</v>
      </c>
      <c r="C159" s="7" t="n">
        <v>39</v>
      </c>
      <c r="D159" s="7" t="n">
        <v>0.2422</v>
      </c>
      <c r="E159" s="7" t="n">
        <v>0.1826</v>
      </c>
      <c r="F159" s="8" t="inlineStr">
        <is>
          <t>High</t>
        </is>
      </c>
      <c r="G159" s="8" t="inlineStr">
        <is>
          <t>High</t>
        </is>
      </c>
      <c r="H159">
        <f>IF(F159=G159,"YES","NO")</f>
        <v/>
      </c>
    </row>
    <row r="160">
      <c r="A160" s="6" t="inlineStr">
        <is>
          <t>Matt Hughes</t>
        </is>
      </c>
      <c r="B160" s="7" t="n">
        <v>131</v>
      </c>
      <c r="C160" s="7" t="n">
        <v>68</v>
      </c>
      <c r="D160" s="7" t="n">
        <v>0.5191</v>
      </c>
      <c r="E160" s="7" t="n">
        <v>0.4342</v>
      </c>
      <c r="F160" s="8" t="inlineStr">
        <is>
          <t>High</t>
        </is>
      </c>
      <c r="G160" s="8" t="inlineStr">
        <is>
          <t>High</t>
        </is>
      </c>
      <c r="H160">
        <f>IF(F160=G160,"YES","NO")</f>
        <v/>
      </c>
    </row>
    <row r="161">
      <c r="A161" s="6" t="inlineStr">
        <is>
          <t>Matthew Blevins</t>
        </is>
      </c>
      <c r="B161" s="7" t="n">
        <v>230</v>
      </c>
      <c r="C161" s="7" t="n">
        <v>115</v>
      </c>
      <c r="D161" s="7" t="n">
        <v>0.5</v>
      </c>
      <c r="E161" s="7" t="n">
        <v>0.4359</v>
      </c>
      <c r="F161" s="8" t="inlineStr">
        <is>
          <t>High</t>
        </is>
      </c>
      <c r="G161" s="8" t="inlineStr">
        <is>
          <t>High</t>
        </is>
      </c>
      <c r="H161">
        <f>IF(F161=G161,"YES","NO")</f>
        <v/>
      </c>
    </row>
    <row r="162">
      <c r="A162" s="6" t="inlineStr">
        <is>
          <t>Matthew Yriarte</t>
        </is>
      </c>
      <c r="B162" s="7" t="n">
        <v>18</v>
      </c>
      <c r="C162" s="7" t="n">
        <v>8</v>
      </c>
      <c r="D162" s="7" t="n">
        <v>0.4444</v>
      </c>
      <c r="E162" s="7" t="n">
        <v>0.2456</v>
      </c>
      <c r="F162" s="8" t="inlineStr">
        <is>
          <t>High</t>
        </is>
      </c>
      <c r="G162" s="8" t="inlineStr">
        <is>
          <t>High</t>
        </is>
      </c>
      <c r="H162">
        <f>IF(F162=G162,"YES","NO")</f>
        <v/>
      </c>
    </row>
    <row r="163">
      <c r="A163" s="6" t="inlineStr">
        <is>
          <t>Melisa Cull</t>
        </is>
      </c>
      <c r="B163" s="7" t="n">
        <v>3</v>
      </c>
      <c r="C163" s="7" t="n">
        <v>2</v>
      </c>
      <c r="D163" s="7" t="n">
        <v>0.6667</v>
      </c>
      <c r="E163" s="7" t="n">
        <v>0.2077</v>
      </c>
      <c r="F163" s="8" t="inlineStr">
        <is>
          <t>High</t>
        </is>
      </c>
      <c r="G163" s="8" t="inlineStr">
        <is>
          <t>High</t>
        </is>
      </c>
      <c r="H163">
        <f>IF(F163=G163,"YES","NO")</f>
        <v/>
      </c>
    </row>
    <row r="164">
      <c r="A164" s="6" t="inlineStr">
        <is>
          <t>Michael Kates</t>
        </is>
      </c>
      <c r="B164" s="7" t="n">
        <v>1</v>
      </c>
      <c r="C164" s="7" t="n">
        <v>1</v>
      </c>
      <c r="D164" s="7" t="n">
        <v>1</v>
      </c>
      <c r="E164" s="7" t="n">
        <v>0.2065</v>
      </c>
      <c r="F164" s="8" t="inlineStr">
        <is>
          <t>High</t>
        </is>
      </c>
      <c r="G164" s="8" t="inlineStr">
        <is>
          <t>High</t>
        </is>
      </c>
      <c r="H164">
        <f>IF(F164=G164,"YES","NO")</f>
        <v/>
      </c>
    </row>
    <row r="165">
      <c r="A165" s="6" t="inlineStr">
        <is>
          <t>Mike Berard</t>
        </is>
      </c>
      <c r="B165" s="7" t="n">
        <v>1</v>
      </c>
      <c r="C165" s="7" t="n">
        <v>1</v>
      </c>
      <c r="D165" s="7" t="n">
        <v>1</v>
      </c>
      <c r="E165" s="7" t="n">
        <v>0.2065</v>
      </c>
      <c r="F165" s="8" t="inlineStr">
        <is>
          <t>High</t>
        </is>
      </c>
      <c r="G165" s="8" t="inlineStr">
        <is>
          <t>Low</t>
        </is>
      </c>
      <c r="H165">
        <f>IF(F165=G165,"YES","NO")</f>
        <v/>
      </c>
    </row>
    <row r="166">
      <c r="A166" s="6" t="inlineStr">
        <is>
          <t>Mike Booker</t>
        </is>
      </c>
      <c r="B166" s="7" t="n">
        <v>5</v>
      </c>
      <c r="C166" s="7" t="n">
        <v>4</v>
      </c>
      <c r="D166" s="7" t="n">
        <v>0.8</v>
      </c>
      <c r="E166" s="7" t="n">
        <v>0.3755</v>
      </c>
      <c r="F166" s="8" t="inlineStr">
        <is>
          <t>High</t>
        </is>
      </c>
      <c r="G166" s="8" t="inlineStr">
        <is>
          <t>High</t>
        </is>
      </c>
      <c r="H166">
        <f>IF(F166=G166,"YES","NO")</f>
        <v/>
      </c>
    </row>
    <row r="167">
      <c r="A167" s="6" t="inlineStr">
        <is>
          <t>Mike Borashko</t>
        </is>
      </c>
      <c r="B167" s="7" t="n">
        <v>6</v>
      </c>
      <c r="C167" s="7" t="n">
        <v>5</v>
      </c>
      <c r="D167" s="7" t="n">
        <v>0.8333</v>
      </c>
      <c r="E167" s="7" t="n">
        <v>0.4365</v>
      </c>
      <c r="F167" s="8" t="inlineStr">
        <is>
          <t>High</t>
        </is>
      </c>
      <c r="G167" s="8" t="inlineStr">
        <is>
          <t>High</t>
        </is>
      </c>
      <c r="H167">
        <f>IF(F167=G167,"YES","NO")</f>
        <v/>
      </c>
    </row>
    <row r="168">
      <c r="A168" s="6" t="inlineStr">
        <is>
          <t>Mike Frazier</t>
        </is>
      </c>
      <c r="B168" s="7" t="n">
        <v>14</v>
      </c>
      <c r="C168" s="7" t="n">
        <v>6</v>
      </c>
      <c r="D168" s="7" t="n">
        <v>0.4286</v>
      </c>
      <c r="E168" s="7" t="n">
        <v>0.2138</v>
      </c>
      <c r="F168" s="8" t="inlineStr">
        <is>
          <t>High</t>
        </is>
      </c>
      <c r="G168" s="8" t="inlineStr">
        <is>
          <t>High</t>
        </is>
      </c>
      <c r="H168">
        <f>IF(F168=G168,"YES","NO")</f>
        <v/>
      </c>
    </row>
    <row r="169">
      <c r="A169" s="6" t="inlineStr">
        <is>
          <t>Mike Napolitano</t>
        </is>
      </c>
      <c r="B169" s="7" t="n">
        <v>207</v>
      </c>
      <c r="C169" s="7" t="n">
        <v>48</v>
      </c>
      <c r="D169" s="7" t="n">
        <v>0.2319</v>
      </c>
      <c r="E169" s="7" t="n">
        <v>0.1796</v>
      </c>
      <c r="F169" s="8" t="inlineStr">
        <is>
          <t>High</t>
        </is>
      </c>
      <c r="G169" s="8" t="inlineStr">
        <is>
          <t>High</t>
        </is>
      </c>
      <c r="H169">
        <f>IF(F169=G169,"YES","NO")</f>
        <v/>
      </c>
    </row>
    <row r="170">
      <c r="A170" s="6" t="inlineStr">
        <is>
          <t>Mills Babb</t>
        </is>
      </c>
      <c r="B170" s="7" t="n">
        <v>383</v>
      </c>
      <c r="C170" s="7" t="n">
        <v>60</v>
      </c>
      <c r="D170" s="7" t="n">
        <v>0.1567</v>
      </c>
      <c r="E170" s="7" t="n">
        <v>0.1237</v>
      </c>
      <c r="F170" s="8" t="inlineStr">
        <is>
          <t>High</t>
        </is>
      </c>
      <c r="G170" s="8" t="inlineStr">
        <is>
          <t>Low</t>
        </is>
      </c>
      <c r="H170">
        <f>IF(F170=G170,"YES","NO")</f>
        <v/>
      </c>
    </row>
    <row r="171">
      <c r="A171" s="6" t="inlineStr">
        <is>
          <t>Nate Robinson</t>
        </is>
      </c>
      <c r="B171" s="7" t="n">
        <v>207</v>
      </c>
      <c r="C171" s="7" t="n">
        <v>93</v>
      </c>
      <c r="D171" s="7" t="n">
        <v>0.4493</v>
      </c>
      <c r="E171" s="7" t="n">
        <v>0.3831</v>
      </c>
      <c r="F171" s="8" t="inlineStr">
        <is>
          <t>High</t>
        </is>
      </c>
      <c r="G171" s="8" t="inlineStr">
        <is>
          <t>High</t>
        </is>
      </c>
      <c r="H171">
        <f>IF(F171=G171,"YES","NO")</f>
        <v/>
      </c>
    </row>
    <row r="172">
      <c r="A172" s="6" t="inlineStr">
        <is>
          <t>Nathan Bice</t>
        </is>
      </c>
      <c r="B172" s="7" t="n">
        <v>6</v>
      </c>
      <c r="C172" s="7" t="n">
        <v>3</v>
      </c>
      <c r="D172" s="7" t="n">
        <v>0.5</v>
      </c>
      <c r="E172" s="7" t="n">
        <v>0.1876</v>
      </c>
      <c r="F172" s="8" t="inlineStr">
        <is>
          <t>High</t>
        </is>
      </c>
      <c r="G172" s="8" t="inlineStr">
        <is>
          <t>Low</t>
        </is>
      </c>
      <c r="H172">
        <f>IF(F172=G172,"YES","NO")</f>
        <v/>
      </c>
    </row>
    <row r="173">
      <c r="A173" s="6" t="inlineStr">
        <is>
          <t>Nick Lanham</t>
        </is>
      </c>
      <c r="B173" s="7" t="n">
        <v>4</v>
      </c>
      <c r="C173" s="7" t="n">
        <v>3</v>
      </c>
      <c r="D173" s="7" t="n">
        <v>0.75</v>
      </c>
      <c r="E173" s="7" t="n">
        <v>0.3006</v>
      </c>
      <c r="F173" s="8" t="inlineStr">
        <is>
          <t>High</t>
        </is>
      </c>
      <c r="G173" s="8" t="inlineStr">
        <is>
          <t>Low</t>
        </is>
      </c>
      <c r="H173">
        <f>IF(F173=G173,"YES","NO")</f>
        <v/>
      </c>
    </row>
    <row r="174">
      <c r="A174" s="6" t="inlineStr">
        <is>
          <t>Nick Leko</t>
        </is>
      </c>
      <c r="B174" s="7" t="n">
        <v>507</v>
      </c>
      <c r="C174" s="7" t="n">
        <v>98</v>
      </c>
      <c r="D174" s="7" t="n">
        <v>0.1933</v>
      </c>
      <c r="E174" s="7" t="n">
        <v>0.1613</v>
      </c>
      <c r="F174" s="8" t="inlineStr">
        <is>
          <t>High</t>
        </is>
      </c>
      <c r="G174" s="8" t="inlineStr">
        <is>
          <t>High</t>
        </is>
      </c>
      <c r="H174">
        <f>IF(F174=G174,"YES","NO")</f>
        <v/>
      </c>
    </row>
    <row r="175">
      <c r="A175" s="6" t="inlineStr">
        <is>
          <t>Nick Palluzzi</t>
        </is>
      </c>
      <c r="B175" s="7" t="n">
        <v>5</v>
      </c>
      <c r="C175" s="7" t="n">
        <v>3</v>
      </c>
      <c r="D175" s="7" t="n">
        <v>0.6</v>
      </c>
      <c r="E175" s="7" t="n">
        <v>0.2307</v>
      </c>
      <c r="F175" s="8" t="inlineStr">
        <is>
          <t>High</t>
        </is>
      </c>
      <c r="G175" s="8" t="inlineStr">
        <is>
          <t>Medium</t>
        </is>
      </c>
      <c r="H175">
        <f>IF(F175=G175,"YES","NO")</f>
        <v/>
      </c>
    </row>
    <row r="176">
      <c r="A176" s="6" t="inlineStr">
        <is>
          <t>Nick Treat</t>
        </is>
      </c>
      <c r="B176" s="7" t="n">
        <v>60</v>
      </c>
      <c r="C176" s="7" t="n">
        <v>18</v>
      </c>
      <c r="D176" s="7" t="n">
        <v>0.3</v>
      </c>
      <c r="E176" s="7" t="n">
        <v>0.199</v>
      </c>
      <c r="F176" s="8" t="inlineStr">
        <is>
          <t>High</t>
        </is>
      </c>
      <c r="G176" s="8" t="inlineStr">
        <is>
          <t>Low</t>
        </is>
      </c>
      <c r="H176">
        <f>IF(F176=G176,"YES","NO")</f>
        <v/>
      </c>
    </row>
    <row r="177">
      <c r="A177" s="6" t="inlineStr">
        <is>
          <t>Niklas VonderHaar</t>
        </is>
      </c>
      <c r="B177" s="7" t="n">
        <v>109</v>
      </c>
      <c r="C177" s="7" t="n">
        <v>34</v>
      </c>
      <c r="D177" s="7" t="n">
        <v>0.3119</v>
      </c>
      <c r="E177" s="7" t="n">
        <v>0.2326</v>
      </c>
      <c r="F177" s="8" t="inlineStr">
        <is>
          <t>High</t>
        </is>
      </c>
      <c r="G177" s="8" t="inlineStr">
        <is>
          <t>High</t>
        </is>
      </c>
      <c r="H177">
        <f>IF(F177=G177,"YES","NO")</f>
        <v/>
      </c>
    </row>
    <row r="178">
      <c r="A178" s="6" t="inlineStr">
        <is>
          <t>Noah Wilson</t>
        </is>
      </c>
      <c r="B178" s="7" t="n">
        <v>34</v>
      </c>
      <c r="C178" s="7" t="n">
        <v>16</v>
      </c>
      <c r="D178" s="7" t="n">
        <v>0.4706</v>
      </c>
      <c r="E178" s="7" t="n">
        <v>0.3145</v>
      </c>
      <c r="F178" s="8" t="inlineStr">
        <is>
          <t>High</t>
        </is>
      </c>
      <c r="G178" s="8" t="inlineStr">
        <is>
          <t>High</t>
        </is>
      </c>
      <c r="H178">
        <f>IF(F178=G178,"YES","NO")</f>
        <v/>
      </c>
    </row>
    <row r="179">
      <c r="A179" s="6" t="inlineStr">
        <is>
          <t>Nojan Rafieyan Brojeni</t>
        </is>
      </c>
      <c r="B179" s="7" t="n">
        <v>11</v>
      </c>
      <c r="C179" s="7" t="n">
        <v>5</v>
      </c>
      <c r="D179" s="7" t="n">
        <v>0.4545</v>
      </c>
      <c r="E179" s="7" t="n">
        <v>0.2127</v>
      </c>
      <c r="F179" s="8" t="inlineStr">
        <is>
          <t>High</t>
        </is>
      </c>
      <c r="G179" s="8" t="inlineStr">
        <is>
          <t>Low</t>
        </is>
      </c>
      <c r="H179">
        <f>IF(F179=G179,"YES","NO")</f>
        <v/>
      </c>
    </row>
    <row r="180">
      <c r="A180" s="6" t="inlineStr">
        <is>
          <t>Nolan Kiem</t>
        </is>
      </c>
      <c r="B180" s="7" t="n">
        <v>67</v>
      </c>
      <c r="C180" s="7" t="n">
        <v>14</v>
      </c>
      <c r="D180" s="7" t="n">
        <v>0.209</v>
      </c>
      <c r="E180" s="7" t="n">
        <v>0.1288</v>
      </c>
      <c r="F180" s="8" t="inlineStr">
        <is>
          <t>High</t>
        </is>
      </c>
      <c r="G180" s="8" t="inlineStr">
        <is>
          <t>Low</t>
        </is>
      </c>
      <c r="H180">
        <f>IF(F180=G180,"YES","NO")</f>
        <v/>
      </c>
    </row>
    <row r="181">
      <c r="A181" s="6" t="inlineStr">
        <is>
          <t>Oscar Pennell</t>
        </is>
      </c>
      <c r="B181" s="7" t="n">
        <v>2</v>
      </c>
      <c r="C181" s="7" t="n">
        <v>2</v>
      </c>
      <c r="D181" s="7" t="n">
        <v>1</v>
      </c>
      <c r="E181" s="7" t="n">
        <v>0.3424</v>
      </c>
      <c r="F181" s="8" t="inlineStr">
        <is>
          <t>High</t>
        </is>
      </c>
      <c r="G181" s="8" t="inlineStr">
        <is>
          <t>Low</t>
        </is>
      </c>
      <c r="H181">
        <f>IF(F181=G181,"YES","NO")</f>
        <v/>
      </c>
    </row>
    <row r="182">
      <c r="A182" s="6" t="inlineStr">
        <is>
          <t>Patrick Beach</t>
        </is>
      </c>
      <c r="B182" s="7" t="n">
        <v>4</v>
      </c>
      <c r="C182" s="7" t="n">
        <v>2</v>
      </c>
      <c r="D182" s="7" t="n">
        <v>0.5</v>
      </c>
      <c r="E182" s="7" t="n">
        <v>0.15</v>
      </c>
      <c r="F182" s="8" t="inlineStr">
        <is>
          <t>High</t>
        </is>
      </c>
      <c r="G182" s="8" t="inlineStr">
        <is>
          <t>Medium</t>
        </is>
      </c>
      <c r="H182">
        <f>IF(F182=G182,"YES","NO")</f>
        <v/>
      </c>
    </row>
    <row r="183">
      <c r="A183" s="6" t="inlineStr">
        <is>
          <t>Patrick Kirk</t>
        </is>
      </c>
      <c r="B183" s="7" t="n">
        <v>31</v>
      </c>
      <c r="C183" s="7" t="n">
        <v>18</v>
      </c>
      <c r="D183" s="7" t="n">
        <v>0.5806</v>
      </c>
      <c r="E183" s="7" t="n">
        <v>0.4077</v>
      </c>
      <c r="F183" s="8" t="inlineStr">
        <is>
          <t>High</t>
        </is>
      </c>
      <c r="G183" s="8" t="inlineStr">
        <is>
          <t>High</t>
        </is>
      </c>
      <c r="H183">
        <f>IF(F183=G183,"YES","NO")</f>
        <v/>
      </c>
    </row>
    <row r="184">
      <c r="A184" s="6" t="inlineStr">
        <is>
          <t>Patrick Maguire</t>
        </is>
      </c>
      <c r="B184" s="7" t="n">
        <v>2</v>
      </c>
      <c r="C184" s="7" t="n">
        <v>2</v>
      </c>
      <c r="D184" s="7" t="n">
        <v>1</v>
      </c>
      <c r="E184" s="7" t="n">
        <v>0.3424</v>
      </c>
      <c r="F184" s="8" t="inlineStr">
        <is>
          <t>High</t>
        </is>
      </c>
      <c r="G184" s="8" t="inlineStr">
        <is>
          <t>High</t>
        </is>
      </c>
      <c r="H184">
        <f>IF(F184=G184,"YES","NO")</f>
        <v/>
      </c>
    </row>
    <row r="185">
      <c r="A185" s="6" t="inlineStr">
        <is>
          <t>Patty Johnson</t>
        </is>
      </c>
      <c r="B185" s="7" t="n">
        <v>12</v>
      </c>
      <c r="C185" s="7" t="n">
        <v>4</v>
      </c>
      <c r="D185" s="7" t="n">
        <v>0.3333</v>
      </c>
      <c r="E185" s="7" t="n">
        <v>0.1381</v>
      </c>
      <c r="F185" s="8" t="inlineStr">
        <is>
          <t>High</t>
        </is>
      </c>
      <c r="G185" s="8" t="inlineStr">
        <is>
          <t>High</t>
        </is>
      </c>
      <c r="H185">
        <f>IF(F185=G185,"YES","NO")</f>
        <v/>
      </c>
    </row>
    <row r="186">
      <c r="A186" s="6" t="inlineStr">
        <is>
          <t>Quinn MacLean</t>
        </is>
      </c>
      <c r="B186" s="7" t="n">
        <v>14</v>
      </c>
      <c r="C186" s="7" t="n">
        <v>7</v>
      </c>
      <c r="D186" s="7" t="n">
        <v>0.5</v>
      </c>
      <c r="E186" s="7" t="n">
        <v>0.268</v>
      </c>
      <c r="F186" s="8" t="inlineStr">
        <is>
          <t>High</t>
        </is>
      </c>
      <c r="G186" s="8" t="inlineStr">
        <is>
          <t>Low</t>
        </is>
      </c>
      <c r="H186">
        <f>IF(F186=G186,"YES","NO")</f>
        <v/>
      </c>
    </row>
    <row r="187">
      <c r="A187" s="6" t="inlineStr">
        <is>
          <t>Quinton Reece</t>
        </is>
      </c>
      <c r="B187" s="7" t="n">
        <v>4</v>
      </c>
      <c r="C187" s="7" t="n">
        <v>2</v>
      </c>
      <c r="D187" s="7" t="n">
        <v>0.5</v>
      </c>
      <c r="E187" s="7" t="n">
        <v>0.15</v>
      </c>
      <c r="F187" s="8" t="inlineStr">
        <is>
          <t>High</t>
        </is>
      </c>
      <c r="G187" s="8" t="inlineStr">
        <is>
          <t>High</t>
        </is>
      </c>
      <c r="H187">
        <f>IF(F187=G187,"YES","NO")</f>
        <v/>
      </c>
    </row>
    <row r="188">
      <c r="A188" s="6" t="inlineStr">
        <is>
          <t>Rachel Quinn</t>
        </is>
      </c>
      <c r="B188" s="7" t="n">
        <v>48</v>
      </c>
      <c r="C188" s="7" t="n">
        <v>18</v>
      </c>
      <c r="D188" s="7" t="n">
        <v>0.375</v>
      </c>
      <c r="E188" s="7" t="n">
        <v>0.2522</v>
      </c>
      <c r="F188" s="8" t="inlineStr">
        <is>
          <t>High</t>
        </is>
      </c>
      <c r="G188" s="8" t="inlineStr">
        <is>
          <t>High</t>
        </is>
      </c>
      <c r="H188">
        <f>IF(F188=G188,"YES","NO")</f>
        <v/>
      </c>
    </row>
    <row r="189">
      <c r="A189" s="6" t="inlineStr">
        <is>
          <t>Rahil Maredia</t>
        </is>
      </c>
      <c r="B189" s="7" t="n">
        <v>56</v>
      </c>
      <c r="C189" s="7" t="n">
        <v>51</v>
      </c>
      <c r="D189" s="7" t="n">
        <v>0.9107</v>
      </c>
      <c r="E189" s="7" t="n">
        <v>0.8074</v>
      </c>
      <c r="F189" s="8" t="inlineStr">
        <is>
          <t>High</t>
        </is>
      </c>
      <c r="G189" s="8" t="inlineStr">
        <is>
          <t>High</t>
        </is>
      </c>
      <c r="H189">
        <f>IF(F189=G189,"YES","NO")</f>
        <v/>
      </c>
    </row>
    <row r="190">
      <c r="A190" s="6" t="inlineStr">
        <is>
          <t>Randolph Roberts</t>
        </is>
      </c>
      <c r="B190" s="7" t="n">
        <v>1</v>
      </c>
      <c r="C190" s="7" t="n">
        <v>1</v>
      </c>
      <c r="D190" s="7" t="n">
        <v>1</v>
      </c>
      <c r="E190" s="7" t="n">
        <v>0.2065</v>
      </c>
      <c r="F190" s="8" t="inlineStr">
        <is>
          <t>High</t>
        </is>
      </c>
      <c r="G190" s="8" t="inlineStr">
        <is>
          <t>High</t>
        </is>
      </c>
      <c r="H190">
        <f>IF(F190=G190,"YES","NO")</f>
        <v/>
      </c>
    </row>
    <row r="191">
      <c r="A191" s="6" t="inlineStr">
        <is>
          <t>Reed Flowers</t>
        </is>
      </c>
      <c r="B191" s="7" t="n">
        <v>1</v>
      </c>
      <c r="C191" s="7" t="n">
        <v>1</v>
      </c>
      <c r="D191" s="7" t="n">
        <v>1</v>
      </c>
      <c r="E191" s="7" t="n">
        <v>0.2065</v>
      </c>
      <c r="F191" s="8" t="inlineStr">
        <is>
          <t>High</t>
        </is>
      </c>
      <c r="G191" s="8" t="inlineStr">
        <is>
          <t>Low</t>
        </is>
      </c>
      <c r="H191">
        <f>IF(F191=G191,"YES","NO")</f>
        <v/>
      </c>
    </row>
    <row r="192">
      <c r="A192" s="6" t="inlineStr">
        <is>
          <t>Reed Watson</t>
        </is>
      </c>
      <c r="B192" s="7" t="n">
        <v>14</v>
      </c>
      <c r="C192" s="7" t="n">
        <v>11</v>
      </c>
      <c r="D192" s="7" t="n">
        <v>0.7857</v>
      </c>
      <c r="E192" s="7" t="n">
        <v>0.5241</v>
      </c>
      <c r="F192" s="8" t="inlineStr">
        <is>
          <t>High</t>
        </is>
      </c>
      <c r="G192" s="8" t="inlineStr">
        <is>
          <t>High</t>
        </is>
      </c>
      <c r="H192">
        <f>IF(F192=G192,"YES","NO")</f>
        <v/>
      </c>
    </row>
    <row r="193">
      <c r="A193" s="6" t="inlineStr">
        <is>
          <t>Rex Stalvey</t>
        </is>
      </c>
      <c r="B193" s="7" t="n">
        <v>1</v>
      </c>
      <c r="C193" s="7" t="n">
        <v>1</v>
      </c>
      <c r="D193" s="7" t="n">
        <v>1</v>
      </c>
      <c r="E193" s="7" t="n">
        <v>0.2065</v>
      </c>
      <c r="F193" s="8" t="inlineStr">
        <is>
          <t>High</t>
        </is>
      </c>
      <c r="G193" s="8" t="inlineStr">
        <is>
          <t>High</t>
        </is>
      </c>
      <c r="H193">
        <f>IF(F193=G193,"YES","NO")</f>
        <v/>
      </c>
    </row>
    <row r="194">
      <c r="A194" s="6" t="inlineStr">
        <is>
          <t>Rich Jones</t>
        </is>
      </c>
      <c r="B194" s="7" t="n">
        <v>15</v>
      </c>
      <c r="C194" s="7" t="n">
        <v>5</v>
      </c>
      <c r="D194" s="7" t="n">
        <v>0.3333</v>
      </c>
      <c r="E194" s="7" t="n">
        <v>0.1518</v>
      </c>
      <c r="F194" s="8" t="inlineStr">
        <is>
          <t>High</t>
        </is>
      </c>
      <c r="G194" s="8" t="inlineStr">
        <is>
          <t>High</t>
        </is>
      </c>
      <c r="H194">
        <f>IF(F194=G194,"YES","NO")</f>
        <v/>
      </c>
    </row>
    <row r="195">
      <c r="A195" s="6" t="inlineStr">
        <is>
          <t>Rich Lilke</t>
        </is>
      </c>
      <c r="B195" s="7" t="n">
        <v>5</v>
      </c>
      <c r="C195" s="7" t="n">
        <v>2</v>
      </c>
      <c r="D195" s="7" t="n">
        <v>0.4</v>
      </c>
      <c r="E195" s="7" t="n">
        <v>0.1176</v>
      </c>
      <c r="F195" s="8" t="inlineStr">
        <is>
          <t>High</t>
        </is>
      </c>
      <c r="G195" s="8" t="inlineStr">
        <is>
          <t>High</t>
        </is>
      </c>
      <c r="H195">
        <f>IF(F195=G195,"YES","NO")</f>
        <v/>
      </c>
    </row>
    <row r="196">
      <c r="A196" s="6" t="inlineStr">
        <is>
          <t>Richard Boyer</t>
        </is>
      </c>
      <c r="B196" s="7" t="n">
        <v>4</v>
      </c>
      <c r="C196" s="7" t="n">
        <v>4</v>
      </c>
      <c r="D196" s="7" t="n">
        <v>1</v>
      </c>
      <c r="E196" s="7" t="n">
        <v>0.5101</v>
      </c>
      <c r="F196" s="8" t="inlineStr">
        <is>
          <t>High</t>
        </is>
      </c>
      <c r="G196" s="8" t="inlineStr">
        <is>
          <t>High</t>
        </is>
      </c>
      <c r="H196">
        <f>IF(F196=G196,"YES","NO")</f>
        <v/>
      </c>
    </row>
    <row r="197">
      <c r="A197" s="6" t="inlineStr">
        <is>
          <t>Richard Polster</t>
        </is>
      </c>
      <c r="B197" s="7" t="n">
        <v>519</v>
      </c>
      <c r="C197" s="7" t="n">
        <v>244</v>
      </c>
      <c r="D197" s="7" t="n">
        <v>0.4701</v>
      </c>
      <c r="E197" s="7" t="n">
        <v>0.4276</v>
      </c>
      <c r="F197" s="8" t="inlineStr">
        <is>
          <t>High</t>
        </is>
      </c>
      <c r="G197" s="8" t="inlineStr">
        <is>
          <t>High</t>
        </is>
      </c>
      <c r="H197">
        <f>IF(F197=G197,"YES","NO")</f>
        <v/>
      </c>
    </row>
    <row r="198">
      <c r="A198" s="6" t="inlineStr">
        <is>
          <t>Riley Bullard</t>
        </is>
      </c>
      <c r="B198" s="7" t="n">
        <v>29</v>
      </c>
      <c r="C198" s="7" t="n">
        <v>8</v>
      </c>
      <c r="D198" s="7" t="n">
        <v>0.2759</v>
      </c>
      <c r="E198" s="7" t="n">
        <v>0.147</v>
      </c>
      <c r="F198" s="8" t="inlineStr">
        <is>
          <t>High</t>
        </is>
      </c>
      <c r="G198" s="8" t="inlineStr">
        <is>
          <t>High</t>
        </is>
      </c>
      <c r="H198">
        <f>IF(F198=G198,"YES","NO")</f>
        <v/>
      </c>
    </row>
    <row r="199">
      <c r="A199" s="6" t="inlineStr">
        <is>
          <t>Robert Thomas</t>
        </is>
      </c>
      <c r="B199" s="7" t="n">
        <v>17</v>
      </c>
      <c r="C199" s="7" t="n">
        <v>6</v>
      </c>
      <c r="D199" s="7" t="n">
        <v>0.3529</v>
      </c>
      <c r="E199" s="7" t="n">
        <v>0.1731</v>
      </c>
      <c r="F199" s="8" t="inlineStr">
        <is>
          <t>High</t>
        </is>
      </c>
      <c r="G199" s="8" t="inlineStr">
        <is>
          <t>High</t>
        </is>
      </c>
      <c r="H199">
        <f>IF(F199=G199,"YES","NO")</f>
        <v/>
      </c>
    </row>
    <row r="200">
      <c r="A200" s="6" t="inlineStr">
        <is>
          <t>Ronald  DeBacco</t>
        </is>
      </c>
      <c r="B200" s="7" t="n">
        <v>84</v>
      </c>
      <c r="C200" s="7" t="n">
        <v>24</v>
      </c>
      <c r="D200" s="7" t="n">
        <v>0.2857</v>
      </c>
      <c r="E200" s="7" t="n">
        <v>0.2001</v>
      </c>
      <c r="F200" s="8" t="inlineStr">
        <is>
          <t>High</t>
        </is>
      </c>
      <c r="G200" s="8" t="inlineStr">
        <is>
          <t>High</t>
        </is>
      </c>
      <c r="H200">
        <f>IF(F200=G200,"YES","NO")</f>
        <v/>
      </c>
    </row>
    <row r="201">
      <c r="A201" s="6" t="inlineStr">
        <is>
          <t>Ross Lasley</t>
        </is>
      </c>
      <c r="B201" s="7" t="n">
        <v>16</v>
      </c>
      <c r="C201" s="7" t="n">
        <v>10</v>
      </c>
      <c r="D201" s="7" t="n">
        <v>0.625</v>
      </c>
      <c r="E201" s="7" t="n">
        <v>0.3864</v>
      </c>
      <c r="F201" s="8" t="inlineStr">
        <is>
          <t>High</t>
        </is>
      </c>
      <c r="G201" s="8" t="inlineStr">
        <is>
          <t>High</t>
        </is>
      </c>
      <c r="H201">
        <f>IF(F201=G201,"YES","NO")</f>
        <v/>
      </c>
    </row>
    <row r="202">
      <c r="A202" s="6" t="inlineStr">
        <is>
          <t>Ryan  Baxter</t>
        </is>
      </c>
      <c r="B202" s="7" t="n">
        <v>1</v>
      </c>
      <c r="C202" s="7" t="n">
        <v>1</v>
      </c>
      <c r="D202" s="7" t="n">
        <v>1</v>
      </c>
      <c r="E202" s="7" t="n">
        <v>0.2065</v>
      </c>
      <c r="F202" s="8" t="inlineStr">
        <is>
          <t>High</t>
        </is>
      </c>
      <c r="G202" s="8" t="inlineStr">
        <is>
          <t>High</t>
        </is>
      </c>
      <c r="H202">
        <f>IF(F202=G202,"YES","NO")</f>
        <v/>
      </c>
    </row>
    <row r="203">
      <c r="A203" s="6" t="inlineStr">
        <is>
          <t>Ryan Eades</t>
        </is>
      </c>
      <c r="B203" s="7" t="n">
        <v>20</v>
      </c>
      <c r="C203" s="7" t="n">
        <v>7</v>
      </c>
      <c r="D203" s="7" t="n">
        <v>0.35</v>
      </c>
      <c r="E203" s="7" t="n">
        <v>0.1812</v>
      </c>
      <c r="F203" s="8" t="inlineStr">
        <is>
          <t>High</t>
        </is>
      </c>
      <c r="G203" s="8" t="inlineStr">
        <is>
          <t>Low</t>
        </is>
      </c>
      <c r="H203">
        <f>IF(F203=G203,"YES","NO")</f>
        <v/>
      </c>
    </row>
    <row r="204">
      <c r="A204" s="6" t="inlineStr">
        <is>
          <t>Ryan Harms</t>
        </is>
      </c>
      <c r="B204" s="7" t="n">
        <v>434</v>
      </c>
      <c r="C204" s="7" t="n">
        <v>129</v>
      </c>
      <c r="D204" s="7" t="n">
        <v>0.2972</v>
      </c>
      <c r="E204" s="7" t="n">
        <v>0.2562</v>
      </c>
      <c r="F204" s="8" t="inlineStr">
        <is>
          <t>High</t>
        </is>
      </c>
      <c r="G204" s="8" t="inlineStr">
        <is>
          <t>High</t>
        </is>
      </c>
      <c r="H204">
        <f>IF(F204=G204,"YES","NO")</f>
        <v/>
      </c>
    </row>
    <row r="205">
      <c r="A205" s="6" t="inlineStr">
        <is>
          <t>Ryan Kaser</t>
        </is>
      </c>
      <c r="B205" s="7" t="n">
        <v>79</v>
      </c>
      <c r="C205" s="7" t="n">
        <v>17</v>
      </c>
      <c r="D205" s="7" t="n">
        <v>0.2152</v>
      </c>
      <c r="E205" s="7" t="n">
        <v>0.1389</v>
      </c>
      <c r="F205" s="8" t="inlineStr">
        <is>
          <t>High</t>
        </is>
      </c>
      <c r="G205" s="8" t="inlineStr">
        <is>
          <t>High</t>
        </is>
      </c>
      <c r="H205">
        <f>IF(F205=G205,"YES","NO")</f>
        <v/>
      </c>
    </row>
    <row r="206">
      <c r="A206" s="6" t="inlineStr">
        <is>
          <t>Ryan Stuempfig</t>
        </is>
      </c>
      <c r="B206" s="7" t="n">
        <v>79</v>
      </c>
      <c r="C206" s="7" t="n">
        <v>68</v>
      </c>
      <c r="D206" s="7" t="n">
        <v>0.8608</v>
      </c>
      <c r="E206" s="7" t="n">
        <v>0.7675999999999999</v>
      </c>
      <c r="F206" s="8" t="inlineStr">
        <is>
          <t>High</t>
        </is>
      </c>
      <c r="G206" s="8" t="inlineStr">
        <is>
          <t>High</t>
        </is>
      </c>
      <c r="H206">
        <f>IF(F206=G206,"YES","NO")</f>
        <v/>
      </c>
    </row>
    <row r="207">
      <c r="A207" s="6" t="inlineStr">
        <is>
          <t>Ryane Medrano</t>
        </is>
      </c>
      <c r="B207" s="7" t="n">
        <v>30</v>
      </c>
      <c r="C207" s="7" t="n">
        <v>10</v>
      </c>
      <c r="D207" s="7" t="n">
        <v>0.3333</v>
      </c>
      <c r="E207" s="7" t="n">
        <v>0.1923</v>
      </c>
      <c r="F207" s="8" t="inlineStr">
        <is>
          <t>High</t>
        </is>
      </c>
      <c r="G207" s="8" t="inlineStr">
        <is>
          <t>High</t>
        </is>
      </c>
      <c r="H207">
        <f>IF(F207=G207,"YES","NO")</f>
        <v/>
      </c>
    </row>
    <row r="208">
      <c r="A208" s="6" t="inlineStr">
        <is>
          <t>Sabrina Galindo</t>
        </is>
      </c>
      <c r="B208" s="7" t="n">
        <v>5</v>
      </c>
      <c r="C208" s="7" t="n">
        <v>2</v>
      </c>
      <c r="D208" s="7" t="n">
        <v>0.4</v>
      </c>
      <c r="E208" s="7" t="n">
        <v>0.1176</v>
      </c>
      <c r="F208" s="8" t="inlineStr">
        <is>
          <t>High</t>
        </is>
      </c>
      <c r="G208" s="8" t="inlineStr">
        <is>
          <t>High</t>
        </is>
      </c>
      <c r="H208">
        <f>IF(F208=G208,"YES","NO")</f>
        <v/>
      </c>
    </row>
    <row r="209">
      <c r="A209" s="6" t="inlineStr">
        <is>
          <t>Sam Feller</t>
        </is>
      </c>
      <c r="B209" s="7" t="n">
        <v>18</v>
      </c>
      <c r="C209" s="7" t="n">
        <v>12</v>
      </c>
      <c r="D209" s="7" t="n">
        <v>0.6667</v>
      </c>
      <c r="E209" s="7" t="n">
        <v>0.4375</v>
      </c>
      <c r="F209" s="8" t="inlineStr">
        <is>
          <t>High</t>
        </is>
      </c>
      <c r="G209" s="8" t="inlineStr">
        <is>
          <t>High</t>
        </is>
      </c>
      <c r="H209">
        <f>IF(F209=G209,"YES","NO")</f>
        <v/>
      </c>
    </row>
    <row r="210">
      <c r="A210" s="6" t="inlineStr">
        <is>
          <t>Sam Langley</t>
        </is>
      </c>
      <c r="B210" s="7" t="n">
        <v>387</v>
      </c>
      <c r="C210" s="7" t="n">
        <v>95</v>
      </c>
      <c r="D210" s="7" t="n">
        <v>0.2455</v>
      </c>
      <c r="E210" s="7" t="n">
        <v>0.2052</v>
      </c>
      <c r="F210" s="8" t="inlineStr">
        <is>
          <t>High</t>
        </is>
      </c>
      <c r="G210" s="8" t="inlineStr">
        <is>
          <t>High</t>
        </is>
      </c>
      <c r="H210">
        <f>IF(F210=G210,"YES","NO")</f>
        <v/>
      </c>
    </row>
    <row r="211">
      <c r="A211" s="6" t="inlineStr">
        <is>
          <t>Sami Siddiqui</t>
        </is>
      </c>
      <c r="B211" s="7" t="n">
        <v>8</v>
      </c>
      <c r="C211" s="7" t="n">
        <v>3</v>
      </c>
      <c r="D211" s="7" t="n">
        <v>0.375</v>
      </c>
      <c r="E211" s="7" t="n">
        <v>0.1368</v>
      </c>
      <c r="F211" s="8" t="inlineStr">
        <is>
          <t>High</t>
        </is>
      </c>
      <c r="G211" s="8" t="inlineStr">
        <is>
          <t>High</t>
        </is>
      </c>
      <c r="H211">
        <f>IF(F211=G211,"YES","NO")</f>
        <v/>
      </c>
    </row>
    <row r="212">
      <c r="A212" s="6" t="inlineStr">
        <is>
          <t>Samuel Dugdale</t>
        </is>
      </c>
      <c r="B212" s="7" t="n">
        <v>66</v>
      </c>
      <c r="C212" s="7" t="n">
        <v>13</v>
      </c>
      <c r="D212" s="7" t="n">
        <v>0.197</v>
      </c>
      <c r="E212" s="7" t="n">
        <v>0.1189</v>
      </c>
      <c r="F212" s="8" t="inlineStr">
        <is>
          <t>High</t>
        </is>
      </c>
      <c r="G212" s="8" t="inlineStr">
        <is>
          <t>Low</t>
        </is>
      </c>
      <c r="H212">
        <f>IF(F212=G212,"YES","NO")</f>
        <v/>
      </c>
    </row>
    <row r="213">
      <c r="A213" s="6" t="inlineStr">
        <is>
          <t>Sara  Terry</t>
        </is>
      </c>
      <c r="B213" s="7" t="n">
        <v>158</v>
      </c>
      <c r="C213" s="7" t="n">
        <v>125</v>
      </c>
      <c r="D213" s="7" t="n">
        <v>0.7911</v>
      </c>
      <c r="E213" s="7" t="n">
        <v>0.7212</v>
      </c>
      <c r="F213" s="8" t="inlineStr">
        <is>
          <t>High</t>
        </is>
      </c>
      <c r="G213" s="8" t="inlineStr">
        <is>
          <t>High</t>
        </is>
      </c>
      <c r="H213">
        <f>IF(F213=G213,"YES","NO")</f>
        <v/>
      </c>
    </row>
    <row r="214">
      <c r="A214" s="6" t="inlineStr">
        <is>
          <t>Scott Kulla</t>
        </is>
      </c>
      <c r="B214" s="7" t="n">
        <v>3</v>
      </c>
      <c r="C214" s="7" t="n">
        <v>2</v>
      </c>
      <c r="D214" s="7" t="n">
        <v>0.6667</v>
      </c>
      <c r="E214" s="7" t="n">
        <v>0.2077</v>
      </c>
      <c r="F214" s="8" t="inlineStr">
        <is>
          <t>High</t>
        </is>
      </c>
      <c r="G214" s="8" t="inlineStr">
        <is>
          <t>Medium</t>
        </is>
      </c>
      <c r="H214">
        <f>IF(F214=G214,"YES","NO")</f>
        <v/>
      </c>
    </row>
    <row r="215">
      <c r="A215" s="6" t="inlineStr">
        <is>
          <t>Scott Poage</t>
        </is>
      </c>
      <c r="B215" s="7" t="n">
        <v>16</v>
      </c>
      <c r="C215" s="7" t="n">
        <v>16</v>
      </c>
      <c r="D215" s="7" t="n">
        <v>1</v>
      </c>
      <c r="E215" s="7" t="n">
        <v>0.8064</v>
      </c>
      <c r="F215" s="8" t="inlineStr">
        <is>
          <t>High</t>
        </is>
      </c>
      <c r="G215" s="8" t="inlineStr">
        <is>
          <t>High</t>
        </is>
      </c>
      <c r="H215">
        <f>IF(F215=G215,"YES","NO")</f>
        <v/>
      </c>
    </row>
    <row r="216">
      <c r="A216" s="6" t="inlineStr">
        <is>
          <t>Scott Weiss</t>
        </is>
      </c>
      <c r="B216" s="7" t="n">
        <v>13</v>
      </c>
      <c r="C216" s="7" t="n">
        <v>4</v>
      </c>
      <c r="D216" s="7" t="n">
        <v>0.3077</v>
      </c>
      <c r="E216" s="7" t="n">
        <v>0.1268</v>
      </c>
      <c r="F216" s="8" t="inlineStr">
        <is>
          <t>High</t>
        </is>
      </c>
      <c r="G216" s="8" t="inlineStr">
        <is>
          <t>High</t>
        </is>
      </c>
      <c r="H216">
        <f>IF(F216=G216,"YES","NO")</f>
        <v/>
      </c>
    </row>
    <row r="217">
      <c r="A217" s="6" t="inlineStr">
        <is>
          <t>Shane Heskett</t>
        </is>
      </c>
      <c r="B217" s="7" t="n">
        <v>135</v>
      </c>
      <c r="C217" s="7" t="n">
        <v>70</v>
      </c>
      <c r="D217" s="7" t="n">
        <v>0.5185</v>
      </c>
      <c r="E217" s="7" t="n">
        <v>0.4349</v>
      </c>
      <c r="F217" s="8" t="inlineStr">
        <is>
          <t>High</t>
        </is>
      </c>
      <c r="G217" s="8" t="inlineStr">
        <is>
          <t>High</t>
        </is>
      </c>
      <c r="H217">
        <f>IF(F217=G217,"YES","NO")</f>
        <v/>
      </c>
    </row>
    <row r="218">
      <c r="A218" s="6" t="inlineStr">
        <is>
          <t>Shane Strauss</t>
        </is>
      </c>
      <c r="B218" s="7" t="n">
        <v>7</v>
      </c>
      <c r="C218" s="7" t="n">
        <v>3</v>
      </c>
      <c r="D218" s="7" t="n">
        <v>0.4286</v>
      </c>
      <c r="E218" s="7" t="n">
        <v>0.1582</v>
      </c>
      <c r="F218" s="8" t="inlineStr">
        <is>
          <t>High</t>
        </is>
      </c>
      <c r="G218" s="8" t="inlineStr">
        <is>
          <t>Medium</t>
        </is>
      </c>
      <c r="H218">
        <f>IF(F218=G218,"YES","NO")</f>
        <v/>
      </c>
    </row>
    <row r="219">
      <c r="A219" s="6" t="inlineStr">
        <is>
          <t>Shawn Brokaw</t>
        </is>
      </c>
      <c r="B219" s="7" t="n">
        <v>46</v>
      </c>
      <c r="C219" s="7" t="n">
        <v>39</v>
      </c>
      <c r="D219" s="7" t="n">
        <v>0.8478</v>
      </c>
      <c r="E219" s="7" t="n">
        <v>0.7178</v>
      </c>
      <c r="F219" s="8" t="inlineStr">
        <is>
          <t>High</t>
        </is>
      </c>
      <c r="G219" s="8" t="inlineStr">
        <is>
          <t>High</t>
        </is>
      </c>
      <c r="H219">
        <f>IF(F219=G219,"YES","NO")</f>
        <v/>
      </c>
    </row>
    <row r="220">
      <c r="A220" s="6" t="inlineStr">
        <is>
          <t>Shawna Clark</t>
        </is>
      </c>
      <c r="B220" s="7" t="n">
        <v>2</v>
      </c>
      <c r="C220" s="7" t="n">
        <v>2</v>
      </c>
      <c r="D220" s="7" t="n">
        <v>1</v>
      </c>
      <c r="E220" s="7" t="n">
        <v>0.3424</v>
      </c>
      <c r="F220" s="8" t="inlineStr">
        <is>
          <t>High</t>
        </is>
      </c>
      <c r="G220" s="8" t="inlineStr">
        <is>
          <t>High</t>
        </is>
      </c>
      <c r="H220">
        <f>IF(F220=G220,"YES","NO")</f>
        <v/>
      </c>
    </row>
    <row r="221">
      <c r="A221" s="6" t="inlineStr">
        <is>
          <t>Stacy Denham</t>
        </is>
      </c>
      <c r="B221" s="7" t="n">
        <v>20</v>
      </c>
      <c r="C221" s="7" t="n">
        <v>9</v>
      </c>
      <c r="D221" s="7" t="n">
        <v>0.45</v>
      </c>
      <c r="E221" s="7" t="n">
        <v>0.2582</v>
      </c>
      <c r="F221" s="8" t="inlineStr">
        <is>
          <t>High</t>
        </is>
      </c>
      <c r="G221" s="8" t="inlineStr">
        <is>
          <t>Low</t>
        </is>
      </c>
      <c r="H221">
        <f>IF(F221=G221,"YES","NO")</f>
        <v/>
      </c>
    </row>
    <row r="222">
      <c r="A222" s="6" t="inlineStr">
        <is>
          <t>Stephen Fox</t>
        </is>
      </c>
      <c r="B222" s="7" t="n">
        <v>65</v>
      </c>
      <c r="C222" s="7" t="n">
        <v>38</v>
      </c>
      <c r="D222" s="7" t="n">
        <v>0.5846</v>
      </c>
      <c r="E222" s="7" t="n">
        <v>0.4634</v>
      </c>
      <c r="F222" s="8" t="inlineStr">
        <is>
          <t>High</t>
        </is>
      </c>
      <c r="G222" s="8" t="inlineStr">
        <is>
          <t>High</t>
        </is>
      </c>
      <c r="H222">
        <f>IF(F222=G222,"YES","NO")</f>
        <v/>
      </c>
    </row>
    <row r="223">
      <c r="A223" s="6" t="inlineStr">
        <is>
          <t>Steve Callahan</t>
        </is>
      </c>
      <c r="B223" s="7" t="n">
        <v>4</v>
      </c>
      <c r="C223" s="7" t="n">
        <v>2</v>
      </c>
      <c r="D223" s="7" t="n">
        <v>0.5</v>
      </c>
      <c r="E223" s="7" t="n">
        <v>0.15</v>
      </c>
      <c r="F223" s="8" t="inlineStr">
        <is>
          <t>High</t>
        </is>
      </c>
      <c r="G223" s="8" t="inlineStr">
        <is>
          <t>Medium</t>
        </is>
      </c>
      <c r="H223">
        <f>IF(F223=G223,"YES","NO")</f>
        <v/>
      </c>
    </row>
    <row r="224">
      <c r="A224" s="6" t="inlineStr">
        <is>
          <t>Steve Goodwin</t>
        </is>
      </c>
      <c r="B224" s="7" t="n">
        <v>3</v>
      </c>
      <c r="C224" s="7" t="n">
        <v>2</v>
      </c>
      <c r="D224" s="7" t="n">
        <v>0.6667</v>
      </c>
      <c r="E224" s="7" t="n">
        <v>0.2077</v>
      </c>
      <c r="F224" s="8" t="inlineStr">
        <is>
          <t>High</t>
        </is>
      </c>
      <c r="G224" s="8" t="inlineStr">
        <is>
          <t>Medium</t>
        </is>
      </c>
      <c r="H224">
        <f>IF(F224=G224,"YES","NO")</f>
        <v/>
      </c>
    </row>
    <row r="225">
      <c r="A225" s="6" t="inlineStr">
        <is>
          <t>Steve Michalak</t>
        </is>
      </c>
      <c r="B225" s="7" t="n">
        <v>210</v>
      </c>
      <c r="C225" s="7" t="n">
        <v>77</v>
      </c>
      <c r="D225" s="7" t="n">
        <v>0.3667</v>
      </c>
      <c r="E225" s="7" t="n">
        <v>0.3044</v>
      </c>
      <c r="F225" s="8" t="inlineStr">
        <is>
          <t>High</t>
        </is>
      </c>
      <c r="G225" s="8" t="inlineStr">
        <is>
          <t>High</t>
        </is>
      </c>
      <c r="H225">
        <f>IF(F225=G225,"YES","NO")</f>
        <v/>
      </c>
    </row>
    <row r="226">
      <c r="A226" s="6" t="inlineStr">
        <is>
          <t>Steven Harrington</t>
        </is>
      </c>
      <c r="B226" s="7" t="n">
        <v>1</v>
      </c>
      <c r="C226" s="7" t="n">
        <v>1</v>
      </c>
      <c r="D226" s="7" t="n">
        <v>1</v>
      </c>
      <c r="E226" s="7" t="n">
        <v>0.2065</v>
      </c>
      <c r="F226" s="8" t="inlineStr">
        <is>
          <t>High</t>
        </is>
      </c>
      <c r="G226" s="8" t="inlineStr">
        <is>
          <t>High</t>
        </is>
      </c>
      <c r="H226">
        <f>IF(F226=G226,"YES","NO")</f>
        <v/>
      </c>
    </row>
    <row r="227">
      <c r="A227" s="6" t="inlineStr">
        <is>
          <t>Stewart  Schuerr</t>
        </is>
      </c>
      <c r="B227" s="7" t="n">
        <v>77</v>
      </c>
      <c r="C227" s="7" t="n">
        <v>18</v>
      </c>
      <c r="D227" s="7" t="n">
        <v>0.2338</v>
      </c>
      <c r="E227" s="7" t="n">
        <v>0.1533</v>
      </c>
      <c r="F227" s="8" t="inlineStr">
        <is>
          <t>High</t>
        </is>
      </c>
      <c r="G227" s="8" t="inlineStr">
        <is>
          <t>Low</t>
        </is>
      </c>
      <c r="H227">
        <f>IF(F227=G227,"YES","NO")</f>
        <v/>
      </c>
    </row>
    <row r="228">
      <c r="A228" s="6" t="inlineStr">
        <is>
          <t>Sue Figalora</t>
        </is>
      </c>
      <c r="B228" s="7" t="n">
        <v>30</v>
      </c>
      <c r="C228" s="7" t="n">
        <v>25</v>
      </c>
      <c r="D228" s="7" t="n">
        <v>0.8333</v>
      </c>
      <c r="E228" s="7" t="n">
        <v>0.6644</v>
      </c>
      <c r="F228" s="8" t="inlineStr">
        <is>
          <t>High</t>
        </is>
      </c>
      <c r="G228" s="8" t="inlineStr">
        <is>
          <t>High</t>
        </is>
      </c>
      <c r="H228">
        <f>IF(F228=G228,"YES","NO")</f>
        <v/>
      </c>
    </row>
    <row r="229">
      <c r="A229" s="6" t="inlineStr">
        <is>
          <t>Sue Wilkinson</t>
        </is>
      </c>
      <c r="B229" s="7" t="n">
        <v>446</v>
      </c>
      <c r="C229" s="7" t="n">
        <v>83</v>
      </c>
      <c r="D229" s="7" t="n">
        <v>0.1861</v>
      </c>
      <c r="E229" s="7" t="n">
        <v>0.1527</v>
      </c>
      <c r="F229" s="8" t="inlineStr">
        <is>
          <t>High</t>
        </is>
      </c>
      <c r="G229" s="8" t="inlineStr">
        <is>
          <t>Low</t>
        </is>
      </c>
      <c r="H229">
        <f>IF(F229=G229,"YES","NO")</f>
        <v/>
      </c>
    </row>
    <row r="230">
      <c r="A230" s="6" t="inlineStr">
        <is>
          <t>Sufyan Mefrakes</t>
        </is>
      </c>
      <c r="B230" s="7" t="n">
        <v>1</v>
      </c>
      <c r="C230" s="7" t="n">
        <v>1</v>
      </c>
      <c r="D230" s="7" t="n">
        <v>1</v>
      </c>
      <c r="E230" s="7" t="n">
        <v>0.2065</v>
      </c>
      <c r="F230" s="8" t="inlineStr">
        <is>
          <t>High</t>
        </is>
      </c>
      <c r="G230" s="8" t="inlineStr">
        <is>
          <t>High</t>
        </is>
      </c>
      <c r="H230">
        <f>IF(F230=G230,"YES","NO")</f>
        <v/>
      </c>
    </row>
    <row r="231">
      <c r="A231" s="6" t="inlineStr">
        <is>
          <t>Tali Calles</t>
        </is>
      </c>
      <c r="B231" s="7" t="n">
        <v>32</v>
      </c>
      <c r="C231" s="7" t="n">
        <v>9</v>
      </c>
      <c r="D231" s="7" t="n">
        <v>0.2812</v>
      </c>
      <c r="E231" s="7" t="n">
        <v>0.1556</v>
      </c>
      <c r="F231" s="8" t="inlineStr">
        <is>
          <t>High</t>
        </is>
      </c>
      <c r="G231" s="8" t="inlineStr">
        <is>
          <t>High</t>
        </is>
      </c>
      <c r="H231">
        <f>IF(F231=G231,"YES","NO")</f>
        <v/>
      </c>
    </row>
    <row r="232">
      <c r="A232" s="6" t="inlineStr">
        <is>
          <t>Tammy Gleason</t>
        </is>
      </c>
      <c r="B232" s="7" t="n">
        <v>35</v>
      </c>
      <c r="C232" s="7" t="n">
        <v>12</v>
      </c>
      <c r="D232" s="7" t="n">
        <v>0.3429</v>
      </c>
      <c r="E232" s="7" t="n">
        <v>0.2083</v>
      </c>
      <c r="F232" s="8" t="inlineStr">
        <is>
          <t>High</t>
        </is>
      </c>
      <c r="G232" s="8" t="inlineStr">
        <is>
          <t>High</t>
        </is>
      </c>
      <c r="H232">
        <f>IF(F232=G232,"YES","NO")</f>
        <v/>
      </c>
    </row>
    <row r="233">
      <c r="A233" s="6" t="inlineStr">
        <is>
          <t>Ted Zimmerman</t>
        </is>
      </c>
      <c r="B233" s="7" t="n">
        <v>6</v>
      </c>
      <c r="C233" s="7" t="n">
        <v>4</v>
      </c>
      <c r="D233" s="7" t="n">
        <v>0.6667</v>
      </c>
      <c r="E233" s="7" t="n">
        <v>0.3</v>
      </c>
      <c r="F233" s="8" t="inlineStr">
        <is>
          <t>High</t>
        </is>
      </c>
      <c r="G233" s="8" t="inlineStr">
        <is>
          <t>High</t>
        </is>
      </c>
      <c r="H233">
        <f>IF(F233=G233,"YES","NO")</f>
        <v/>
      </c>
    </row>
    <row r="234">
      <c r="A234" s="6" t="inlineStr">
        <is>
          <t>Terry Mulvaney</t>
        </is>
      </c>
      <c r="B234" s="7" t="n">
        <v>432</v>
      </c>
      <c r="C234" s="7" t="n">
        <v>271</v>
      </c>
      <c r="D234" s="7" t="n">
        <v>0.6273</v>
      </c>
      <c r="E234" s="7" t="n">
        <v>0.5808</v>
      </c>
      <c r="F234" s="8" t="inlineStr">
        <is>
          <t>High</t>
        </is>
      </c>
      <c r="G234" s="8" t="inlineStr">
        <is>
          <t>High</t>
        </is>
      </c>
      <c r="H234">
        <f>IF(F234=G234,"YES","NO")</f>
        <v/>
      </c>
    </row>
    <row r="235">
      <c r="A235" s="6" t="inlineStr">
        <is>
          <t>Terry Reese</t>
        </is>
      </c>
      <c r="B235" s="7" t="n">
        <v>37</v>
      </c>
      <c r="C235" s="7" t="n">
        <v>27</v>
      </c>
      <c r="D235" s="7" t="n">
        <v>0.7297</v>
      </c>
      <c r="E235" s="7" t="n">
        <v>0.5702</v>
      </c>
      <c r="F235" s="8" t="inlineStr">
        <is>
          <t>High</t>
        </is>
      </c>
      <c r="G235" s="8" t="inlineStr">
        <is>
          <t>Low</t>
        </is>
      </c>
      <c r="H235">
        <f>IF(F235=G235,"YES","NO")</f>
        <v/>
      </c>
    </row>
    <row r="236">
      <c r="A236" s="6" t="inlineStr">
        <is>
          <t>Thomas Franchetti</t>
        </is>
      </c>
      <c r="B236" s="7" t="n">
        <v>1</v>
      </c>
      <c r="C236" s="7" t="n">
        <v>1</v>
      </c>
      <c r="D236" s="7" t="n">
        <v>1</v>
      </c>
      <c r="E236" s="7" t="n">
        <v>0.2065</v>
      </c>
      <c r="F236" s="8" t="inlineStr">
        <is>
          <t>High</t>
        </is>
      </c>
      <c r="G236" s="8" t="inlineStr">
        <is>
          <t>Low</t>
        </is>
      </c>
      <c r="H236">
        <f>IF(F236=G236,"YES","NO")</f>
        <v/>
      </c>
    </row>
    <row r="237">
      <c r="A237" s="6" t="inlineStr">
        <is>
          <t>Thomas Rippman</t>
        </is>
      </c>
      <c r="B237" s="7" t="n">
        <v>10</v>
      </c>
      <c r="C237" s="7" t="n">
        <v>10</v>
      </c>
      <c r="D237" s="7" t="n">
        <v>1</v>
      </c>
      <c r="E237" s="7" t="n">
        <v>0.7225</v>
      </c>
      <c r="F237" s="8" t="inlineStr">
        <is>
          <t>High</t>
        </is>
      </c>
      <c r="G237" s="8" t="inlineStr">
        <is>
          <t>High</t>
        </is>
      </c>
      <c r="H237">
        <f>IF(F237=G237,"YES","NO")</f>
        <v/>
      </c>
    </row>
    <row r="238">
      <c r="A238" s="6" t="inlineStr">
        <is>
          <t>Tiffany Bunce</t>
        </is>
      </c>
      <c r="B238" s="7" t="n">
        <v>98</v>
      </c>
      <c r="C238" s="7" t="n">
        <v>23</v>
      </c>
      <c r="D238" s="7" t="n">
        <v>0.2347</v>
      </c>
      <c r="E238" s="7" t="n">
        <v>0.1618</v>
      </c>
      <c r="F238" s="8" t="inlineStr">
        <is>
          <t>High</t>
        </is>
      </c>
      <c r="G238" s="8" t="inlineStr">
        <is>
          <t>High</t>
        </is>
      </c>
      <c r="H238">
        <f>IF(F238=G238,"YES","NO")</f>
        <v/>
      </c>
    </row>
    <row r="239">
      <c r="A239" s="6" t="inlineStr">
        <is>
          <t>Tim Evans</t>
        </is>
      </c>
      <c r="B239" s="7" t="n">
        <v>171</v>
      </c>
      <c r="C239" s="7" t="n">
        <v>31</v>
      </c>
      <c r="D239" s="7" t="n">
        <v>0.1813</v>
      </c>
      <c r="E239" s="7" t="n">
        <v>0.1308</v>
      </c>
      <c r="F239" s="8" t="inlineStr">
        <is>
          <t>High</t>
        </is>
      </c>
      <c r="G239" s="8" t="inlineStr">
        <is>
          <t>High</t>
        </is>
      </c>
      <c r="H239">
        <f>IF(F239=G239,"YES","NO")</f>
        <v/>
      </c>
    </row>
    <row r="240">
      <c r="A240" s="6" t="inlineStr">
        <is>
          <t>Tim Hoskow</t>
        </is>
      </c>
      <c r="B240" s="7" t="n">
        <v>3</v>
      </c>
      <c r="C240" s="7" t="n">
        <v>2</v>
      </c>
      <c r="D240" s="7" t="n">
        <v>0.6667</v>
      </c>
      <c r="E240" s="7" t="n">
        <v>0.2077</v>
      </c>
      <c r="F240" s="8" t="inlineStr">
        <is>
          <t>High</t>
        </is>
      </c>
      <c r="G240" s="8" t="inlineStr">
        <is>
          <t>High</t>
        </is>
      </c>
      <c r="H240">
        <f>IF(F240=G240,"YES","NO")</f>
        <v/>
      </c>
    </row>
    <row r="241">
      <c r="A241" s="6" t="inlineStr">
        <is>
          <t>Tom Snow</t>
        </is>
      </c>
      <c r="B241" s="7" t="n">
        <v>466</v>
      </c>
      <c r="C241" s="7" t="n">
        <v>211</v>
      </c>
      <c r="D241" s="7" t="n">
        <v>0.4528</v>
      </c>
      <c r="E241" s="7" t="n">
        <v>0.4082</v>
      </c>
      <c r="F241" s="8" t="inlineStr">
        <is>
          <t>High</t>
        </is>
      </c>
      <c r="G241" s="8" t="inlineStr">
        <is>
          <t>High</t>
        </is>
      </c>
      <c r="H241">
        <f>IF(F241=G241,"YES","NO")</f>
        <v/>
      </c>
    </row>
    <row r="242">
      <c r="A242" s="6" t="inlineStr">
        <is>
          <t>Toni Drumwright</t>
        </is>
      </c>
      <c r="B242" s="7" t="n">
        <v>39</v>
      </c>
      <c r="C242" s="7" t="n">
        <v>14</v>
      </c>
      <c r="D242" s="7" t="n">
        <v>0.359</v>
      </c>
      <c r="E242" s="7" t="n">
        <v>0.2274</v>
      </c>
      <c r="F242" s="8" t="inlineStr">
        <is>
          <t>High</t>
        </is>
      </c>
      <c r="G242" s="8" t="inlineStr">
        <is>
          <t>High</t>
        </is>
      </c>
      <c r="H242">
        <f>IF(F242=G242,"YES","NO")</f>
        <v/>
      </c>
    </row>
    <row r="243">
      <c r="A243" s="6" t="inlineStr">
        <is>
          <t>Trent Dockstetter</t>
        </is>
      </c>
      <c r="B243" s="7" t="n">
        <v>418</v>
      </c>
      <c r="C243" s="7" t="n">
        <v>221</v>
      </c>
      <c r="D243" s="7" t="n">
        <v>0.5286999999999999</v>
      </c>
      <c r="E243" s="7" t="n">
        <v>0.4808</v>
      </c>
      <c r="F243" s="8" t="inlineStr">
        <is>
          <t>High</t>
        </is>
      </c>
      <c r="G243" s="8" t="inlineStr">
        <is>
          <t>High</t>
        </is>
      </c>
      <c r="H243">
        <f>IF(F243=G243,"YES","NO")</f>
        <v/>
      </c>
    </row>
    <row r="244">
      <c r="A244" s="6" t="inlineStr">
        <is>
          <t>Trent Tate</t>
        </is>
      </c>
      <c r="B244" s="7" t="n">
        <v>53</v>
      </c>
      <c r="C244" s="7" t="n">
        <v>15</v>
      </c>
      <c r="D244" s="7" t="n">
        <v>0.283</v>
      </c>
      <c r="E244" s="7" t="n">
        <v>0.1797</v>
      </c>
      <c r="F244" s="8" t="inlineStr">
        <is>
          <t>High</t>
        </is>
      </c>
      <c r="G244" s="8" t="inlineStr">
        <is>
          <t>Low</t>
        </is>
      </c>
      <c r="H244">
        <f>IF(F244=G244,"YES","NO")</f>
        <v/>
      </c>
    </row>
    <row r="245">
      <c r="A245" s="6" t="inlineStr">
        <is>
          <t>Trevis Love</t>
        </is>
      </c>
      <c r="B245" s="7" t="n">
        <v>57</v>
      </c>
      <c r="C245" s="7" t="n">
        <v>14</v>
      </c>
      <c r="D245" s="7" t="n">
        <v>0.2456</v>
      </c>
      <c r="E245" s="7" t="n">
        <v>0.1523</v>
      </c>
      <c r="F245" s="8" t="inlineStr">
        <is>
          <t>High</t>
        </is>
      </c>
      <c r="G245" s="8" t="inlineStr">
        <is>
          <t>Medium</t>
        </is>
      </c>
      <c r="H245">
        <f>IF(F245=G245,"YES","NO")</f>
        <v/>
      </c>
    </row>
    <row r="246">
      <c r="A246" s="6" t="inlineStr">
        <is>
          <t>Tyler Baum</t>
        </is>
      </c>
      <c r="B246" s="7" t="n">
        <v>1</v>
      </c>
      <c r="C246" s="7" t="n">
        <v>1</v>
      </c>
      <c r="D246" s="7" t="n">
        <v>1</v>
      </c>
      <c r="E246" s="7" t="n">
        <v>0.2065</v>
      </c>
      <c r="F246" s="8" t="inlineStr">
        <is>
          <t>High</t>
        </is>
      </c>
      <c r="G246" s="8" t="inlineStr">
        <is>
          <t>Low</t>
        </is>
      </c>
      <c r="H246">
        <f>IF(F246=G246,"YES","NO")</f>
        <v/>
      </c>
    </row>
    <row r="247">
      <c r="A247" s="6" t="inlineStr">
        <is>
          <t>Tyler Hogan</t>
        </is>
      </c>
      <c r="B247" s="7" t="n">
        <v>158</v>
      </c>
      <c r="C247" s="7" t="n">
        <v>31</v>
      </c>
      <c r="D247" s="7" t="n">
        <v>0.1962</v>
      </c>
      <c r="E247" s="7" t="n">
        <v>0.1418</v>
      </c>
      <c r="F247" s="8" t="inlineStr">
        <is>
          <t>High</t>
        </is>
      </c>
      <c r="G247" s="8" t="inlineStr">
        <is>
          <t>Low</t>
        </is>
      </c>
      <c r="H247">
        <f>IF(F247=G247,"YES","NO")</f>
        <v/>
      </c>
    </row>
    <row r="248">
      <c r="A248" s="6" t="inlineStr">
        <is>
          <t>Vince McHugh</t>
        </is>
      </c>
      <c r="B248" s="7" t="n">
        <v>2</v>
      </c>
      <c r="C248" s="7" t="n">
        <v>2</v>
      </c>
      <c r="D248" s="7" t="n">
        <v>1</v>
      </c>
      <c r="E248" s="7" t="n">
        <v>0.3424</v>
      </c>
      <c r="F248" s="8" t="inlineStr">
        <is>
          <t>High</t>
        </is>
      </c>
      <c r="G248" s="8" t="inlineStr">
        <is>
          <t>Medium</t>
        </is>
      </c>
      <c r="H248">
        <f>IF(F248=G248,"YES","NO")</f>
        <v/>
      </c>
    </row>
    <row r="249">
      <c r="A249" s="6" t="inlineStr">
        <is>
          <t>Vincent Lovato</t>
        </is>
      </c>
      <c r="B249" s="7" t="n">
        <v>6</v>
      </c>
      <c r="C249" s="7" t="n">
        <v>5</v>
      </c>
      <c r="D249" s="7" t="n">
        <v>0.8333</v>
      </c>
      <c r="E249" s="7" t="n">
        <v>0.4365</v>
      </c>
      <c r="F249" s="8" t="inlineStr">
        <is>
          <t>High</t>
        </is>
      </c>
      <c r="G249" s="8" t="inlineStr">
        <is>
          <t>Low</t>
        </is>
      </c>
      <c r="H249">
        <f>IF(F249=G249,"YES","NO")</f>
        <v/>
      </c>
    </row>
    <row r="250">
      <c r="A250" s="6" t="inlineStr">
        <is>
          <t>Vineet Arya</t>
        </is>
      </c>
      <c r="B250" s="7" t="n">
        <v>10</v>
      </c>
      <c r="C250" s="7" t="n">
        <v>10</v>
      </c>
      <c r="D250" s="7" t="n">
        <v>1</v>
      </c>
      <c r="E250" s="7" t="n">
        <v>0.7225</v>
      </c>
      <c r="F250" s="8" t="inlineStr">
        <is>
          <t>High</t>
        </is>
      </c>
      <c r="G250" s="8" t="inlineStr">
        <is>
          <t>High</t>
        </is>
      </c>
      <c r="H250">
        <f>IF(F250=G250,"YES","NO")</f>
        <v/>
      </c>
    </row>
    <row r="251">
      <c r="A251" s="6" t="inlineStr">
        <is>
          <t>Vinny Baldoni</t>
        </is>
      </c>
      <c r="B251" s="7" t="n">
        <v>34</v>
      </c>
      <c r="C251" s="7" t="n">
        <v>11</v>
      </c>
      <c r="D251" s="7" t="n">
        <v>0.3235</v>
      </c>
      <c r="E251" s="7" t="n">
        <v>0.1913</v>
      </c>
      <c r="F251" s="8" t="inlineStr">
        <is>
          <t>High</t>
        </is>
      </c>
      <c r="G251" s="8" t="inlineStr">
        <is>
          <t>High</t>
        </is>
      </c>
      <c r="H251">
        <f>IF(F251=G251,"YES","NO")</f>
        <v/>
      </c>
    </row>
    <row r="252">
      <c r="A252" s="6" t="inlineStr">
        <is>
          <t>Will Downing</t>
        </is>
      </c>
      <c r="B252" s="7" t="n">
        <v>13</v>
      </c>
      <c r="C252" s="7" t="n">
        <v>7</v>
      </c>
      <c r="D252" s="7" t="n">
        <v>0.5385</v>
      </c>
      <c r="E252" s="7" t="n">
        <v>0.2914</v>
      </c>
      <c r="F252" s="8" t="inlineStr">
        <is>
          <t>High</t>
        </is>
      </c>
      <c r="G252" s="8" t="inlineStr">
        <is>
          <t>Low</t>
        </is>
      </c>
      <c r="H252">
        <f>IF(F252=G252,"YES","NO")</f>
        <v/>
      </c>
    </row>
    <row r="253">
      <c r="A253" s="6" t="inlineStr">
        <is>
          <t>William Cornelius</t>
        </is>
      </c>
      <c r="B253" s="7" t="n">
        <v>161</v>
      </c>
      <c r="C253" s="7" t="n">
        <v>50</v>
      </c>
      <c r="D253" s="7" t="n">
        <v>0.3106</v>
      </c>
      <c r="E253" s="7" t="n">
        <v>0.2442</v>
      </c>
      <c r="F253" s="8" t="inlineStr">
        <is>
          <t>High</t>
        </is>
      </c>
      <c r="G253" s="8" t="inlineStr">
        <is>
          <t>Low</t>
        </is>
      </c>
      <c r="H253">
        <f>IF(F253=G253,"YES","NO")</f>
        <v/>
      </c>
    </row>
    <row r="254">
      <c r="A254" s="6" t="inlineStr">
        <is>
          <t>Wolf Strecker</t>
        </is>
      </c>
      <c r="B254" s="7" t="n">
        <v>5</v>
      </c>
      <c r="C254" s="7" t="n">
        <v>4</v>
      </c>
      <c r="D254" s="7" t="n">
        <v>0.8</v>
      </c>
      <c r="E254" s="7" t="n">
        <v>0.3755</v>
      </c>
      <c r="F254" s="8" t="inlineStr">
        <is>
          <t>High</t>
        </is>
      </c>
      <c r="G254" s="8" t="inlineStr">
        <is>
          <t>High</t>
        </is>
      </c>
      <c r="H254">
        <f>IF(F254=G254,"YES","NO")</f>
        <v/>
      </c>
    </row>
    <row r="255">
      <c r="A255" s="6" t="inlineStr">
        <is>
          <t>Yolanda Gan</t>
        </is>
      </c>
      <c r="B255" s="7" t="n">
        <v>346</v>
      </c>
      <c r="C255" s="7" t="n">
        <v>56</v>
      </c>
      <c r="D255" s="7" t="n">
        <v>0.1618</v>
      </c>
      <c r="E255" s="7" t="n">
        <v>0.1268</v>
      </c>
      <c r="F255" s="8" t="inlineStr">
        <is>
          <t>High</t>
        </is>
      </c>
      <c r="G255" s="8" t="inlineStr">
        <is>
          <t>High</t>
        </is>
      </c>
      <c r="H255">
        <f>IF(F255=G255,"YES","NO")</f>
        <v/>
      </c>
    </row>
    <row r="256">
      <c r="A256" s="6" t="inlineStr">
        <is>
          <t>Zack Anderson</t>
        </is>
      </c>
      <c r="B256" s="7" t="n">
        <v>15</v>
      </c>
      <c r="C256" s="7" t="n">
        <v>6</v>
      </c>
      <c r="D256" s="7" t="n">
        <v>0.4</v>
      </c>
      <c r="E256" s="7" t="n">
        <v>0.1982</v>
      </c>
      <c r="F256" s="8" t="inlineStr">
        <is>
          <t>High</t>
        </is>
      </c>
      <c r="G256" s="8" t="inlineStr">
        <is>
          <t>High</t>
        </is>
      </c>
      <c r="H256">
        <f>IF(F256=G256,"YES","NO")</f>
        <v/>
      </c>
    </row>
    <row r="257">
      <c r="A257" s="6" t="inlineStr">
        <is>
          <t>ANDREW JONES</t>
        </is>
      </c>
      <c r="B257" s="7" t="n">
        <v>10</v>
      </c>
      <c r="C257" s="7" t="n">
        <v>0</v>
      </c>
      <c r="D257" s="7" t="n">
        <v>0</v>
      </c>
      <c r="E257" s="7" t="n">
        <v>0</v>
      </c>
      <c r="F257" s="8" t="inlineStr">
        <is>
          <t>Low</t>
        </is>
      </c>
      <c r="G257" s="8" t="inlineStr">
        <is>
          <t>Low</t>
        </is>
      </c>
      <c r="H257">
        <f>IF(F257=G257,"YES","NO")</f>
        <v/>
      </c>
    </row>
    <row r="258">
      <c r="A258" s="6" t="inlineStr">
        <is>
          <t>Aaron Fitzwater</t>
        </is>
      </c>
      <c r="B258" s="7" t="n">
        <v>12</v>
      </c>
      <c r="C258" s="7" t="n">
        <v>0</v>
      </c>
      <c r="D258" s="7" t="n">
        <v>0</v>
      </c>
      <c r="E258" s="7" t="n">
        <v>0</v>
      </c>
      <c r="F258" s="8" t="inlineStr">
        <is>
          <t>Low</t>
        </is>
      </c>
      <c r="G258" s="8" t="inlineStr">
        <is>
          <t>Low</t>
        </is>
      </c>
      <c r="H258">
        <f>IF(F258=G258,"YES","NO")</f>
        <v/>
      </c>
    </row>
    <row r="259">
      <c r="A259" s="6" t="inlineStr">
        <is>
          <t>Aaron Hager</t>
        </is>
      </c>
      <c r="B259" s="7" t="n">
        <v>325</v>
      </c>
      <c r="C259" s="7" t="n">
        <v>36</v>
      </c>
      <c r="D259" s="7" t="n">
        <v>0.1108</v>
      </c>
      <c r="E259" s="7" t="n">
        <v>0.08110000000000001</v>
      </c>
      <c r="F259" s="8" t="inlineStr">
        <is>
          <t>Low</t>
        </is>
      </c>
      <c r="G259" s="8" t="inlineStr">
        <is>
          <t>Low</t>
        </is>
      </c>
      <c r="H259">
        <f>IF(F259=G259,"YES","NO")</f>
        <v/>
      </c>
    </row>
    <row r="260">
      <c r="A260" s="6" t="inlineStr">
        <is>
          <t>Aaron Heidersheid</t>
        </is>
      </c>
      <c r="B260" s="7" t="n">
        <v>76</v>
      </c>
      <c r="C260" s="7" t="n">
        <v>0</v>
      </c>
      <c r="D260" s="7" t="n">
        <v>0</v>
      </c>
      <c r="E260" s="7" t="n">
        <v>0</v>
      </c>
      <c r="F260" s="8" t="inlineStr">
        <is>
          <t>Low</t>
        </is>
      </c>
      <c r="G260" s="8" t="inlineStr">
        <is>
          <t>Low</t>
        </is>
      </c>
      <c r="H260">
        <f>IF(F260=G260,"YES","NO")</f>
        <v/>
      </c>
    </row>
    <row r="261">
      <c r="A261" s="6" t="inlineStr">
        <is>
          <t>Aaron Kahle</t>
        </is>
      </c>
      <c r="B261" s="7" t="n">
        <v>8</v>
      </c>
      <c r="C261" s="7" t="n">
        <v>1</v>
      </c>
      <c r="D261" s="7" t="n">
        <v>0.125</v>
      </c>
      <c r="E261" s="7" t="n">
        <v>0.0224</v>
      </c>
      <c r="F261" s="8" t="inlineStr">
        <is>
          <t>Low</t>
        </is>
      </c>
      <c r="G261" s="8" t="inlineStr">
        <is>
          <t>Medium</t>
        </is>
      </c>
      <c r="H261">
        <f>IF(F261=G261,"YES","NO")</f>
        <v/>
      </c>
    </row>
    <row r="262">
      <c r="A262" s="6" t="inlineStr">
        <is>
          <t>Aaron Milz</t>
        </is>
      </c>
      <c r="B262" s="7" t="n">
        <v>18</v>
      </c>
      <c r="C262" s="7" t="n">
        <v>0</v>
      </c>
      <c r="D262" s="7" t="n">
        <v>0</v>
      </c>
      <c r="E262" s="7" t="n">
        <v>0</v>
      </c>
      <c r="F262" s="8" t="inlineStr">
        <is>
          <t>Low</t>
        </is>
      </c>
      <c r="G262" s="8" t="inlineStr">
        <is>
          <t>Low</t>
        </is>
      </c>
      <c r="H262">
        <f>IF(F262=G262,"YES","NO")</f>
        <v/>
      </c>
    </row>
    <row r="263">
      <c r="A263" s="6" t="inlineStr">
        <is>
          <t>Aaron Montano</t>
        </is>
      </c>
      <c r="B263" s="7" t="n">
        <v>43</v>
      </c>
      <c r="C263" s="7" t="n">
        <v>0</v>
      </c>
      <c r="D263" s="7" t="n">
        <v>0</v>
      </c>
      <c r="E263" s="7" t="n">
        <v>0</v>
      </c>
      <c r="F263" s="8" t="inlineStr">
        <is>
          <t>Low</t>
        </is>
      </c>
      <c r="G263" s="8" t="inlineStr">
        <is>
          <t>Low</t>
        </is>
      </c>
      <c r="H263">
        <f>IF(F263=G263,"YES","NO")</f>
        <v/>
      </c>
    </row>
    <row r="264">
      <c r="A264" s="6" t="inlineStr">
        <is>
          <t>Aaron Price</t>
        </is>
      </c>
      <c r="B264" s="7" t="n">
        <v>2</v>
      </c>
      <c r="C264" s="7" t="n">
        <v>0</v>
      </c>
      <c r="D264" s="7" t="n">
        <v>0</v>
      </c>
      <c r="E264" s="7" t="n">
        <v>0</v>
      </c>
      <c r="F264" s="8" t="inlineStr">
        <is>
          <t>Low</t>
        </is>
      </c>
      <c r="G264" s="8" t="inlineStr">
        <is>
          <t>Low</t>
        </is>
      </c>
      <c r="H264">
        <f>IF(F264=G264,"YES","NO")</f>
        <v/>
      </c>
    </row>
    <row r="265">
      <c r="A265" s="6" t="inlineStr">
        <is>
          <t>Aaron Sanderson</t>
        </is>
      </c>
      <c r="B265" s="7" t="n">
        <v>143</v>
      </c>
      <c r="C265" s="7" t="n">
        <v>1</v>
      </c>
      <c r="D265" s="7" t="n">
        <v>0.007</v>
      </c>
      <c r="E265" s="7" t="n">
        <v>0.0012</v>
      </c>
      <c r="F265" s="8" t="inlineStr">
        <is>
          <t>Low</t>
        </is>
      </c>
      <c r="G265" s="8" t="inlineStr">
        <is>
          <t>Low</t>
        </is>
      </c>
      <c r="H265">
        <f>IF(F265=G265,"YES","NO")</f>
        <v/>
      </c>
    </row>
    <row r="266">
      <c r="A266" s="6" t="inlineStr">
        <is>
          <t>Aaron Shapiro</t>
        </is>
      </c>
      <c r="B266" s="7" t="n">
        <v>2</v>
      </c>
      <c r="C266" s="7" t="n">
        <v>0</v>
      </c>
      <c r="D266" s="7" t="n">
        <v>0</v>
      </c>
      <c r="E266" s="7" t="n">
        <v>0</v>
      </c>
      <c r="F266" s="8" t="inlineStr">
        <is>
          <t>Low</t>
        </is>
      </c>
      <c r="G266" s="8" t="inlineStr">
        <is>
          <t>Low</t>
        </is>
      </c>
      <c r="H266">
        <f>IF(F266=G266,"YES","NO")</f>
        <v/>
      </c>
    </row>
    <row r="267">
      <c r="A267" s="6" t="inlineStr">
        <is>
          <t>Aaron Van Cleave</t>
        </is>
      </c>
      <c r="B267" s="7" t="n">
        <v>36</v>
      </c>
      <c r="C267" s="7" t="n">
        <v>1</v>
      </c>
      <c r="D267" s="7" t="n">
        <v>0.0278</v>
      </c>
      <c r="E267" s="7" t="n">
        <v>0.0049</v>
      </c>
      <c r="F267" s="8" t="inlineStr">
        <is>
          <t>Low</t>
        </is>
      </c>
      <c r="G267" s="8" t="inlineStr">
        <is>
          <t>Low</t>
        </is>
      </c>
      <c r="H267">
        <f>IF(F267=G267,"YES","NO")</f>
        <v/>
      </c>
    </row>
    <row r="268">
      <c r="A268" s="6" t="inlineStr">
        <is>
          <t>Aaryn Hare</t>
        </is>
      </c>
      <c r="B268" s="7" t="n">
        <v>43</v>
      </c>
      <c r="C268" s="7" t="n">
        <v>0</v>
      </c>
      <c r="D268" s="7" t="n">
        <v>0</v>
      </c>
      <c r="E268" s="7" t="n">
        <v>0</v>
      </c>
      <c r="F268" s="8" t="inlineStr">
        <is>
          <t>Low</t>
        </is>
      </c>
      <c r="G268" s="8" t="inlineStr">
        <is>
          <t>Low</t>
        </is>
      </c>
      <c r="H268">
        <f>IF(F268=G268,"YES","NO")</f>
        <v/>
      </c>
    </row>
    <row r="269">
      <c r="A269" s="6" t="inlineStr">
        <is>
          <t>Abbey Burnett</t>
        </is>
      </c>
      <c r="B269" s="7" t="n">
        <v>4</v>
      </c>
      <c r="C269" s="7" t="n">
        <v>0</v>
      </c>
      <c r="D269" s="7" t="n">
        <v>0</v>
      </c>
      <c r="E269" s="7" t="n">
        <v>0</v>
      </c>
      <c r="F269" s="8" t="inlineStr">
        <is>
          <t>Low</t>
        </is>
      </c>
      <c r="G269" s="8" t="inlineStr">
        <is>
          <t>Low</t>
        </is>
      </c>
      <c r="H269">
        <f>IF(F269=G269,"YES","NO")</f>
        <v/>
      </c>
    </row>
    <row r="270">
      <c r="A270" s="6" t="inlineStr">
        <is>
          <t>Abi Broussard</t>
        </is>
      </c>
      <c r="B270" s="7" t="n">
        <v>6</v>
      </c>
      <c r="C270" s="7" t="n">
        <v>0</v>
      </c>
      <c r="D270" s="7" t="n">
        <v>0</v>
      </c>
      <c r="E270" s="7" t="n">
        <v>0</v>
      </c>
      <c r="F270" s="8" t="inlineStr">
        <is>
          <t>Low</t>
        </is>
      </c>
      <c r="G270" s="8" t="inlineStr">
        <is>
          <t>Low</t>
        </is>
      </c>
      <c r="H270">
        <f>IF(F270=G270,"YES","NO")</f>
        <v/>
      </c>
    </row>
    <row r="271">
      <c r="A271" s="6" t="inlineStr">
        <is>
          <t>Adam Bandt</t>
        </is>
      </c>
      <c r="B271" s="7" t="n">
        <v>115</v>
      </c>
      <c r="C271" s="7" t="n">
        <v>2</v>
      </c>
      <c r="D271" s="7" t="n">
        <v>0.0174</v>
      </c>
      <c r="E271" s="7" t="n">
        <v>0.0048</v>
      </c>
      <c r="F271" s="8" t="inlineStr">
        <is>
          <t>Low</t>
        </is>
      </c>
      <c r="G271" s="8" t="inlineStr">
        <is>
          <t>Low</t>
        </is>
      </c>
      <c r="H271">
        <f>IF(F271=G271,"YES","NO")</f>
        <v/>
      </c>
    </row>
    <row r="272">
      <c r="A272" s="6" t="inlineStr">
        <is>
          <t>Adam Blackman</t>
        </is>
      </c>
      <c r="B272" s="7" t="n">
        <v>326</v>
      </c>
      <c r="C272" s="7" t="n">
        <v>19</v>
      </c>
      <c r="D272" s="7" t="n">
        <v>0.0583</v>
      </c>
      <c r="E272" s="7" t="n">
        <v>0.0376</v>
      </c>
      <c r="F272" s="8" t="inlineStr">
        <is>
          <t>Low</t>
        </is>
      </c>
      <c r="G272" s="8" t="inlineStr">
        <is>
          <t>Low</t>
        </is>
      </c>
      <c r="H272">
        <f>IF(F272=G272,"YES","NO")</f>
        <v/>
      </c>
    </row>
    <row r="273">
      <c r="A273" s="6" t="inlineStr">
        <is>
          <t>Adam Brown</t>
        </is>
      </c>
      <c r="B273" s="7" t="n">
        <v>13</v>
      </c>
      <c r="C273" s="7" t="n">
        <v>0</v>
      </c>
      <c r="D273" s="7" t="n">
        <v>0</v>
      </c>
      <c r="E273" s="7" t="n">
        <v>0</v>
      </c>
      <c r="F273" s="8" t="inlineStr">
        <is>
          <t>Low</t>
        </is>
      </c>
      <c r="G273" s="8" t="inlineStr">
        <is>
          <t>Low</t>
        </is>
      </c>
      <c r="H273">
        <f>IF(F273=G273,"YES","NO")</f>
        <v/>
      </c>
    </row>
    <row r="274">
      <c r="A274" s="6" t="inlineStr">
        <is>
          <t>Adam Clark</t>
        </is>
      </c>
      <c r="B274" s="7" t="n">
        <v>37</v>
      </c>
      <c r="C274" s="7" t="n">
        <v>0</v>
      </c>
      <c r="D274" s="7" t="n">
        <v>0</v>
      </c>
      <c r="E274" s="7" t="n">
        <v>0</v>
      </c>
      <c r="F274" s="8" t="inlineStr">
        <is>
          <t>Low</t>
        </is>
      </c>
      <c r="G274" s="8" t="inlineStr">
        <is>
          <t>Low</t>
        </is>
      </c>
      <c r="H274">
        <f>IF(F274=G274,"YES","NO")</f>
        <v/>
      </c>
    </row>
    <row r="275">
      <c r="A275" s="6" t="inlineStr">
        <is>
          <t>Adam Ehrlickman</t>
        </is>
      </c>
      <c r="B275" s="7" t="n">
        <v>24</v>
      </c>
      <c r="C275" s="7" t="n">
        <v>3</v>
      </c>
      <c r="D275" s="7" t="n">
        <v>0.125</v>
      </c>
      <c r="E275" s="7" t="n">
        <v>0.0434</v>
      </c>
      <c r="F275" s="8" t="inlineStr">
        <is>
          <t>Low</t>
        </is>
      </c>
      <c r="G275" s="8" t="inlineStr">
        <is>
          <t>Low</t>
        </is>
      </c>
      <c r="H275">
        <f>IF(F275=G275,"YES","NO")</f>
        <v/>
      </c>
    </row>
    <row r="276">
      <c r="A276" s="6" t="inlineStr">
        <is>
          <t>Adam Hughes</t>
        </is>
      </c>
      <c r="B276" s="7" t="n">
        <v>391</v>
      </c>
      <c r="C276" s="7" t="n">
        <v>11</v>
      </c>
      <c r="D276" s="7" t="n">
        <v>0.0281</v>
      </c>
      <c r="E276" s="7" t="n">
        <v>0.0158</v>
      </c>
      <c r="F276" s="8" t="inlineStr">
        <is>
          <t>Low</t>
        </is>
      </c>
      <c r="G276" s="8" t="inlineStr">
        <is>
          <t>Low</t>
        </is>
      </c>
      <c r="H276">
        <f>IF(F276=G276,"YES","NO")</f>
        <v/>
      </c>
    </row>
    <row r="277">
      <c r="A277" s="6" t="inlineStr">
        <is>
          <t>Adam Jennings</t>
        </is>
      </c>
      <c r="B277" s="7" t="n">
        <v>79</v>
      </c>
      <c r="C277" s="7" t="n">
        <v>0</v>
      </c>
      <c r="D277" s="7" t="n">
        <v>0</v>
      </c>
      <c r="E277" s="7" t="n">
        <v>0</v>
      </c>
      <c r="F277" s="8" t="inlineStr">
        <is>
          <t>Low</t>
        </is>
      </c>
      <c r="G277" s="8" t="inlineStr">
        <is>
          <t>Low</t>
        </is>
      </c>
      <c r="H277">
        <f>IF(F277=G277,"YES","NO")</f>
        <v/>
      </c>
    </row>
    <row r="278">
      <c r="A278" s="6" t="inlineStr">
        <is>
          <t>Adam Lopez</t>
        </is>
      </c>
      <c r="B278" s="7" t="n">
        <v>4</v>
      </c>
      <c r="C278" s="7" t="n">
        <v>0</v>
      </c>
      <c r="D278" s="7" t="n">
        <v>0</v>
      </c>
      <c r="E278" s="7" t="n">
        <v>0</v>
      </c>
      <c r="F278" s="8" t="inlineStr">
        <is>
          <t>Low</t>
        </is>
      </c>
      <c r="G278" s="8" t="inlineStr">
        <is>
          <t>Medium</t>
        </is>
      </c>
      <c r="H278">
        <f>IF(F278=G278,"YES","NO")</f>
        <v/>
      </c>
    </row>
    <row r="279">
      <c r="A279" s="6" t="inlineStr">
        <is>
          <t>Adam Overton</t>
        </is>
      </c>
      <c r="B279" s="7" t="n">
        <v>83</v>
      </c>
      <c r="C279" s="7" t="n">
        <v>2</v>
      </c>
      <c r="D279" s="7" t="n">
        <v>0.0241</v>
      </c>
      <c r="E279" s="7" t="n">
        <v>0.0066</v>
      </c>
      <c r="F279" s="8" t="inlineStr">
        <is>
          <t>Low</t>
        </is>
      </c>
      <c r="G279" s="8" t="inlineStr">
        <is>
          <t>Low</t>
        </is>
      </c>
      <c r="H279">
        <f>IF(F279=G279,"YES","NO")</f>
        <v/>
      </c>
    </row>
    <row r="280">
      <c r="A280" s="6" t="inlineStr">
        <is>
          <t>Adam Toutain</t>
        </is>
      </c>
      <c r="B280" s="7" t="n">
        <v>189</v>
      </c>
      <c r="C280" s="7" t="n">
        <v>3</v>
      </c>
      <c r="D280" s="7" t="n">
        <v>0.0159</v>
      </c>
      <c r="E280" s="7" t="n">
        <v>0.0054</v>
      </c>
      <c r="F280" s="8" t="inlineStr">
        <is>
          <t>Low</t>
        </is>
      </c>
      <c r="G280" s="8" t="inlineStr">
        <is>
          <t>Low</t>
        </is>
      </c>
      <c r="H280">
        <f>IF(F280=G280,"YES","NO")</f>
        <v/>
      </c>
    </row>
    <row r="281">
      <c r="A281" s="6" t="inlineStr">
        <is>
          <t>Adam Vagle</t>
        </is>
      </c>
      <c r="B281" s="7" t="n">
        <v>71</v>
      </c>
      <c r="C281" s="7" t="n">
        <v>8</v>
      </c>
      <c r="D281" s="7" t="n">
        <v>0.1127</v>
      </c>
      <c r="E281" s="7" t="n">
        <v>0.0582</v>
      </c>
      <c r="F281" s="8" t="inlineStr">
        <is>
          <t>Low</t>
        </is>
      </c>
      <c r="G281" s="8" t="inlineStr">
        <is>
          <t>Low</t>
        </is>
      </c>
      <c r="H281">
        <f>IF(F281=G281,"YES","NO")</f>
        <v/>
      </c>
    </row>
    <row r="282">
      <c r="A282" s="6" t="inlineStr">
        <is>
          <t>Adam VanDerMast</t>
        </is>
      </c>
      <c r="B282" s="7" t="n">
        <v>2</v>
      </c>
      <c r="C282" s="7" t="n">
        <v>0</v>
      </c>
      <c r="D282" s="7" t="n">
        <v>0</v>
      </c>
      <c r="E282" s="7" t="n">
        <v>0</v>
      </c>
      <c r="F282" s="8" t="inlineStr">
        <is>
          <t>Low</t>
        </is>
      </c>
      <c r="G282" s="8" t="inlineStr">
        <is>
          <t>Low</t>
        </is>
      </c>
      <c r="H282">
        <f>IF(F282=G282,"YES","NO")</f>
        <v/>
      </c>
    </row>
    <row r="283">
      <c r="A283" s="6" t="inlineStr">
        <is>
          <t>Adam Weiss</t>
        </is>
      </c>
      <c r="B283" s="7" t="n">
        <v>264</v>
      </c>
      <c r="C283" s="7" t="n">
        <v>3</v>
      </c>
      <c r="D283" s="7" t="n">
        <v>0.0114</v>
      </c>
      <c r="E283" s="7" t="n">
        <v>0.0039</v>
      </c>
      <c r="F283" s="8" t="inlineStr">
        <is>
          <t>Low</t>
        </is>
      </c>
      <c r="G283" s="8" t="inlineStr">
        <is>
          <t>Low</t>
        </is>
      </c>
      <c r="H283">
        <f>IF(F283=G283,"YES","NO")</f>
        <v/>
      </c>
    </row>
    <row r="284">
      <c r="A284" s="6" t="inlineStr">
        <is>
          <t>Adham Hassan</t>
        </is>
      </c>
      <c r="B284" s="7" t="n">
        <v>8</v>
      </c>
      <c r="C284" s="7" t="n">
        <v>0</v>
      </c>
      <c r="D284" s="7" t="n">
        <v>0</v>
      </c>
      <c r="E284" s="7" t="n">
        <v>0</v>
      </c>
      <c r="F284" s="8" t="inlineStr">
        <is>
          <t>Low</t>
        </is>
      </c>
      <c r="G284" s="8" t="inlineStr">
        <is>
          <t>Low</t>
        </is>
      </c>
      <c r="H284">
        <f>IF(F284=G284,"YES","NO")</f>
        <v/>
      </c>
    </row>
    <row r="285">
      <c r="A285" s="6" t="inlineStr">
        <is>
          <t>Admin User</t>
        </is>
      </c>
      <c r="B285" s="7" t="n">
        <v>7</v>
      </c>
      <c r="C285" s="7" t="n">
        <v>0</v>
      </c>
      <c r="D285" s="7" t="n">
        <v>0</v>
      </c>
      <c r="E285" s="7" t="n">
        <v>0</v>
      </c>
      <c r="F285" s="8" t="inlineStr">
        <is>
          <t>Low</t>
        </is>
      </c>
      <c r="G285" s="8" t="inlineStr">
        <is>
          <t>High</t>
        </is>
      </c>
      <c r="H285">
        <f>IF(F285=G285,"YES","NO")</f>
        <v/>
      </c>
    </row>
    <row r="286">
      <c r="A286" s="6" t="inlineStr">
        <is>
          <t>Adrian Ruck</t>
        </is>
      </c>
      <c r="B286" s="7" t="n">
        <v>2</v>
      </c>
      <c r="C286" s="7" t="n">
        <v>0</v>
      </c>
      <c r="D286" s="7" t="n">
        <v>0</v>
      </c>
      <c r="E286" s="7" t="n">
        <v>0</v>
      </c>
      <c r="F286" s="8" t="inlineStr">
        <is>
          <t>Low</t>
        </is>
      </c>
      <c r="G286" s="8" t="inlineStr">
        <is>
          <t>Low</t>
        </is>
      </c>
      <c r="H286">
        <f>IF(F286=G286,"YES","NO")</f>
        <v/>
      </c>
    </row>
    <row r="287">
      <c r="A287" s="6" t="inlineStr">
        <is>
          <t>Aidan Sussillo</t>
        </is>
      </c>
      <c r="B287" s="7" t="n">
        <v>17</v>
      </c>
      <c r="C287" s="7" t="n">
        <v>0</v>
      </c>
      <c r="D287" s="7" t="n">
        <v>0</v>
      </c>
      <c r="E287" s="7" t="n">
        <v>0</v>
      </c>
      <c r="F287" s="8" t="inlineStr">
        <is>
          <t>Low</t>
        </is>
      </c>
      <c r="G287" s="8" t="inlineStr">
        <is>
          <t>Low</t>
        </is>
      </c>
      <c r="H287">
        <f>IF(F287=G287,"YES","NO")</f>
        <v/>
      </c>
    </row>
    <row r="288">
      <c r="A288" s="6" t="inlineStr">
        <is>
          <t>Aileen  Labayen</t>
        </is>
      </c>
      <c r="B288" s="7" t="n">
        <v>144</v>
      </c>
      <c r="C288" s="7" t="n">
        <v>6</v>
      </c>
      <c r="D288" s="7" t="n">
        <v>0.0417</v>
      </c>
      <c r="E288" s="7" t="n">
        <v>0.0192</v>
      </c>
      <c r="F288" s="8" t="inlineStr">
        <is>
          <t>Low</t>
        </is>
      </c>
      <c r="G288" s="8" t="inlineStr">
        <is>
          <t>Low</t>
        </is>
      </c>
      <c r="H288">
        <f>IF(F288=G288,"YES","NO")</f>
        <v/>
      </c>
    </row>
    <row r="289">
      <c r="A289" s="6" t="inlineStr">
        <is>
          <t>Aimee Paulson</t>
        </is>
      </c>
      <c r="B289" s="7" t="n">
        <v>125</v>
      </c>
      <c r="C289" s="7" t="n">
        <v>0</v>
      </c>
      <c r="D289" s="7" t="n">
        <v>0</v>
      </c>
      <c r="E289" s="7" t="n">
        <v>0</v>
      </c>
      <c r="F289" s="8" t="inlineStr">
        <is>
          <t>Low</t>
        </is>
      </c>
      <c r="G289" s="8" t="inlineStr">
        <is>
          <t>Low</t>
        </is>
      </c>
      <c r="H289">
        <f>IF(F289=G289,"YES","NO")</f>
        <v/>
      </c>
    </row>
    <row r="290">
      <c r="A290" s="6" t="inlineStr">
        <is>
          <t>Al Sampson</t>
        </is>
      </c>
      <c r="B290" s="7" t="n">
        <v>4</v>
      </c>
      <c r="C290" s="7" t="n">
        <v>0</v>
      </c>
      <c r="D290" s="7" t="n">
        <v>0</v>
      </c>
      <c r="E290" s="7" t="n">
        <v>0</v>
      </c>
      <c r="F290" s="8" t="inlineStr">
        <is>
          <t>Low</t>
        </is>
      </c>
      <c r="G290" s="8" t="inlineStr">
        <is>
          <t>Low</t>
        </is>
      </c>
      <c r="H290">
        <f>IF(F290=G290,"YES","NO")</f>
        <v/>
      </c>
    </row>
    <row r="291">
      <c r="A291" s="6" t="inlineStr">
        <is>
          <t>Al Todd</t>
        </is>
      </c>
      <c r="B291" s="7" t="n">
        <v>63</v>
      </c>
      <c r="C291" s="7" t="n">
        <v>5</v>
      </c>
      <c r="D291" s="7" t="n">
        <v>0.0794</v>
      </c>
      <c r="E291" s="7" t="n">
        <v>0.0344</v>
      </c>
      <c r="F291" s="8" t="inlineStr">
        <is>
          <t>Low</t>
        </is>
      </c>
      <c r="G291" s="8" t="inlineStr">
        <is>
          <t>Low</t>
        </is>
      </c>
      <c r="H291">
        <f>IF(F291=G291,"YES","NO")</f>
        <v/>
      </c>
    </row>
    <row r="292">
      <c r="A292" s="6" t="inlineStr">
        <is>
          <t>Al Walters</t>
        </is>
      </c>
      <c r="B292" s="7" t="n">
        <v>168</v>
      </c>
      <c r="C292" s="7" t="n">
        <v>6</v>
      </c>
      <c r="D292" s="7" t="n">
        <v>0.0357</v>
      </c>
      <c r="E292" s="7" t="n">
        <v>0.0165</v>
      </c>
      <c r="F292" s="8" t="inlineStr">
        <is>
          <t>Low</t>
        </is>
      </c>
      <c r="G292" s="8" t="inlineStr">
        <is>
          <t>Low</t>
        </is>
      </c>
      <c r="H292">
        <f>IF(F292=G292,"YES","NO")</f>
        <v/>
      </c>
    </row>
    <row r="293">
      <c r="A293" s="6" t="inlineStr">
        <is>
          <t>Alan Tolz</t>
        </is>
      </c>
      <c r="B293" s="7" t="n">
        <v>31</v>
      </c>
      <c r="C293" s="7" t="n">
        <v>0</v>
      </c>
      <c r="D293" s="7" t="n">
        <v>0</v>
      </c>
      <c r="E293" s="7" t="n">
        <v>0</v>
      </c>
      <c r="F293" s="8" t="inlineStr">
        <is>
          <t>Low</t>
        </is>
      </c>
      <c r="G293" s="8" t="inlineStr">
        <is>
          <t>Low</t>
        </is>
      </c>
      <c r="H293">
        <f>IF(F293=G293,"YES","NO")</f>
        <v/>
      </c>
    </row>
    <row r="294">
      <c r="A294" s="6" t="inlineStr">
        <is>
          <t>Alden Darby</t>
        </is>
      </c>
      <c r="B294" s="7" t="n">
        <v>52</v>
      </c>
      <c r="C294" s="7" t="n">
        <v>0</v>
      </c>
      <c r="D294" s="7" t="n">
        <v>0</v>
      </c>
      <c r="E294" s="7" t="n">
        <v>0</v>
      </c>
      <c r="F294" s="8" t="inlineStr">
        <is>
          <t>Low</t>
        </is>
      </c>
      <c r="G294" s="8" t="inlineStr">
        <is>
          <t>Low</t>
        </is>
      </c>
      <c r="H294">
        <f>IF(F294=G294,"YES","NO")</f>
        <v/>
      </c>
    </row>
    <row r="295">
      <c r="A295" s="6" t="inlineStr">
        <is>
          <t>Alec Arnold</t>
        </is>
      </c>
      <c r="B295" s="7" t="n">
        <v>447</v>
      </c>
      <c r="C295" s="7" t="n">
        <v>23</v>
      </c>
      <c r="D295" s="7" t="n">
        <v>0.0515</v>
      </c>
      <c r="E295" s="7" t="n">
        <v>0.0345</v>
      </c>
      <c r="F295" s="8" t="inlineStr">
        <is>
          <t>Low</t>
        </is>
      </c>
      <c r="G295" s="8" t="inlineStr">
        <is>
          <t>Low</t>
        </is>
      </c>
      <c r="H295">
        <f>IF(F295=G295,"YES","NO")</f>
        <v/>
      </c>
    </row>
    <row r="296">
      <c r="A296" s="6" t="inlineStr">
        <is>
          <t>Alek Karlovic</t>
        </is>
      </c>
      <c r="B296" s="7" t="n">
        <v>179</v>
      </c>
      <c r="C296" s="7" t="n">
        <v>7</v>
      </c>
      <c r="D296" s="7" t="n">
        <v>0.0391</v>
      </c>
      <c r="E296" s="7" t="n">
        <v>0.0191</v>
      </c>
      <c r="F296" s="8" t="inlineStr">
        <is>
          <t>Low</t>
        </is>
      </c>
      <c r="G296" s="8" t="inlineStr">
        <is>
          <t>Low</t>
        </is>
      </c>
      <c r="H296">
        <f>IF(F296=G296,"YES","NO")</f>
        <v/>
      </c>
    </row>
    <row r="297">
      <c r="A297" s="6" t="inlineStr">
        <is>
          <t>Alex  Flamenco</t>
        </is>
      </c>
      <c r="B297" s="7" t="n">
        <v>6</v>
      </c>
      <c r="C297" s="7" t="n">
        <v>0</v>
      </c>
      <c r="D297" s="7" t="n">
        <v>0</v>
      </c>
      <c r="E297" s="7" t="n">
        <v>0</v>
      </c>
      <c r="F297" s="8" t="inlineStr">
        <is>
          <t>Low</t>
        </is>
      </c>
      <c r="G297" s="8" t="inlineStr">
        <is>
          <t>Low</t>
        </is>
      </c>
      <c r="H297">
        <f>IF(F297=G297,"YES","NO")</f>
        <v/>
      </c>
    </row>
    <row r="298">
      <c r="A298" s="6" t="inlineStr">
        <is>
          <t>Alex Coleman</t>
        </is>
      </c>
      <c r="B298" s="7" t="n">
        <v>53</v>
      </c>
      <c r="C298" s="7" t="n">
        <v>0</v>
      </c>
      <c r="D298" s="7" t="n">
        <v>0</v>
      </c>
      <c r="E298" s="7" t="n">
        <v>0</v>
      </c>
      <c r="F298" s="8" t="inlineStr">
        <is>
          <t>Low</t>
        </is>
      </c>
      <c r="G298" s="8" t="inlineStr">
        <is>
          <t>Low</t>
        </is>
      </c>
      <c r="H298">
        <f>IF(F298=G298,"YES","NO")</f>
        <v/>
      </c>
    </row>
    <row r="299">
      <c r="A299" s="6" t="inlineStr">
        <is>
          <t>Alex Garner</t>
        </is>
      </c>
      <c r="B299" s="7" t="n">
        <v>29</v>
      </c>
      <c r="C299" s="7" t="n">
        <v>1</v>
      </c>
      <c r="D299" s="7" t="n">
        <v>0.0345</v>
      </c>
      <c r="E299" s="7" t="n">
        <v>0.0061</v>
      </c>
      <c r="F299" s="8" t="inlineStr">
        <is>
          <t>Low</t>
        </is>
      </c>
      <c r="G299" s="8" t="inlineStr">
        <is>
          <t>Low</t>
        </is>
      </c>
      <c r="H299">
        <f>IF(F299=G299,"YES","NO")</f>
        <v/>
      </c>
    </row>
    <row r="300">
      <c r="A300" s="6" t="inlineStr">
        <is>
          <t>Alex Hoover</t>
        </is>
      </c>
      <c r="B300" s="7" t="n">
        <v>92</v>
      </c>
      <c r="C300" s="7" t="n">
        <v>5</v>
      </c>
      <c r="D300" s="7" t="n">
        <v>0.0543</v>
      </c>
      <c r="E300" s="7" t="n">
        <v>0.0234</v>
      </c>
      <c r="F300" s="8" t="inlineStr">
        <is>
          <t>Low</t>
        </is>
      </c>
      <c r="G300" s="8" t="inlineStr">
        <is>
          <t>Low</t>
        </is>
      </c>
      <c r="H300">
        <f>IF(F300=G300,"YES","NO")</f>
        <v/>
      </c>
    </row>
    <row r="301">
      <c r="A301" s="6" t="inlineStr">
        <is>
          <t>Alex Kekovski</t>
        </is>
      </c>
      <c r="B301" s="7" t="n">
        <v>2</v>
      </c>
      <c r="C301" s="7" t="n">
        <v>0</v>
      </c>
      <c r="D301" s="7" t="n">
        <v>0</v>
      </c>
      <c r="E301" s="7" t="n">
        <v>0</v>
      </c>
      <c r="F301" s="8" t="inlineStr">
        <is>
          <t>Low</t>
        </is>
      </c>
      <c r="G301" s="8" t="inlineStr">
        <is>
          <t>High</t>
        </is>
      </c>
      <c r="H301">
        <f>IF(F301=G301,"YES","NO")</f>
        <v/>
      </c>
    </row>
    <row r="302">
      <c r="A302" s="6" t="inlineStr">
        <is>
          <t>Alex Ruhe</t>
        </is>
      </c>
      <c r="B302" s="7" t="n">
        <v>20</v>
      </c>
      <c r="C302" s="7" t="n">
        <v>0</v>
      </c>
      <c r="D302" s="7" t="n">
        <v>0</v>
      </c>
      <c r="E302" s="7" t="n">
        <v>0</v>
      </c>
      <c r="F302" s="8" t="inlineStr">
        <is>
          <t>Low</t>
        </is>
      </c>
      <c r="G302" s="8" t="inlineStr">
        <is>
          <t>Low</t>
        </is>
      </c>
      <c r="H302">
        <f>IF(F302=G302,"YES","NO")</f>
        <v/>
      </c>
    </row>
    <row r="303">
      <c r="A303" s="6" t="inlineStr">
        <is>
          <t>Alex Saunders</t>
        </is>
      </c>
      <c r="B303" s="7" t="n">
        <v>16</v>
      </c>
      <c r="C303" s="7" t="n">
        <v>0</v>
      </c>
      <c r="D303" s="7" t="n">
        <v>0</v>
      </c>
      <c r="E303" s="7" t="n">
        <v>0</v>
      </c>
      <c r="F303" s="8" t="inlineStr">
        <is>
          <t>Low</t>
        </is>
      </c>
      <c r="G303" s="8" t="inlineStr">
        <is>
          <t>Low</t>
        </is>
      </c>
      <c r="H303">
        <f>IF(F303=G303,"YES","NO")</f>
        <v/>
      </c>
    </row>
    <row r="304">
      <c r="A304" s="6" t="inlineStr">
        <is>
          <t>Alex Walshe</t>
        </is>
      </c>
      <c r="B304" s="7" t="n">
        <v>17</v>
      </c>
      <c r="C304" s="7" t="n">
        <v>0</v>
      </c>
      <c r="D304" s="7" t="n">
        <v>0</v>
      </c>
      <c r="E304" s="7" t="n">
        <v>0</v>
      </c>
      <c r="F304" s="8" t="inlineStr">
        <is>
          <t>Low</t>
        </is>
      </c>
      <c r="G304" s="8" t="inlineStr">
        <is>
          <t>Low</t>
        </is>
      </c>
      <c r="H304">
        <f>IF(F304=G304,"YES","NO")</f>
        <v/>
      </c>
    </row>
    <row r="305">
      <c r="A305" s="6" t="inlineStr">
        <is>
          <t>Alex Zaban</t>
        </is>
      </c>
      <c r="B305" s="7" t="n">
        <v>2</v>
      </c>
      <c r="C305" s="7" t="n">
        <v>0</v>
      </c>
      <c r="D305" s="7" t="n">
        <v>0</v>
      </c>
      <c r="E305" s="7" t="n">
        <v>0</v>
      </c>
      <c r="F305" s="8" t="inlineStr">
        <is>
          <t>Low</t>
        </is>
      </c>
      <c r="G305" s="8" t="inlineStr">
        <is>
          <t>Medium</t>
        </is>
      </c>
      <c r="H305">
        <f>IF(F305=G305,"YES","NO")</f>
        <v/>
      </c>
    </row>
    <row r="306">
      <c r="A306" s="6" t="inlineStr">
        <is>
          <t>Alexa Zeiber</t>
        </is>
      </c>
      <c r="B306" s="7" t="n">
        <v>23</v>
      </c>
      <c r="C306" s="7" t="n">
        <v>0</v>
      </c>
      <c r="D306" s="7" t="n">
        <v>0</v>
      </c>
      <c r="E306" s="7" t="n">
        <v>0</v>
      </c>
      <c r="F306" s="8" t="inlineStr">
        <is>
          <t>Low</t>
        </is>
      </c>
      <c r="G306" s="8" t="inlineStr">
        <is>
          <t>Low</t>
        </is>
      </c>
      <c r="H306">
        <f>IF(F306=G306,"YES","NO")</f>
        <v/>
      </c>
    </row>
    <row r="307">
      <c r="A307" s="6" t="inlineStr">
        <is>
          <t>Alexander Miers</t>
        </is>
      </c>
      <c r="B307" s="7" t="n">
        <v>80</v>
      </c>
      <c r="C307" s="7" t="n">
        <v>4</v>
      </c>
      <c r="D307" s="7" t="n">
        <v>0.05</v>
      </c>
      <c r="E307" s="7" t="n">
        <v>0.0196</v>
      </c>
      <c r="F307" s="8" t="inlineStr">
        <is>
          <t>Low</t>
        </is>
      </c>
      <c r="G307" s="8" t="inlineStr">
        <is>
          <t>Low</t>
        </is>
      </c>
      <c r="H307">
        <f>IF(F307=G307,"YES","NO")</f>
        <v/>
      </c>
    </row>
    <row r="308">
      <c r="A308" s="6" t="inlineStr">
        <is>
          <t>Alexis Wagner</t>
        </is>
      </c>
      <c r="B308" s="7" t="n">
        <v>16</v>
      </c>
      <c r="C308" s="7" t="n">
        <v>0</v>
      </c>
      <c r="D308" s="7" t="n">
        <v>0</v>
      </c>
      <c r="E308" s="7" t="n">
        <v>0</v>
      </c>
      <c r="F308" s="8" t="inlineStr">
        <is>
          <t>Low</t>
        </is>
      </c>
      <c r="G308" s="8" t="inlineStr">
        <is>
          <t>Low</t>
        </is>
      </c>
      <c r="H308">
        <f>IF(F308=G308,"YES","NO")</f>
        <v/>
      </c>
    </row>
    <row r="309">
      <c r="A309" s="6" t="inlineStr">
        <is>
          <t>Alicia Thompson</t>
        </is>
      </c>
      <c r="B309" s="7" t="n">
        <v>73</v>
      </c>
      <c r="C309" s="7" t="n">
        <v>0</v>
      </c>
      <c r="D309" s="7" t="n">
        <v>0</v>
      </c>
      <c r="E309" s="7" t="n">
        <v>0</v>
      </c>
      <c r="F309" s="8" t="inlineStr">
        <is>
          <t>Low</t>
        </is>
      </c>
      <c r="G309" s="8" t="inlineStr">
        <is>
          <t>Low</t>
        </is>
      </c>
      <c r="H309">
        <f>IF(F309=G309,"YES","NO")</f>
        <v/>
      </c>
    </row>
    <row r="310">
      <c r="A310" s="6" t="inlineStr">
        <is>
          <t>Allen Duncan</t>
        </is>
      </c>
      <c r="B310" s="7" t="n">
        <v>114</v>
      </c>
      <c r="C310" s="7" t="n">
        <v>18</v>
      </c>
      <c r="D310" s="7" t="n">
        <v>0.1579</v>
      </c>
      <c r="E310" s="7" t="n">
        <v>0.1023</v>
      </c>
      <c r="F310" s="8" t="inlineStr">
        <is>
          <t>Low</t>
        </is>
      </c>
      <c r="G310" s="8" t="inlineStr">
        <is>
          <t>Low</t>
        </is>
      </c>
      <c r="H310">
        <f>IF(F310=G310,"YES","NO")</f>
        <v/>
      </c>
    </row>
    <row r="311">
      <c r="A311" s="6" t="inlineStr">
        <is>
          <t>Allison Borta</t>
        </is>
      </c>
      <c r="B311" s="7" t="n">
        <v>2</v>
      </c>
      <c r="C311" s="7" t="n">
        <v>0</v>
      </c>
      <c r="D311" s="7" t="n">
        <v>0</v>
      </c>
      <c r="E311" s="7" t="n">
        <v>0</v>
      </c>
      <c r="F311" s="8" t="inlineStr">
        <is>
          <t>Low</t>
        </is>
      </c>
      <c r="G311" s="8" t="inlineStr">
        <is>
          <t>Low</t>
        </is>
      </c>
      <c r="H311">
        <f>IF(F311=G311,"YES","NO")</f>
        <v/>
      </c>
    </row>
    <row r="312">
      <c r="A312" s="6" t="inlineStr">
        <is>
          <t>Allison Munday</t>
        </is>
      </c>
      <c r="B312" s="7" t="n">
        <v>1</v>
      </c>
      <c r="C312" s="7" t="n">
        <v>0</v>
      </c>
      <c r="D312" s="7" t="n">
        <v>0</v>
      </c>
      <c r="E312" s="7" t="n">
        <v>0</v>
      </c>
      <c r="F312" s="8" t="inlineStr">
        <is>
          <t>Low</t>
        </is>
      </c>
      <c r="G312" s="8" t="inlineStr">
        <is>
          <t>Low</t>
        </is>
      </c>
      <c r="H312">
        <f>IF(F312=G312,"YES","NO")</f>
        <v/>
      </c>
    </row>
    <row r="313">
      <c r="A313" s="6" t="inlineStr">
        <is>
          <t>Alyssa Bell</t>
        </is>
      </c>
      <c r="B313" s="7" t="n">
        <v>20</v>
      </c>
      <c r="C313" s="7" t="n">
        <v>0</v>
      </c>
      <c r="D313" s="7" t="n">
        <v>0</v>
      </c>
      <c r="E313" s="7" t="n">
        <v>0</v>
      </c>
      <c r="F313" s="8" t="inlineStr">
        <is>
          <t>Low</t>
        </is>
      </c>
      <c r="G313" s="8" t="inlineStr">
        <is>
          <t>Low</t>
        </is>
      </c>
      <c r="H313">
        <f>IF(F313=G313,"YES","NO")</f>
        <v/>
      </c>
    </row>
    <row r="314">
      <c r="A314" s="6" t="inlineStr">
        <is>
          <t>Alyssa Pond</t>
        </is>
      </c>
      <c r="B314" s="7" t="n">
        <v>40</v>
      </c>
      <c r="C314" s="7" t="n">
        <v>0</v>
      </c>
      <c r="D314" s="7" t="n">
        <v>0</v>
      </c>
      <c r="E314" s="7" t="n">
        <v>0</v>
      </c>
      <c r="F314" s="8" t="inlineStr">
        <is>
          <t>Low</t>
        </is>
      </c>
      <c r="G314" s="8" t="inlineStr">
        <is>
          <t>Low</t>
        </is>
      </c>
      <c r="H314">
        <f>IF(F314=G314,"YES","NO")</f>
        <v/>
      </c>
    </row>
    <row r="315">
      <c r="A315" s="6" t="inlineStr">
        <is>
          <t>Amanda Camdzic</t>
        </is>
      </c>
      <c r="B315" s="7" t="n">
        <v>29</v>
      </c>
      <c r="C315" s="7" t="n">
        <v>0</v>
      </c>
      <c r="D315" s="7" t="n">
        <v>0</v>
      </c>
      <c r="E315" s="7" t="n">
        <v>0</v>
      </c>
      <c r="F315" s="8" t="inlineStr">
        <is>
          <t>Low</t>
        </is>
      </c>
      <c r="G315" s="8" t="inlineStr">
        <is>
          <t>Low</t>
        </is>
      </c>
      <c r="H315">
        <f>IF(F315=G315,"YES","NO")</f>
        <v/>
      </c>
    </row>
    <row r="316">
      <c r="A316" s="6" t="inlineStr">
        <is>
          <t>Amanda Meyer</t>
        </is>
      </c>
      <c r="B316" s="7" t="n">
        <v>20</v>
      </c>
      <c r="C316" s="7" t="n">
        <v>1</v>
      </c>
      <c r="D316" s="7" t="n">
        <v>0.05</v>
      </c>
      <c r="E316" s="7" t="n">
        <v>0.0089</v>
      </c>
      <c r="F316" s="8" t="inlineStr">
        <is>
          <t>Low</t>
        </is>
      </c>
      <c r="G316" s="8" t="inlineStr">
        <is>
          <t>Low</t>
        </is>
      </c>
      <c r="H316">
        <f>IF(F316=G316,"YES","NO")</f>
        <v/>
      </c>
    </row>
    <row r="317">
      <c r="A317" s="6" t="inlineStr">
        <is>
          <t>Amanda Scheetz</t>
        </is>
      </c>
      <c r="B317" s="7" t="n">
        <v>26</v>
      </c>
      <c r="C317" s="7" t="n">
        <v>0</v>
      </c>
      <c r="D317" s="7" t="n">
        <v>0</v>
      </c>
      <c r="E317" s="7" t="n">
        <v>0</v>
      </c>
      <c r="F317" s="8" t="inlineStr">
        <is>
          <t>Low</t>
        </is>
      </c>
      <c r="G317" s="8" t="inlineStr">
        <is>
          <t>Low</t>
        </is>
      </c>
      <c r="H317">
        <f>IF(F317=G317,"YES","NO")</f>
        <v/>
      </c>
    </row>
    <row r="318">
      <c r="A318" s="6" t="inlineStr">
        <is>
          <t>Amber Bacon</t>
        </is>
      </c>
      <c r="B318" s="7" t="n">
        <v>19</v>
      </c>
      <c r="C318" s="7" t="n">
        <v>1</v>
      </c>
      <c r="D318" s="7" t="n">
        <v>0.0526</v>
      </c>
      <c r="E318" s="7" t="n">
        <v>0.0094</v>
      </c>
      <c r="F318" s="8" t="inlineStr">
        <is>
          <t>Low</t>
        </is>
      </c>
      <c r="G318" s="8" t="inlineStr">
        <is>
          <t>Low</t>
        </is>
      </c>
      <c r="H318">
        <f>IF(F318=G318,"YES","NO")</f>
        <v/>
      </c>
    </row>
    <row r="319">
      <c r="A319" s="6" t="inlineStr">
        <is>
          <t>Amber Lewis</t>
        </is>
      </c>
      <c r="B319" s="7" t="n">
        <v>75</v>
      </c>
      <c r="C319" s="7" t="n">
        <v>6</v>
      </c>
      <c r="D319" s="7" t="n">
        <v>0.08</v>
      </c>
      <c r="E319" s="7" t="n">
        <v>0.0372</v>
      </c>
      <c r="F319" s="8" t="inlineStr">
        <is>
          <t>Low</t>
        </is>
      </c>
      <c r="G319" s="8" t="inlineStr">
        <is>
          <t>Low</t>
        </is>
      </c>
      <c r="H319">
        <f>IF(F319=G319,"YES","NO")</f>
        <v/>
      </c>
    </row>
    <row r="320">
      <c r="A320" s="6" t="inlineStr">
        <is>
          <t>Amber McEntire</t>
        </is>
      </c>
      <c r="B320" s="7" t="n">
        <v>43</v>
      </c>
      <c r="C320" s="7" t="n">
        <v>0</v>
      </c>
      <c r="D320" s="7" t="n">
        <v>0</v>
      </c>
      <c r="E320" s="7" t="n">
        <v>0</v>
      </c>
      <c r="F320" s="8" t="inlineStr">
        <is>
          <t>Low</t>
        </is>
      </c>
      <c r="G320" s="8" t="inlineStr">
        <is>
          <t>Low</t>
        </is>
      </c>
      <c r="H320">
        <f>IF(F320=G320,"YES","NO")</f>
        <v/>
      </c>
    </row>
    <row r="321">
      <c r="A321" s="6" t="inlineStr">
        <is>
          <t>Amit Kalbande</t>
        </is>
      </c>
      <c r="B321" s="7" t="n">
        <v>2</v>
      </c>
      <c r="C321" s="7" t="n">
        <v>0</v>
      </c>
      <c r="D321" s="7" t="n">
        <v>0</v>
      </c>
      <c r="E321" s="7" t="n">
        <v>0</v>
      </c>
      <c r="F321" s="8" t="inlineStr">
        <is>
          <t>Low</t>
        </is>
      </c>
      <c r="G321" s="8" t="inlineStr">
        <is>
          <t>Low</t>
        </is>
      </c>
      <c r="H321">
        <f>IF(F321=G321,"YES","NO")</f>
        <v/>
      </c>
    </row>
    <row r="322">
      <c r="A322" s="6" t="inlineStr">
        <is>
          <t>Ammie Mowe</t>
        </is>
      </c>
      <c r="B322" s="7" t="n">
        <v>21</v>
      </c>
      <c r="C322" s="7" t="n">
        <v>1</v>
      </c>
      <c r="D322" s="7" t="n">
        <v>0.0476</v>
      </c>
      <c r="E322" s="7" t="n">
        <v>0.008500000000000001</v>
      </c>
      <c r="F322" s="8" t="inlineStr">
        <is>
          <t>Low</t>
        </is>
      </c>
      <c r="G322" s="8" t="inlineStr">
        <is>
          <t>Low</t>
        </is>
      </c>
      <c r="H322">
        <f>IF(F322=G322,"YES","NO")</f>
        <v/>
      </c>
    </row>
    <row r="323">
      <c r="A323" s="6" t="inlineStr">
        <is>
          <t>Amy Borghese</t>
        </is>
      </c>
      <c r="B323" s="7" t="n">
        <v>7</v>
      </c>
      <c r="C323" s="7" t="n">
        <v>1</v>
      </c>
      <c r="D323" s="7" t="n">
        <v>0.1429</v>
      </c>
      <c r="E323" s="7" t="n">
        <v>0.0257</v>
      </c>
      <c r="F323" s="8" t="inlineStr">
        <is>
          <t>Low</t>
        </is>
      </c>
      <c r="G323" s="8" t="inlineStr">
        <is>
          <t>Low</t>
        </is>
      </c>
      <c r="H323">
        <f>IF(F323=G323,"YES","NO")</f>
        <v/>
      </c>
    </row>
    <row r="324">
      <c r="A324" s="6" t="inlineStr">
        <is>
          <t>Amy Ng</t>
        </is>
      </c>
      <c r="B324" s="7" t="n">
        <v>1</v>
      </c>
      <c r="C324" s="7" t="n">
        <v>0</v>
      </c>
      <c r="D324" s="7" t="n">
        <v>0</v>
      </c>
      <c r="E324" s="7" t="n">
        <v>0</v>
      </c>
      <c r="F324" s="8" t="inlineStr">
        <is>
          <t>Low</t>
        </is>
      </c>
      <c r="G324" s="8" t="inlineStr">
        <is>
          <t>Low</t>
        </is>
      </c>
      <c r="H324">
        <f>IF(F324=G324,"YES","NO")</f>
        <v/>
      </c>
    </row>
    <row r="325">
      <c r="A325" s="6" t="inlineStr">
        <is>
          <t>Amy Pagano</t>
        </is>
      </c>
      <c r="B325" s="7" t="n">
        <v>8</v>
      </c>
      <c r="C325" s="7" t="n">
        <v>0</v>
      </c>
      <c r="D325" s="7" t="n">
        <v>0</v>
      </c>
      <c r="E325" s="7" t="n">
        <v>0</v>
      </c>
      <c r="F325" s="8" t="inlineStr">
        <is>
          <t>Low</t>
        </is>
      </c>
      <c r="G325" s="8" t="inlineStr">
        <is>
          <t>Low</t>
        </is>
      </c>
      <c r="H325">
        <f>IF(F325=G325,"YES","NO")</f>
        <v/>
      </c>
    </row>
    <row r="326">
      <c r="A326" s="6" t="inlineStr">
        <is>
          <t>Amy Rosolowski</t>
        </is>
      </c>
      <c r="B326" s="7" t="n">
        <v>1</v>
      </c>
      <c r="C326" s="7" t="n">
        <v>0</v>
      </c>
      <c r="D326" s="7" t="n">
        <v>0</v>
      </c>
      <c r="E326" s="7" t="n">
        <v>0</v>
      </c>
      <c r="F326" s="8" t="inlineStr">
        <is>
          <t>Low</t>
        </is>
      </c>
      <c r="G326" s="8" t="inlineStr">
        <is>
          <t>Low</t>
        </is>
      </c>
      <c r="H326">
        <f>IF(F326=G326,"YES","NO")</f>
        <v/>
      </c>
    </row>
    <row r="327">
      <c r="A327" s="6" t="inlineStr">
        <is>
          <t>Andee Dietrich</t>
        </is>
      </c>
      <c r="B327" s="7" t="n">
        <v>10</v>
      </c>
      <c r="C327" s="7" t="n">
        <v>0</v>
      </c>
      <c r="D327" s="7" t="n">
        <v>0</v>
      </c>
      <c r="E327" s="7" t="n">
        <v>0</v>
      </c>
      <c r="F327" s="8" t="inlineStr">
        <is>
          <t>Low</t>
        </is>
      </c>
      <c r="G327" s="8" t="inlineStr">
        <is>
          <t>Low</t>
        </is>
      </c>
      <c r="H327">
        <f>IF(F327=G327,"YES","NO")</f>
        <v/>
      </c>
    </row>
    <row r="328">
      <c r="A328" s="6" t="inlineStr">
        <is>
          <t>Andrew  Butler</t>
        </is>
      </c>
      <c r="B328" s="7" t="n">
        <v>3</v>
      </c>
      <c r="C328" s="7" t="n">
        <v>0</v>
      </c>
      <c r="D328" s="7" t="n">
        <v>0</v>
      </c>
      <c r="E328" s="7" t="n">
        <v>0</v>
      </c>
      <c r="F328" s="8" t="inlineStr">
        <is>
          <t>Low</t>
        </is>
      </c>
      <c r="G328" s="8" t="inlineStr">
        <is>
          <t>Low</t>
        </is>
      </c>
      <c r="H328">
        <f>IF(F328=G328,"YES","NO")</f>
        <v/>
      </c>
    </row>
    <row r="329">
      <c r="A329" s="6" t="inlineStr">
        <is>
          <t>Andrew  Colino</t>
        </is>
      </c>
      <c r="B329" s="7" t="n">
        <v>69</v>
      </c>
      <c r="C329" s="7" t="n">
        <v>0</v>
      </c>
      <c r="D329" s="7" t="n">
        <v>0</v>
      </c>
      <c r="E329" s="7" t="n">
        <v>0</v>
      </c>
      <c r="F329" s="8" t="inlineStr">
        <is>
          <t>Low</t>
        </is>
      </c>
      <c r="G329" s="8" t="inlineStr">
        <is>
          <t>Low</t>
        </is>
      </c>
      <c r="H329">
        <f>IF(F329=G329,"YES","NO")</f>
        <v/>
      </c>
    </row>
    <row r="330">
      <c r="A330" s="6" t="inlineStr">
        <is>
          <t>Andrew  Doerfler</t>
        </is>
      </c>
      <c r="B330" s="7" t="n">
        <v>252</v>
      </c>
      <c r="C330" s="7" t="n">
        <v>0</v>
      </c>
      <c r="D330" s="7" t="n">
        <v>0</v>
      </c>
      <c r="E330" s="7" t="n">
        <v>0</v>
      </c>
      <c r="F330" s="8" t="inlineStr">
        <is>
          <t>Low</t>
        </is>
      </c>
      <c r="G330" s="8" t="inlineStr">
        <is>
          <t>Low</t>
        </is>
      </c>
      <c r="H330">
        <f>IF(F330=G330,"YES","NO")</f>
        <v/>
      </c>
    </row>
    <row r="331">
      <c r="A331" s="6" t="inlineStr">
        <is>
          <t>Andrew Belew</t>
        </is>
      </c>
      <c r="B331" s="7" t="n">
        <v>35</v>
      </c>
      <c r="C331" s="7" t="n">
        <v>1</v>
      </c>
      <c r="D331" s="7" t="n">
        <v>0.0286</v>
      </c>
      <c r="E331" s="7" t="n">
        <v>0.0051</v>
      </c>
      <c r="F331" s="8" t="inlineStr">
        <is>
          <t>Low</t>
        </is>
      </c>
      <c r="G331" s="8" t="inlineStr">
        <is>
          <t>Low</t>
        </is>
      </c>
      <c r="H331">
        <f>IF(F331=G331,"YES","NO")</f>
        <v/>
      </c>
    </row>
    <row r="332">
      <c r="A332" s="6" t="inlineStr">
        <is>
          <t>Andrew Cleveland</t>
        </is>
      </c>
      <c r="B332" s="7" t="n">
        <v>71</v>
      </c>
      <c r="C332" s="7" t="n">
        <v>3</v>
      </c>
      <c r="D332" s="7" t="n">
        <v>0.0423</v>
      </c>
      <c r="E332" s="7" t="n">
        <v>0.0145</v>
      </c>
      <c r="F332" s="8" t="inlineStr">
        <is>
          <t>Low</t>
        </is>
      </c>
      <c r="G332" s="8" t="inlineStr">
        <is>
          <t>Low</t>
        </is>
      </c>
      <c r="H332">
        <f>IF(F332=G332,"YES","NO")</f>
        <v/>
      </c>
    </row>
    <row r="333">
      <c r="A333" s="6" t="inlineStr">
        <is>
          <t>Andrew Coca</t>
        </is>
      </c>
      <c r="B333" s="7" t="n">
        <v>24</v>
      </c>
      <c r="C333" s="7" t="n">
        <v>0</v>
      </c>
      <c r="D333" s="7" t="n">
        <v>0</v>
      </c>
      <c r="E333" s="7" t="n">
        <v>0</v>
      </c>
      <c r="F333" s="8" t="inlineStr">
        <is>
          <t>Low</t>
        </is>
      </c>
      <c r="G333" s="8" t="inlineStr">
        <is>
          <t>Low</t>
        </is>
      </c>
      <c r="H333">
        <f>IF(F333=G333,"YES","NO")</f>
        <v/>
      </c>
    </row>
    <row r="334">
      <c r="A334" s="6" t="inlineStr">
        <is>
          <t>Andrew Conklin</t>
        </is>
      </c>
      <c r="B334" s="7" t="n">
        <v>3</v>
      </c>
      <c r="C334" s="7" t="n">
        <v>0</v>
      </c>
      <c r="D334" s="7" t="n">
        <v>0</v>
      </c>
      <c r="E334" s="7" t="n">
        <v>0</v>
      </c>
      <c r="F334" s="8" t="inlineStr">
        <is>
          <t>Low</t>
        </is>
      </c>
      <c r="G334" s="8" t="inlineStr">
        <is>
          <t>Low</t>
        </is>
      </c>
      <c r="H334">
        <f>IF(F334=G334,"YES","NO")</f>
        <v/>
      </c>
    </row>
    <row r="335">
      <c r="A335" s="6" t="inlineStr">
        <is>
          <t>Andrew DeLamatre</t>
        </is>
      </c>
      <c r="B335" s="7" t="n">
        <v>84</v>
      </c>
      <c r="C335" s="7" t="n">
        <v>0</v>
      </c>
      <c r="D335" s="7" t="n">
        <v>0</v>
      </c>
      <c r="E335" s="7" t="n">
        <v>0</v>
      </c>
      <c r="F335" s="8" t="inlineStr">
        <is>
          <t>Low</t>
        </is>
      </c>
      <c r="G335" s="8" t="inlineStr">
        <is>
          <t>Low</t>
        </is>
      </c>
      <c r="H335">
        <f>IF(F335=G335,"YES","NO")</f>
        <v/>
      </c>
    </row>
    <row r="336">
      <c r="A336" s="6" t="inlineStr">
        <is>
          <t>Andrew Gathright</t>
        </is>
      </c>
      <c r="B336" s="7" t="n">
        <v>1</v>
      </c>
      <c r="C336" s="7" t="n">
        <v>0</v>
      </c>
      <c r="D336" s="7" t="n">
        <v>0</v>
      </c>
      <c r="E336" s="7" t="n">
        <v>0</v>
      </c>
      <c r="F336" s="8" t="inlineStr">
        <is>
          <t>Low</t>
        </is>
      </c>
      <c r="G336" s="8" t="inlineStr">
        <is>
          <t>Low</t>
        </is>
      </c>
      <c r="H336">
        <f>IF(F336=G336,"YES","NO")</f>
        <v/>
      </c>
    </row>
    <row r="337">
      <c r="A337" s="6" t="inlineStr">
        <is>
          <t>Andrew Haas</t>
        </is>
      </c>
      <c r="B337" s="7" t="n">
        <v>5</v>
      </c>
      <c r="C337" s="7" t="n">
        <v>0</v>
      </c>
      <c r="D337" s="7" t="n">
        <v>0</v>
      </c>
      <c r="E337" s="7" t="n">
        <v>0</v>
      </c>
      <c r="F337" s="8" t="inlineStr">
        <is>
          <t>Low</t>
        </is>
      </c>
      <c r="G337" s="8" t="inlineStr">
        <is>
          <t>Medium</t>
        </is>
      </c>
      <c r="H337">
        <f>IF(F337=G337,"YES","NO")</f>
        <v/>
      </c>
    </row>
    <row r="338">
      <c r="A338" s="6" t="inlineStr">
        <is>
          <t>Andrew Katz</t>
        </is>
      </c>
      <c r="B338" s="7" t="n">
        <v>44</v>
      </c>
      <c r="C338" s="7" t="n">
        <v>0</v>
      </c>
      <c r="D338" s="7" t="n">
        <v>0</v>
      </c>
      <c r="E338" s="7" t="n">
        <v>0</v>
      </c>
      <c r="F338" s="8" t="inlineStr">
        <is>
          <t>Low</t>
        </is>
      </c>
      <c r="G338" s="8" t="inlineStr">
        <is>
          <t>Low</t>
        </is>
      </c>
      <c r="H338">
        <f>IF(F338=G338,"YES","NO")</f>
        <v/>
      </c>
    </row>
    <row r="339">
      <c r="A339" s="6" t="inlineStr">
        <is>
          <t>Andrew Kohler</t>
        </is>
      </c>
      <c r="B339" s="7" t="n">
        <v>4</v>
      </c>
      <c r="C339" s="7" t="n">
        <v>0</v>
      </c>
      <c r="D339" s="7" t="n">
        <v>0</v>
      </c>
      <c r="E339" s="7" t="n">
        <v>0</v>
      </c>
      <c r="F339" s="8" t="inlineStr">
        <is>
          <t>Low</t>
        </is>
      </c>
      <c r="G339" s="8" t="inlineStr">
        <is>
          <t>Medium</t>
        </is>
      </c>
      <c r="H339">
        <f>IF(F339=G339,"YES","NO")</f>
        <v/>
      </c>
    </row>
    <row r="340">
      <c r="A340" s="6" t="inlineStr">
        <is>
          <t>Andrew Love</t>
        </is>
      </c>
      <c r="B340" s="7" t="n">
        <v>19</v>
      </c>
      <c r="C340" s="7" t="n">
        <v>3</v>
      </c>
      <c r="D340" s="7" t="n">
        <v>0.1579</v>
      </c>
      <c r="E340" s="7" t="n">
        <v>0.0552</v>
      </c>
      <c r="F340" s="8" t="inlineStr">
        <is>
          <t>Low</t>
        </is>
      </c>
      <c r="G340" s="8" t="inlineStr">
        <is>
          <t>Low</t>
        </is>
      </c>
      <c r="H340">
        <f>IF(F340=G340,"YES","NO")</f>
        <v/>
      </c>
    </row>
    <row r="341">
      <c r="A341" s="6" t="inlineStr">
        <is>
          <t>Andrew Newell</t>
        </is>
      </c>
      <c r="B341" s="7" t="n">
        <v>2</v>
      </c>
      <c r="C341" s="7" t="n">
        <v>0</v>
      </c>
      <c r="D341" s="7" t="n">
        <v>0</v>
      </c>
      <c r="E341" s="7" t="n">
        <v>0</v>
      </c>
      <c r="F341" s="8" t="inlineStr">
        <is>
          <t>Low</t>
        </is>
      </c>
      <c r="G341" s="8" t="inlineStr">
        <is>
          <t>Low</t>
        </is>
      </c>
      <c r="H341">
        <f>IF(F341=G341,"YES","NO")</f>
        <v/>
      </c>
    </row>
    <row r="342">
      <c r="A342" s="6" t="inlineStr">
        <is>
          <t>Andrew Nickols</t>
        </is>
      </c>
      <c r="B342" s="7" t="n">
        <v>7</v>
      </c>
      <c r="C342" s="7" t="n">
        <v>0</v>
      </c>
      <c r="D342" s="7" t="n">
        <v>0</v>
      </c>
      <c r="E342" s="7" t="n">
        <v>0</v>
      </c>
      <c r="F342" s="8" t="inlineStr">
        <is>
          <t>Low</t>
        </is>
      </c>
      <c r="G342" s="8" t="inlineStr">
        <is>
          <t>Low</t>
        </is>
      </c>
      <c r="H342">
        <f>IF(F342=G342,"YES","NO")</f>
        <v/>
      </c>
    </row>
    <row r="343">
      <c r="A343" s="6" t="inlineStr">
        <is>
          <t>Andrew Roethe</t>
        </is>
      </c>
      <c r="B343" s="7" t="n">
        <v>30</v>
      </c>
      <c r="C343" s="7" t="n">
        <v>0</v>
      </c>
      <c r="D343" s="7" t="n">
        <v>0</v>
      </c>
      <c r="E343" s="7" t="n">
        <v>0</v>
      </c>
      <c r="F343" s="8" t="inlineStr">
        <is>
          <t>Low</t>
        </is>
      </c>
      <c r="G343" s="8" t="inlineStr">
        <is>
          <t>Low</t>
        </is>
      </c>
      <c r="H343">
        <f>IF(F343=G343,"YES","NO")</f>
        <v/>
      </c>
    </row>
    <row r="344">
      <c r="A344" s="6" t="inlineStr">
        <is>
          <t>Andrew Roy</t>
        </is>
      </c>
      <c r="B344" s="7" t="n">
        <v>98</v>
      </c>
      <c r="C344" s="7" t="n">
        <v>11</v>
      </c>
      <c r="D344" s="7" t="n">
        <v>0.1122</v>
      </c>
      <c r="E344" s="7" t="n">
        <v>0.0638</v>
      </c>
      <c r="F344" s="8" t="inlineStr">
        <is>
          <t>Low</t>
        </is>
      </c>
      <c r="G344" s="8" t="inlineStr">
        <is>
          <t>Low</t>
        </is>
      </c>
      <c r="H344">
        <f>IF(F344=G344,"YES","NO")</f>
        <v/>
      </c>
    </row>
    <row r="345">
      <c r="A345" s="6" t="inlineStr">
        <is>
          <t>Andrew Rundell</t>
        </is>
      </c>
      <c r="B345" s="7" t="n">
        <v>1</v>
      </c>
      <c r="C345" s="7" t="n">
        <v>0</v>
      </c>
      <c r="D345" s="7" t="n">
        <v>0</v>
      </c>
      <c r="E345" s="7" t="n">
        <v>0</v>
      </c>
      <c r="F345" s="8" t="inlineStr">
        <is>
          <t>Low</t>
        </is>
      </c>
      <c r="G345" s="8" t="inlineStr">
        <is>
          <t>High</t>
        </is>
      </c>
      <c r="H345">
        <f>IF(F345=G345,"YES","NO")</f>
        <v/>
      </c>
    </row>
    <row r="346">
      <c r="A346" s="6" t="inlineStr">
        <is>
          <t>Andrew Sites</t>
        </is>
      </c>
      <c r="B346" s="7" t="n">
        <v>97</v>
      </c>
      <c r="C346" s="7" t="n">
        <v>0</v>
      </c>
      <c r="D346" s="7" t="n">
        <v>0</v>
      </c>
      <c r="E346" s="7" t="n">
        <v>0</v>
      </c>
      <c r="F346" s="8" t="inlineStr">
        <is>
          <t>Low</t>
        </is>
      </c>
      <c r="G346" s="8" t="inlineStr">
        <is>
          <t>Low</t>
        </is>
      </c>
      <c r="H346">
        <f>IF(F346=G346,"YES","NO")</f>
        <v/>
      </c>
    </row>
    <row r="347">
      <c r="A347" s="6" t="inlineStr">
        <is>
          <t>Andrew Vogel</t>
        </is>
      </c>
      <c r="B347" s="7" t="n">
        <v>3</v>
      </c>
      <c r="C347" s="7" t="n">
        <v>0</v>
      </c>
      <c r="D347" s="7" t="n">
        <v>0</v>
      </c>
      <c r="E347" s="7" t="n">
        <v>0</v>
      </c>
      <c r="F347" s="8" t="inlineStr">
        <is>
          <t>Low</t>
        </is>
      </c>
      <c r="G347" s="8" t="inlineStr">
        <is>
          <t>Low</t>
        </is>
      </c>
      <c r="H347">
        <f>IF(F347=G347,"YES","NO")</f>
        <v/>
      </c>
    </row>
    <row r="348">
      <c r="A348" s="6" t="inlineStr">
        <is>
          <t>Andy Stinson</t>
        </is>
      </c>
      <c r="B348" s="7" t="n">
        <v>9</v>
      </c>
      <c r="C348" s="7" t="n">
        <v>0</v>
      </c>
      <c r="D348" s="7" t="n">
        <v>0</v>
      </c>
      <c r="E348" s="7" t="n">
        <v>0</v>
      </c>
      <c r="F348" s="8" t="inlineStr">
        <is>
          <t>Low</t>
        </is>
      </c>
      <c r="G348" s="8" t="inlineStr">
        <is>
          <t>Low</t>
        </is>
      </c>
      <c r="H348">
        <f>IF(F348=G348,"YES","NO")</f>
        <v/>
      </c>
    </row>
    <row r="349">
      <c r="A349" s="6" t="inlineStr">
        <is>
          <t>Andy Wampler</t>
        </is>
      </c>
      <c r="B349" s="7" t="n">
        <v>21</v>
      </c>
      <c r="C349" s="7" t="n">
        <v>3</v>
      </c>
      <c r="D349" s="7" t="n">
        <v>0.1429</v>
      </c>
      <c r="E349" s="7" t="n">
        <v>0.0498</v>
      </c>
      <c r="F349" s="8" t="inlineStr">
        <is>
          <t>Low</t>
        </is>
      </c>
      <c r="G349" s="8" t="inlineStr">
        <is>
          <t>Low</t>
        </is>
      </c>
      <c r="H349">
        <f>IF(F349=G349,"YES","NO")</f>
        <v/>
      </c>
    </row>
    <row r="350">
      <c r="A350" s="6" t="inlineStr">
        <is>
          <t>Angela D'Onofrio</t>
        </is>
      </c>
      <c r="B350" s="7" t="n">
        <v>1</v>
      </c>
      <c r="C350" s="7" t="n">
        <v>0</v>
      </c>
      <c r="D350" s="7" t="n">
        <v>0</v>
      </c>
      <c r="E350" s="7" t="n">
        <v>0</v>
      </c>
      <c r="F350" s="8" t="inlineStr">
        <is>
          <t>Low</t>
        </is>
      </c>
      <c r="G350" s="8" t="inlineStr">
        <is>
          <t>Low</t>
        </is>
      </c>
      <c r="H350">
        <f>IF(F350=G350,"YES","NO")</f>
        <v/>
      </c>
    </row>
    <row r="351">
      <c r="A351" s="6" t="inlineStr">
        <is>
          <t>Angie Griffith</t>
        </is>
      </c>
      <c r="B351" s="7" t="n">
        <v>65</v>
      </c>
      <c r="C351" s="7" t="n">
        <v>0</v>
      </c>
      <c r="D351" s="7" t="n">
        <v>0</v>
      </c>
      <c r="E351" s="7" t="n">
        <v>0</v>
      </c>
      <c r="F351" s="8" t="inlineStr">
        <is>
          <t>Low</t>
        </is>
      </c>
      <c r="G351" s="8" t="inlineStr">
        <is>
          <t>Low</t>
        </is>
      </c>
      <c r="H351">
        <f>IF(F351=G351,"YES","NO")</f>
        <v/>
      </c>
    </row>
    <row r="352">
      <c r="A352" s="6" t="inlineStr">
        <is>
          <t>Angie Plate</t>
        </is>
      </c>
      <c r="B352" s="7" t="n">
        <v>57</v>
      </c>
      <c r="C352" s="7" t="n">
        <v>5</v>
      </c>
      <c r="D352" s="7" t="n">
        <v>0.0877</v>
      </c>
      <c r="E352" s="7" t="n">
        <v>0.0381</v>
      </c>
      <c r="F352" s="8" t="inlineStr">
        <is>
          <t>Low</t>
        </is>
      </c>
      <c r="G352" s="8" t="inlineStr">
        <is>
          <t>High</t>
        </is>
      </c>
      <c r="H352">
        <f>IF(F352=G352,"YES","NO")</f>
        <v/>
      </c>
    </row>
    <row r="353">
      <c r="A353" s="6" t="inlineStr">
        <is>
          <t>Anita Sutton</t>
        </is>
      </c>
      <c r="B353" s="7" t="n">
        <v>4</v>
      </c>
      <c r="C353" s="7" t="n">
        <v>0</v>
      </c>
      <c r="D353" s="7" t="n">
        <v>0</v>
      </c>
      <c r="E353" s="7" t="n">
        <v>0</v>
      </c>
      <c r="F353" s="8" t="inlineStr">
        <is>
          <t>Low</t>
        </is>
      </c>
      <c r="G353" s="8" t="inlineStr">
        <is>
          <t>Low</t>
        </is>
      </c>
      <c r="H353">
        <f>IF(F353=G353,"YES","NO")</f>
        <v/>
      </c>
    </row>
    <row r="354">
      <c r="A354" s="6" t="inlineStr">
        <is>
          <t>Anna Martello</t>
        </is>
      </c>
      <c r="B354" s="7" t="n">
        <v>43</v>
      </c>
      <c r="C354" s="7" t="n">
        <v>0</v>
      </c>
      <c r="D354" s="7" t="n">
        <v>0</v>
      </c>
      <c r="E354" s="7" t="n">
        <v>0</v>
      </c>
      <c r="F354" s="8" t="inlineStr">
        <is>
          <t>Low</t>
        </is>
      </c>
      <c r="G354" s="8" t="inlineStr">
        <is>
          <t>Low</t>
        </is>
      </c>
      <c r="H354">
        <f>IF(F354=G354,"YES","NO")</f>
        <v/>
      </c>
    </row>
    <row r="355">
      <c r="A355" s="6" t="inlineStr">
        <is>
          <t>Annette Bice</t>
        </is>
      </c>
      <c r="B355" s="7" t="n">
        <v>1</v>
      </c>
      <c r="C355" s="7" t="n">
        <v>0</v>
      </c>
      <c r="D355" s="7" t="n">
        <v>0</v>
      </c>
      <c r="E355" s="7" t="n">
        <v>0</v>
      </c>
      <c r="F355" s="8" t="inlineStr">
        <is>
          <t>Low</t>
        </is>
      </c>
      <c r="G355" s="8" t="inlineStr">
        <is>
          <t>Low</t>
        </is>
      </c>
      <c r="H355">
        <f>IF(F355=G355,"YES","NO")</f>
        <v/>
      </c>
    </row>
    <row r="356">
      <c r="A356" s="6" t="inlineStr">
        <is>
          <t>Anthony Bulla</t>
        </is>
      </c>
      <c r="B356" s="7" t="n">
        <v>127</v>
      </c>
      <c r="C356" s="7" t="n">
        <v>10</v>
      </c>
      <c r="D356" s="7" t="n">
        <v>0.07870000000000001</v>
      </c>
      <c r="E356" s="7" t="n">
        <v>0.0433</v>
      </c>
      <c r="F356" s="8" t="inlineStr">
        <is>
          <t>Low</t>
        </is>
      </c>
      <c r="G356" s="8" t="inlineStr">
        <is>
          <t>Low</t>
        </is>
      </c>
      <c r="H356">
        <f>IF(F356=G356,"YES","NO")</f>
        <v/>
      </c>
    </row>
    <row r="357">
      <c r="A357" s="6" t="inlineStr">
        <is>
          <t>Anthony Canacci</t>
        </is>
      </c>
      <c r="B357" s="7" t="n">
        <v>16</v>
      </c>
      <c r="C357" s="7" t="n">
        <v>0</v>
      </c>
      <c r="D357" s="7" t="n">
        <v>0</v>
      </c>
      <c r="E357" s="7" t="n">
        <v>0</v>
      </c>
      <c r="F357" s="8" t="inlineStr">
        <is>
          <t>Low</t>
        </is>
      </c>
      <c r="G357" s="8" t="inlineStr">
        <is>
          <t>Low</t>
        </is>
      </c>
      <c r="H357">
        <f>IF(F357=G357,"YES","NO")</f>
        <v/>
      </c>
    </row>
    <row r="358">
      <c r="A358" s="6" t="inlineStr">
        <is>
          <t>Anthony Elliott</t>
        </is>
      </c>
      <c r="B358" s="7" t="n">
        <v>70</v>
      </c>
      <c r="C358" s="7" t="n">
        <v>1</v>
      </c>
      <c r="D358" s="7" t="n">
        <v>0.0143</v>
      </c>
      <c r="E358" s="7" t="n">
        <v>0.0025</v>
      </c>
      <c r="F358" s="8" t="inlineStr">
        <is>
          <t>Low</t>
        </is>
      </c>
      <c r="G358" s="8" t="inlineStr">
        <is>
          <t>Low</t>
        </is>
      </c>
      <c r="H358">
        <f>IF(F358=G358,"YES","NO")</f>
        <v/>
      </c>
    </row>
    <row r="359">
      <c r="A359" s="6" t="inlineStr">
        <is>
          <t>Anthony Flatts</t>
        </is>
      </c>
      <c r="B359" s="7" t="n">
        <v>8</v>
      </c>
      <c r="C359" s="7" t="n">
        <v>0</v>
      </c>
      <c r="D359" s="7" t="n">
        <v>0</v>
      </c>
      <c r="E359" s="7" t="n">
        <v>0</v>
      </c>
      <c r="F359" s="8" t="inlineStr">
        <is>
          <t>Low</t>
        </is>
      </c>
      <c r="G359" s="8" t="inlineStr">
        <is>
          <t>Low</t>
        </is>
      </c>
      <c r="H359">
        <f>IF(F359=G359,"YES","NO")</f>
        <v/>
      </c>
    </row>
    <row r="360">
      <c r="A360" s="6" t="inlineStr">
        <is>
          <t>Anthony Giles</t>
        </is>
      </c>
      <c r="B360" s="7" t="n">
        <v>18</v>
      </c>
      <c r="C360" s="7" t="n">
        <v>1</v>
      </c>
      <c r="D360" s="7" t="n">
        <v>0.0556</v>
      </c>
      <c r="E360" s="7" t="n">
        <v>0.009900000000000001</v>
      </c>
      <c r="F360" s="8" t="inlineStr">
        <is>
          <t>Low</t>
        </is>
      </c>
      <c r="G360" s="8" t="inlineStr">
        <is>
          <t>Low</t>
        </is>
      </c>
      <c r="H360">
        <f>IF(F360=G360,"YES","NO")</f>
        <v/>
      </c>
    </row>
    <row r="361">
      <c r="A361" s="6" t="inlineStr">
        <is>
          <t>Anthony Varanakis</t>
        </is>
      </c>
      <c r="B361" s="7" t="n">
        <v>20</v>
      </c>
      <c r="C361" s="7" t="n">
        <v>1</v>
      </c>
      <c r="D361" s="7" t="n">
        <v>0.05</v>
      </c>
      <c r="E361" s="7" t="n">
        <v>0.0089</v>
      </c>
      <c r="F361" s="8" t="inlineStr">
        <is>
          <t>Low</t>
        </is>
      </c>
      <c r="G361" s="8" t="inlineStr">
        <is>
          <t>Low</t>
        </is>
      </c>
      <c r="H361">
        <f>IF(F361=G361,"YES","NO")</f>
        <v/>
      </c>
    </row>
    <row r="362">
      <c r="A362" s="6" t="inlineStr">
        <is>
          <t>Antonio Luttrell</t>
        </is>
      </c>
      <c r="B362" s="7" t="n">
        <v>56</v>
      </c>
      <c r="C362" s="7" t="n">
        <v>2</v>
      </c>
      <c r="D362" s="7" t="n">
        <v>0.0357</v>
      </c>
      <c r="E362" s="7" t="n">
        <v>0.0098</v>
      </c>
      <c r="F362" s="8" t="inlineStr">
        <is>
          <t>Low</t>
        </is>
      </c>
      <c r="G362" s="8" t="inlineStr">
        <is>
          <t>Low</t>
        </is>
      </c>
      <c r="H362">
        <f>IF(F362=G362,"YES","NO")</f>
        <v/>
      </c>
    </row>
    <row r="363">
      <c r="A363" s="6" t="inlineStr">
        <is>
          <t>April Walker</t>
        </is>
      </c>
      <c r="B363" s="7" t="n">
        <v>5</v>
      </c>
      <c r="C363" s="7" t="n">
        <v>0</v>
      </c>
      <c r="D363" s="7" t="n">
        <v>0</v>
      </c>
      <c r="E363" s="7" t="n">
        <v>0</v>
      </c>
      <c r="F363" s="8" t="inlineStr">
        <is>
          <t>Low</t>
        </is>
      </c>
      <c r="G363" s="8" t="inlineStr">
        <is>
          <t>Low</t>
        </is>
      </c>
      <c r="H363">
        <f>IF(F363=G363,"YES","NO")</f>
        <v/>
      </c>
    </row>
    <row r="364">
      <c r="A364" s="6" t="inlineStr">
        <is>
          <t>Ari Epshtein</t>
        </is>
      </c>
      <c r="B364" s="7" t="n">
        <v>3</v>
      </c>
      <c r="C364" s="7" t="n">
        <v>0</v>
      </c>
      <c r="D364" s="7" t="n">
        <v>0</v>
      </c>
      <c r="E364" s="7" t="n">
        <v>0</v>
      </c>
      <c r="F364" s="8" t="inlineStr">
        <is>
          <t>Low</t>
        </is>
      </c>
      <c r="G364" s="8" t="inlineStr">
        <is>
          <t>Low</t>
        </is>
      </c>
      <c r="H364">
        <f>IF(F364=G364,"YES","NO")</f>
        <v/>
      </c>
    </row>
    <row r="365">
      <c r="A365" s="6" t="inlineStr">
        <is>
          <t>Ari Suris</t>
        </is>
      </c>
      <c r="B365" s="7" t="n">
        <v>2</v>
      </c>
      <c r="C365" s="7" t="n">
        <v>0</v>
      </c>
      <c r="D365" s="7" t="n">
        <v>0</v>
      </c>
      <c r="E365" s="7" t="n">
        <v>0</v>
      </c>
      <c r="F365" s="8" t="inlineStr">
        <is>
          <t>Low</t>
        </is>
      </c>
      <c r="G365" s="8" t="inlineStr">
        <is>
          <t>High</t>
        </is>
      </c>
      <c r="H365">
        <f>IF(F365=G365,"YES","NO")</f>
        <v/>
      </c>
    </row>
    <row r="366">
      <c r="A366" s="6" t="inlineStr">
        <is>
          <t>Ariana Vandenburgh</t>
        </is>
      </c>
      <c r="B366" s="7" t="n">
        <v>29</v>
      </c>
      <c r="C366" s="7" t="n">
        <v>0</v>
      </c>
      <c r="D366" s="7" t="n">
        <v>0</v>
      </c>
      <c r="E366" s="7" t="n">
        <v>0</v>
      </c>
      <c r="F366" s="8" t="inlineStr">
        <is>
          <t>Low</t>
        </is>
      </c>
      <c r="G366" s="8" t="inlineStr">
        <is>
          <t>Low</t>
        </is>
      </c>
      <c r="H366">
        <f>IF(F366=G366,"YES","NO")</f>
        <v/>
      </c>
    </row>
    <row r="367">
      <c r="A367" s="6" t="inlineStr">
        <is>
          <t>Aron Adler</t>
        </is>
      </c>
      <c r="B367" s="7" t="n">
        <v>17</v>
      </c>
      <c r="C367" s="7" t="n">
        <v>0</v>
      </c>
      <c r="D367" s="7" t="n">
        <v>0</v>
      </c>
      <c r="E367" s="7" t="n">
        <v>0</v>
      </c>
      <c r="F367" s="8" t="inlineStr">
        <is>
          <t>Low</t>
        </is>
      </c>
      <c r="G367" s="8" t="inlineStr">
        <is>
          <t>Low</t>
        </is>
      </c>
      <c r="H367">
        <f>IF(F367=G367,"YES","NO")</f>
        <v/>
      </c>
    </row>
    <row r="368">
      <c r="A368" s="6" t="inlineStr">
        <is>
          <t>Arthur Crandall</t>
        </is>
      </c>
      <c r="B368" s="7" t="n">
        <v>10</v>
      </c>
      <c r="C368" s="7" t="n">
        <v>0</v>
      </c>
      <c r="D368" s="7" t="n">
        <v>0</v>
      </c>
      <c r="E368" s="7" t="n">
        <v>0</v>
      </c>
      <c r="F368" s="8" t="inlineStr">
        <is>
          <t>Low</t>
        </is>
      </c>
      <c r="G368" s="8" t="inlineStr">
        <is>
          <t>Low</t>
        </is>
      </c>
      <c r="H368">
        <f>IF(F368=G368,"YES","NO")</f>
        <v/>
      </c>
    </row>
    <row r="369">
      <c r="A369" s="6" t="inlineStr">
        <is>
          <t>Artie Atencio</t>
        </is>
      </c>
      <c r="B369" s="7" t="n">
        <v>30</v>
      </c>
      <c r="C369" s="7" t="n">
        <v>0</v>
      </c>
      <c r="D369" s="7" t="n">
        <v>0</v>
      </c>
      <c r="E369" s="7" t="n">
        <v>0</v>
      </c>
      <c r="F369" s="8" t="inlineStr">
        <is>
          <t>Low</t>
        </is>
      </c>
      <c r="G369" s="8" t="inlineStr">
        <is>
          <t>Low</t>
        </is>
      </c>
      <c r="H369">
        <f>IF(F369=G369,"YES","NO")</f>
        <v/>
      </c>
    </row>
    <row r="370">
      <c r="A370" s="6" t="inlineStr">
        <is>
          <t>Ashleigh Slaughter</t>
        </is>
      </c>
      <c r="B370" s="7" t="n">
        <v>49</v>
      </c>
      <c r="C370" s="7" t="n">
        <v>0</v>
      </c>
      <c r="D370" s="7" t="n">
        <v>0</v>
      </c>
      <c r="E370" s="7" t="n">
        <v>0</v>
      </c>
      <c r="F370" s="8" t="inlineStr">
        <is>
          <t>Low</t>
        </is>
      </c>
      <c r="G370" s="8" t="inlineStr">
        <is>
          <t>Low</t>
        </is>
      </c>
      <c r="H370">
        <f>IF(F370=G370,"YES","NO")</f>
        <v/>
      </c>
    </row>
    <row r="371">
      <c r="A371" s="6" t="inlineStr">
        <is>
          <t>Ashley Adcock</t>
        </is>
      </c>
      <c r="B371" s="7" t="n">
        <v>4</v>
      </c>
      <c r="C371" s="7" t="n">
        <v>0</v>
      </c>
      <c r="D371" s="7" t="n">
        <v>0</v>
      </c>
      <c r="E371" s="7" t="n">
        <v>0</v>
      </c>
      <c r="F371" s="8" t="inlineStr">
        <is>
          <t>Low</t>
        </is>
      </c>
      <c r="G371" s="8" t="inlineStr">
        <is>
          <t>Low</t>
        </is>
      </c>
      <c r="H371">
        <f>IF(F371=G371,"YES","NO")</f>
        <v/>
      </c>
    </row>
    <row r="372">
      <c r="A372" s="6" t="inlineStr">
        <is>
          <t>Ashley Gore</t>
        </is>
      </c>
      <c r="B372" s="7" t="n">
        <v>24</v>
      </c>
      <c r="C372" s="7" t="n">
        <v>0</v>
      </c>
      <c r="D372" s="7" t="n">
        <v>0</v>
      </c>
      <c r="E372" s="7" t="n">
        <v>0</v>
      </c>
      <c r="F372" s="8" t="inlineStr">
        <is>
          <t>Low</t>
        </is>
      </c>
      <c r="G372" s="8" t="inlineStr">
        <is>
          <t>Low</t>
        </is>
      </c>
      <c r="H372">
        <f>IF(F372=G372,"YES","NO")</f>
        <v/>
      </c>
    </row>
    <row r="373">
      <c r="A373" s="6" t="inlineStr">
        <is>
          <t>Ashley Hagerty</t>
        </is>
      </c>
      <c r="B373" s="7" t="n">
        <v>21</v>
      </c>
      <c r="C373" s="7" t="n">
        <v>0</v>
      </c>
      <c r="D373" s="7" t="n">
        <v>0</v>
      </c>
      <c r="E373" s="7" t="n">
        <v>0</v>
      </c>
      <c r="F373" s="8" t="inlineStr">
        <is>
          <t>Low</t>
        </is>
      </c>
      <c r="G373" s="8" t="inlineStr">
        <is>
          <t>Low</t>
        </is>
      </c>
      <c r="H373">
        <f>IF(F373=G373,"YES","NO")</f>
        <v/>
      </c>
    </row>
    <row r="374">
      <c r="A374" s="6" t="inlineStr">
        <is>
          <t>Ashley Hyatt</t>
        </is>
      </c>
      <c r="B374" s="7" t="n">
        <v>17</v>
      </c>
      <c r="C374" s="7" t="n">
        <v>1</v>
      </c>
      <c r="D374" s="7" t="n">
        <v>0.0588</v>
      </c>
      <c r="E374" s="7" t="n">
        <v>0.0105</v>
      </c>
      <c r="F374" s="8" t="inlineStr">
        <is>
          <t>Low</t>
        </is>
      </c>
      <c r="G374" s="8" t="inlineStr">
        <is>
          <t>Low</t>
        </is>
      </c>
      <c r="H374">
        <f>IF(F374=G374,"YES","NO")</f>
        <v/>
      </c>
    </row>
    <row r="375">
      <c r="A375" s="6" t="inlineStr">
        <is>
          <t>Ashley Ng</t>
        </is>
      </c>
      <c r="B375" s="7" t="n">
        <v>91</v>
      </c>
      <c r="C375" s="7" t="n">
        <v>2</v>
      </c>
      <c r="D375" s="7" t="n">
        <v>0.022</v>
      </c>
      <c r="E375" s="7" t="n">
        <v>0.006</v>
      </c>
      <c r="F375" s="8" t="inlineStr">
        <is>
          <t>Low</t>
        </is>
      </c>
      <c r="G375" s="8" t="inlineStr">
        <is>
          <t>Low</t>
        </is>
      </c>
      <c r="H375">
        <f>IF(F375=G375,"YES","NO")</f>
        <v/>
      </c>
    </row>
    <row r="376">
      <c r="A376" s="6" t="inlineStr">
        <is>
          <t>Ashley Thompson</t>
        </is>
      </c>
      <c r="B376" s="7" t="n">
        <v>96</v>
      </c>
      <c r="C376" s="7" t="n">
        <v>9</v>
      </c>
      <c r="D376" s="7" t="n">
        <v>0.09379999999999999</v>
      </c>
      <c r="E376" s="7" t="n">
        <v>0.0501</v>
      </c>
      <c r="F376" s="8" t="inlineStr">
        <is>
          <t>Low</t>
        </is>
      </c>
      <c r="G376" s="8" t="inlineStr">
        <is>
          <t>Low</t>
        </is>
      </c>
      <c r="H376">
        <f>IF(F376=G376,"YES","NO")</f>
        <v/>
      </c>
    </row>
    <row r="377">
      <c r="A377" s="6" t="inlineStr">
        <is>
          <t>Ashley Thorp</t>
        </is>
      </c>
      <c r="B377" s="7" t="n">
        <v>2</v>
      </c>
      <c r="C377" s="7" t="n">
        <v>0</v>
      </c>
      <c r="D377" s="7" t="n">
        <v>0</v>
      </c>
      <c r="E377" s="7" t="n">
        <v>0</v>
      </c>
      <c r="F377" s="8" t="inlineStr">
        <is>
          <t>Low</t>
        </is>
      </c>
      <c r="G377" s="8" t="inlineStr">
        <is>
          <t>Low</t>
        </is>
      </c>
      <c r="H377">
        <f>IF(F377=G377,"YES","NO")</f>
        <v/>
      </c>
    </row>
    <row r="378">
      <c r="A378" s="6" t="inlineStr">
        <is>
          <t>Ashlie Brooks</t>
        </is>
      </c>
      <c r="B378" s="7" t="n">
        <v>17</v>
      </c>
      <c r="C378" s="7" t="n">
        <v>1</v>
      </c>
      <c r="D378" s="7" t="n">
        <v>0.0588</v>
      </c>
      <c r="E378" s="7" t="n">
        <v>0.0105</v>
      </c>
      <c r="F378" s="8" t="inlineStr">
        <is>
          <t>Low</t>
        </is>
      </c>
      <c r="G378" s="8" t="inlineStr">
        <is>
          <t>Low</t>
        </is>
      </c>
      <c r="H378">
        <f>IF(F378=G378,"YES","NO")</f>
        <v/>
      </c>
    </row>
    <row r="379">
      <c r="A379" s="6" t="inlineStr">
        <is>
          <t>Ashtin Givens</t>
        </is>
      </c>
      <c r="B379" s="7" t="n">
        <v>31</v>
      </c>
      <c r="C379" s="7" t="n">
        <v>0</v>
      </c>
      <c r="D379" s="7" t="n">
        <v>0</v>
      </c>
      <c r="E379" s="7" t="n">
        <v>0</v>
      </c>
      <c r="F379" s="8" t="inlineStr">
        <is>
          <t>Low</t>
        </is>
      </c>
      <c r="G379" s="8" t="inlineStr">
        <is>
          <t>Low</t>
        </is>
      </c>
      <c r="H379">
        <f>IF(F379=G379,"YES","NO")</f>
        <v/>
      </c>
    </row>
    <row r="380">
      <c r="A380" s="6" t="inlineStr">
        <is>
          <t>Ashwani Singh</t>
        </is>
      </c>
      <c r="B380" s="7" t="n">
        <v>2</v>
      </c>
      <c r="C380" s="7" t="n">
        <v>0</v>
      </c>
      <c r="D380" s="7" t="n">
        <v>0</v>
      </c>
      <c r="E380" s="7" t="n">
        <v>0</v>
      </c>
      <c r="F380" s="8" t="inlineStr">
        <is>
          <t>Low</t>
        </is>
      </c>
      <c r="G380" s="8" t="inlineStr">
        <is>
          <t>Low</t>
        </is>
      </c>
      <c r="H380">
        <f>IF(F380=G380,"YES","NO")</f>
        <v/>
      </c>
    </row>
    <row r="381">
      <c r="A381" s="6" t="inlineStr">
        <is>
          <t>Audrey Sprague</t>
        </is>
      </c>
      <c r="B381" s="7" t="n">
        <v>367</v>
      </c>
      <c r="C381" s="7" t="n">
        <v>4</v>
      </c>
      <c r="D381" s="7" t="n">
        <v>0.0109</v>
      </c>
      <c r="E381" s="7" t="n">
        <v>0.0042</v>
      </c>
      <c r="F381" s="8" t="inlineStr">
        <is>
          <t>Low</t>
        </is>
      </c>
      <c r="G381" s="8" t="inlineStr">
        <is>
          <t>Low</t>
        </is>
      </c>
      <c r="H381">
        <f>IF(F381=G381,"YES","NO")</f>
        <v/>
      </c>
    </row>
    <row r="382">
      <c r="A382" s="6" t="inlineStr">
        <is>
          <t>Aurie Barrios</t>
        </is>
      </c>
      <c r="B382" s="7" t="n">
        <v>1</v>
      </c>
      <c r="C382" s="7" t="n">
        <v>0</v>
      </c>
      <c r="D382" s="7" t="n">
        <v>0</v>
      </c>
      <c r="E382" s="7" t="n">
        <v>0</v>
      </c>
      <c r="F382" s="8" t="inlineStr">
        <is>
          <t>Low</t>
        </is>
      </c>
      <c r="G382" s="8" t="inlineStr">
        <is>
          <t>Low</t>
        </is>
      </c>
      <c r="H382">
        <f>IF(F382=G382,"YES","NO")</f>
        <v/>
      </c>
    </row>
    <row r="383">
      <c r="A383" s="6" t="inlineStr">
        <is>
          <t>Austin Folgers</t>
        </is>
      </c>
      <c r="B383" s="7" t="n">
        <v>46</v>
      </c>
      <c r="C383" s="7" t="n">
        <v>3</v>
      </c>
      <c r="D383" s="7" t="n">
        <v>0.06519999999999999</v>
      </c>
      <c r="E383" s="7" t="n">
        <v>0.0224</v>
      </c>
      <c r="F383" s="8" t="inlineStr">
        <is>
          <t>Low</t>
        </is>
      </c>
      <c r="G383" s="8" t="inlineStr">
        <is>
          <t>Low</t>
        </is>
      </c>
      <c r="H383">
        <f>IF(F383=G383,"YES","NO")</f>
        <v/>
      </c>
    </row>
    <row r="384">
      <c r="A384" s="6" t="inlineStr">
        <is>
          <t>Austin Marler</t>
        </is>
      </c>
      <c r="B384" s="7" t="n">
        <v>1</v>
      </c>
      <c r="C384" s="7" t="n">
        <v>0</v>
      </c>
      <c r="D384" s="7" t="n">
        <v>0</v>
      </c>
      <c r="E384" s="7" t="n">
        <v>0</v>
      </c>
      <c r="F384" s="8" t="inlineStr">
        <is>
          <t>Low</t>
        </is>
      </c>
      <c r="G384" s="8" t="inlineStr">
        <is>
          <t>Low</t>
        </is>
      </c>
      <c r="H384">
        <f>IF(F384=G384,"YES","NO")</f>
        <v/>
      </c>
    </row>
    <row r="385">
      <c r="A385" s="6" t="inlineStr">
        <is>
          <t>Austin Owens</t>
        </is>
      </c>
      <c r="B385" s="7" t="n">
        <v>24</v>
      </c>
      <c r="C385" s="7" t="n">
        <v>0</v>
      </c>
      <c r="D385" s="7" t="n">
        <v>0</v>
      </c>
      <c r="E385" s="7" t="n">
        <v>0</v>
      </c>
      <c r="F385" s="8" t="inlineStr">
        <is>
          <t>Low</t>
        </is>
      </c>
      <c r="G385" s="8" t="inlineStr">
        <is>
          <t>Low</t>
        </is>
      </c>
      <c r="H385">
        <f>IF(F385=G385,"YES","NO")</f>
        <v/>
      </c>
    </row>
    <row r="386">
      <c r="A386" s="6" t="inlineStr">
        <is>
          <t>Austin Piombo</t>
        </is>
      </c>
      <c r="B386" s="7" t="n">
        <v>35</v>
      </c>
      <c r="C386" s="7" t="n">
        <v>3</v>
      </c>
      <c r="D386" s="7" t="n">
        <v>0.0857</v>
      </c>
      <c r="E386" s="7" t="n">
        <v>0.0296</v>
      </c>
      <c r="F386" s="8" t="inlineStr">
        <is>
          <t>Low</t>
        </is>
      </c>
      <c r="G386" s="8" t="inlineStr">
        <is>
          <t>Low</t>
        </is>
      </c>
      <c r="H386">
        <f>IF(F386=G386,"YES","NO")</f>
        <v/>
      </c>
    </row>
    <row r="387">
      <c r="A387" s="6" t="inlineStr">
        <is>
          <t>Autumn OGrady</t>
        </is>
      </c>
      <c r="B387" s="7" t="n">
        <v>192</v>
      </c>
      <c r="C387" s="7" t="n">
        <v>4</v>
      </c>
      <c r="D387" s="7" t="n">
        <v>0.0208</v>
      </c>
      <c r="E387" s="7" t="n">
        <v>0.0081</v>
      </c>
      <c r="F387" s="8" t="inlineStr">
        <is>
          <t>Low</t>
        </is>
      </c>
      <c r="G387" s="8" t="inlineStr">
        <is>
          <t>Low</t>
        </is>
      </c>
      <c r="H387">
        <f>IF(F387=G387,"YES","NO")</f>
        <v/>
      </c>
    </row>
    <row r="388">
      <c r="A388" s="6" t="inlineStr">
        <is>
          <t>Avery Milz</t>
        </is>
      </c>
      <c r="B388" s="7" t="n">
        <v>18</v>
      </c>
      <c r="C388" s="7" t="n">
        <v>0</v>
      </c>
      <c r="D388" s="7" t="n">
        <v>0</v>
      </c>
      <c r="E388" s="7" t="n">
        <v>0</v>
      </c>
      <c r="F388" s="8" t="inlineStr">
        <is>
          <t>Low</t>
        </is>
      </c>
      <c r="G388" s="8" t="inlineStr">
        <is>
          <t>Low</t>
        </is>
      </c>
      <c r="H388">
        <f>IF(F388=G388,"YES","NO")</f>
        <v/>
      </c>
    </row>
    <row r="389">
      <c r="A389" s="6" t="inlineStr">
        <is>
          <t>BRIAN COFFEY</t>
        </is>
      </c>
      <c r="B389" s="7" t="n">
        <v>126</v>
      </c>
      <c r="C389" s="7" t="n">
        <v>0</v>
      </c>
      <c r="D389" s="7" t="n">
        <v>0</v>
      </c>
      <c r="E389" s="7" t="n">
        <v>0</v>
      </c>
      <c r="F389" s="8" t="inlineStr">
        <is>
          <t>Low</t>
        </is>
      </c>
      <c r="G389" s="8" t="inlineStr">
        <is>
          <t>Low</t>
        </is>
      </c>
      <c r="H389">
        <f>IF(F389=G389,"YES","NO")</f>
        <v/>
      </c>
    </row>
    <row r="390">
      <c r="A390" s="6" t="inlineStr">
        <is>
          <t>Baldo Gonzalez</t>
        </is>
      </c>
      <c r="B390" s="7" t="n">
        <v>3</v>
      </c>
      <c r="C390" s="7" t="n">
        <v>0</v>
      </c>
      <c r="D390" s="7" t="n">
        <v>0</v>
      </c>
      <c r="E390" s="7" t="n">
        <v>0</v>
      </c>
      <c r="F390" s="8" t="inlineStr">
        <is>
          <t>Low</t>
        </is>
      </c>
      <c r="G390" s="8" t="inlineStr">
        <is>
          <t>Low</t>
        </is>
      </c>
      <c r="H390">
        <f>IF(F390=G390,"YES","NO")</f>
        <v/>
      </c>
    </row>
    <row r="391">
      <c r="A391" s="6" t="inlineStr">
        <is>
          <t>Bambie Nuxall</t>
        </is>
      </c>
      <c r="B391" s="7" t="n">
        <v>1</v>
      </c>
      <c r="C391" s="7" t="n">
        <v>0</v>
      </c>
      <c r="D391" s="7" t="n">
        <v>0</v>
      </c>
      <c r="E391" s="7" t="n">
        <v>0</v>
      </c>
      <c r="F391" s="8" t="inlineStr">
        <is>
          <t>Low</t>
        </is>
      </c>
      <c r="G391" s="8" t="inlineStr">
        <is>
          <t>Low</t>
        </is>
      </c>
      <c r="H391">
        <f>IF(F391=G391,"YES","NO")</f>
        <v/>
      </c>
    </row>
    <row r="392">
      <c r="A392" s="6" t="inlineStr">
        <is>
          <t>Barrett Rosser</t>
        </is>
      </c>
      <c r="B392" s="7" t="n">
        <v>30</v>
      </c>
      <c r="C392" s="7" t="n">
        <v>0</v>
      </c>
      <c r="D392" s="7" t="n">
        <v>0</v>
      </c>
      <c r="E392" s="7" t="n">
        <v>0</v>
      </c>
      <c r="F392" s="8" t="inlineStr">
        <is>
          <t>Low</t>
        </is>
      </c>
      <c r="G392" s="8" t="inlineStr">
        <is>
          <t>Low</t>
        </is>
      </c>
      <c r="H392">
        <f>IF(F392=G392,"YES","NO")</f>
        <v/>
      </c>
    </row>
    <row r="393">
      <c r="A393" s="6" t="inlineStr">
        <is>
          <t>Barry Eisler</t>
        </is>
      </c>
      <c r="B393" s="7" t="n">
        <v>2</v>
      </c>
      <c r="C393" s="7" t="n">
        <v>0</v>
      </c>
      <c r="D393" s="7" t="n">
        <v>0</v>
      </c>
      <c r="E393" s="7" t="n">
        <v>0</v>
      </c>
      <c r="F393" s="8" t="inlineStr">
        <is>
          <t>Low</t>
        </is>
      </c>
      <c r="G393" s="8" t="inlineStr">
        <is>
          <t>Low</t>
        </is>
      </c>
      <c r="H393">
        <f>IF(F393=G393,"YES","NO")</f>
        <v/>
      </c>
    </row>
    <row r="394">
      <c r="A394" s="6" t="inlineStr">
        <is>
          <t>Bart Thompson</t>
        </is>
      </c>
      <c r="B394" s="7" t="n">
        <v>6</v>
      </c>
      <c r="C394" s="7" t="n">
        <v>0</v>
      </c>
      <c r="D394" s="7" t="n">
        <v>0</v>
      </c>
      <c r="E394" s="7" t="n">
        <v>0</v>
      </c>
      <c r="F394" s="8" t="inlineStr">
        <is>
          <t>Low</t>
        </is>
      </c>
      <c r="G394" s="8" t="inlineStr">
        <is>
          <t>Low</t>
        </is>
      </c>
      <c r="H394">
        <f>IF(F394=G394,"YES","NO")</f>
        <v/>
      </c>
    </row>
    <row r="395">
      <c r="A395" s="6" t="inlineStr">
        <is>
          <t>Barton Newton</t>
        </is>
      </c>
      <c r="B395" s="7" t="n">
        <v>158</v>
      </c>
      <c r="C395" s="7" t="n">
        <v>8</v>
      </c>
      <c r="D395" s="7" t="n">
        <v>0.0506</v>
      </c>
      <c r="E395" s="7" t="n">
        <v>0.0259</v>
      </c>
      <c r="F395" s="8" t="inlineStr">
        <is>
          <t>Low</t>
        </is>
      </c>
      <c r="G395" s="8" t="inlineStr">
        <is>
          <t>Low</t>
        </is>
      </c>
      <c r="H395">
        <f>IF(F395=G395,"YES","NO")</f>
        <v/>
      </c>
    </row>
    <row r="396">
      <c r="A396" s="6" t="inlineStr">
        <is>
          <t>Beau Campbell</t>
        </is>
      </c>
      <c r="B396" s="7" t="n">
        <v>9</v>
      </c>
      <c r="C396" s="7" t="n">
        <v>1</v>
      </c>
      <c r="D396" s="7" t="n">
        <v>0.1111</v>
      </c>
      <c r="E396" s="7" t="n">
        <v>0.0199</v>
      </c>
      <c r="F396" s="8" t="inlineStr">
        <is>
          <t>Low</t>
        </is>
      </c>
      <c r="G396" s="8" t="inlineStr">
        <is>
          <t>Low</t>
        </is>
      </c>
      <c r="H396">
        <f>IF(F396=G396,"YES","NO")</f>
        <v/>
      </c>
    </row>
    <row r="397">
      <c r="A397" s="6" t="inlineStr">
        <is>
          <t>Beau Thrash</t>
        </is>
      </c>
      <c r="B397" s="7" t="n">
        <v>3</v>
      </c>
      <c r="C397" s="7" t="n">
        <v>0</v>
      </c>
      <c r="D397" s="7" t="n">
        <v>0</v>
      </c>
      <c r="E397" s="7" t="n">
        <v>0</v>
      </c>
      <c r="F397" s="8" t="inlineStr">
        <is>
          <t>Low</t>
        </is>
      </c>
      <c r="G397" s="8" t="inlineStr">
        <is>
          <t>Low</t>
        </is>
      </c>
      <c r="H397">
        <f>IF(F397=G397,"YES","NO")</f>
        <v/>
      </c>
    </row>
    <row r="398">
      <c r="A398" s="6" t="inlineStr">
        <is>
          <t>Beck Jordan</t>
        </is>
      </c>
      <c r="B398" s="7" t="n">
        <v>15</v>
      </c>
      <c r="C398" s="7" t="n">
        <v>0</v>
      </c>
      <c r="D398" s="7" t="n">
        <v>0</v>
      </c>
      <c r="E398" s="7" t="n">
        <v>0</v>
      </c>
      <c r="F398" s="8" t="inlineStr">
        <is>
          <t>Low</t>
        </is>
      </c>
      <c r="G398" s="8" t="inlineStr">
        <is>
          <t>Low</t>
        </is>
      </c>
      <c r="H398">
        <f>IF(F398=G398,"YES","NO")</f>
        <v/>
      </c>
    </row>
    <row r="399">
      <c r="A399" s="6" t="inlineStr">
        <is>
          <t>Becki Conner</t>
        </is>
      </c>
      <c r="B399" s="7" t="n">
        <v>29</v>
      </c>
      <c r="C399" s="7" t="n">
        <v>4</v>
      </c>
      <c r="D399" s="7" t="n">
        <v>0.1379</v>
      </c>
      <c r="E399" s="7" t="n">
        <v>0.055</v>
      </c>
      <c r="F399" s="8" t="inlineStr">
        <is>
          <t>Low</t>
        </is>
      </c>
      <c r="G399" s="8" t="inlineStr">
        <is>
          <t>Medium</t>
        </is>
      </c>
      <c r="H399">
        <f>IF(F399=G399,"YES","NO")</f>
        <v/>
      </c>
    </row>
    <row r="400">
      <c r="A400" s="6" t="inlineStr">
        <is>
          <t>Ben Garrard</t>
        </is>
      </c>
      <c r="B400" s="7" t="n">
        <v>87</v>
      </c>
      <c r="C400" s="7" t="n">
        <v>0</v>
      </c>
      <c r="D400" s="7" t="n">
        <v>0</v>
      </c>
      <c r="E400" s="7" t="n">
        <v>0</v>
      </c>
      <c r="F400" s="8" t="inlineStr">
        <is>
          <t>Low</t>
        </is>
      </c>
      <c r="G400" s="8" t="inlineStr">
        <is>
          <t>Low</t>
        </is>
      </c>
      <c r="H400">
        <f>IF(F400=G400,"YES","NO")</f>
        <v/>
      </c>
    </row>
    <row r="401">
      <c r="A401" s="6" t="inlineStr">
        <is>
          <t>Ben Gould</t>
        </is>
      </c>
      <c r="B401" s="7" t="n">
        <v>147</v>
      </c>
      <c r="C401" s="7" t="n">
        <v>0</v>
      </c>
      <c r="D401" s="7" t="n">
        <v>0</v>
      </c>
      <c r="E401" s="7" t="n">
        <v>0</v>
      </c>
      <c r="F401" s="8" t="inlineStr">
        <is>
          <t>Low</t>
        </is>
      </c>
      <c r="G401" s="8" t="inlineStr">
        <is>
          <t>Low</t>
        </is>
      </c>
      <c r="H401">
        <f>IF(F401=G401,"YES","NO")</f>
        <v/>
      </c>
    </row>
    <row r="402">
      <c r="A402" s="6" t="inlineStr">
        <is>
          <t>Ben Hallett</t>
        </is>
      </c>
      <c r="B402" s="7" t="n">
        <v>2</v>
      </c>
      <c r="C402" s="7" t="n">
        <v>0</v>
      </c>
      <c r="D402" s="7" t="n">
        <v>0</v>
      </c>
      <c r="E402" s="7" t="n">
        <v>0</v>
      </c>
      <c r="F402" s="8" t="inlineStr">
        <is>
          <t>Low</t>
        </is>
      </c>
      <c r="G402" s="8" t="inlineStr">
        <is>
          <t>Low</t>
        </is>
      </c>
      <c r="H402">
        <f>IF(F402=G402,"YES","NO")</f>
        <v/>
      </c>
    </row>
    <row r="403">
      <c r="A403" s="6" t="inlineStr">
        <is>
          <t>Ben Kail</t>
        </is>
      </c>
      <c r="B403" s="7" t="n">
        <v>17</v>
      </c>
      <c r="C403" s="7" t="n">
        <v>0</v>
      </c>
      <c r="D403" s="7" t="n">
        <v>0</v>
      </c>
      <c r="E403" s="7" t="n">
        <v>0</v>
      </c>
      <c r="F403" s="8" t="inlineStr">
        <is>
          <t>Low</t>
        </is>
      </c>
      <c r="G403" s="8" t="inlineStr">
        <is>
          <t>Low</t>
        </is>
      </c>
      <c r="H403">
        <f>IF(F403=G403,"YES","NO")</f>
        <v/>
      </c>
    </row>
    <row r="404">
      <c r="A404" s="6" t="inlineStr">
        <is>
          <t>Ben Michalowski</t>
        </is>
      </c>
      <c r="B404" s="7" t="n">
        <v>12</v>
      </c>
      <c r="C404" s="7" t="n">
        <v>1</v>
      </c>
      <c r="D404" s="7" t="n">
        <v>0.0833</v>
      </c>
      <c r="E404" s="7" t="n">
        <v>0.0149</v>
      </c>
      <c r="F404" s="8" t="inlineStr">
        <is>
          <t>Low</t>
        </is>
      </c>
      <c r="G404" s="8" t="inlineStr">
        <is>
          <t>Low</t>
        </is>
      </c>
      <c r="H404">
        <f>IF(F404=G404,"YES","NO")</f>
        <v/>
      </c>
    </row>
    <row r="405">
      <c r="A405" s="6" t="inlineStr">
        <is>
          <t>Ben Perez</t>
        </is>
      </c>
      <c r="B405" s="7" t="n">
        <v>5</v>
      </c>
      <c r="C405" s="7" t="n">
        <v>0</v>
      </c>
      <c r="D405" s="7" t="n">
        <v>0</v>
      </c>
      <c r="E405" s="7" t="n">
        <v>0</v>
      </c>
      <c r="F405" s="8" t="inlineStr">
        <is>
          <t>Low</t>
        </is>
      </c>
      <c r="G405" s="8" t="inlineStr">
        <is>
          <t>Low</t>
        </is>
      </c>
      <c r="H405">
        <f>IF(F405=G405,"YES","NO")</f>
        <v/>
      </c>
    </row>
    <row r="406">
      <c r="A406" s="6" t="inlineStr">
        <is>
          <t>Ben Pinson</t>
        </is>
      </c>
      <c r="B406" s="7" t="n">
        <v>41</v>
      </c>
      <c r="C406" s="7" t="n">
        <v>0</v>
      </c>
      <c r="D406" s="7" t="n">
        <v>0</v>
      </c>
      <c r="E406" s="7" t="n">
        <v>0</v>
      </c>
      <c r="F406" s="8" t="inlineStr">
        <is>
          <t>Low</t>
        </is>
      </c>
      <c r="G406" s="8" t="inlineStr">
        <is>
          <t>Low</t>
        </is>
      </c>
      <c r="H406">
        <f>IF(F406=G406,"YES","NO")</f>
        <v/>
      </c>
    </row>
    <row r="407">
      <c r="A407" s="6" t="inlineStr">
        <is>
          <t>Ben Robinette</t>
        </is>
      </c>
      <c r="B407" s="7" t="n">
        <v>44</v>
      </c>
      <c r="C407" s="7" t="n">
        <v>2</v>
      </c>
      <c r="D407" s="7" t="n">
        <v>0.0455</v>
      </c>
      <c r="E407" s="7" t="n">
        <v>0.0126</v>
      </c>
      <c r="F407" s="8" t="inlineStr">
        <is>
          <t>Low</t>
        </is>
      </c>
      <c r="G407" s="8" t="inlineStr">
        <is>
          <t>Low</t>
        </is>
      </c>
      <c r="H407">
        <f>IF(F407=G407,"YES","NO")</f>
        <v/>
      </c>
    </row>
    <row r="408">
      <c r="A408" s="6" t="inlineStr">
        <is>
          <t>Ben Shockley</t>
        </is>
      </c>
      <c r="B408" s="7" t="n">
        <v>7</v>
      </c>
      <c r="C408" s="7" t="n">
        <v>0</v>
      </c>
      <c r="D408" s="7" t="n">
        <v>0</v>
      </c>
      <c r="E408" s="7" t="n">
        <v>0</v>
      </c>
      <c r="F408" s="8" t="inlineStr">
        <is>
          <t>Low</t>
        </is>
      </c>
      <c r="G408" s="8" t="inlineStr">
        <is>
          <t>Low</t>
        </is>
      </c>
      <c r="H408">
        <f>IF(F408=G408,"YES","NO")</f>
        <v/>
      </c>
    </row>
    <row r="409">
      <c r="A409" s="6" t="inlineStr">
        <is>
          <t>Benjamin  Henderson</t>
        </is>
      </c>
      <c r="B409" s="7" t="n">
        <v>26</v>
      </c>
      <c r="C409" s="7" t="n">
        <v>2</v>
      </c>
      <c r="D409" s="7" t="n">
        <v>0.0769</v>
      </c>
      <c r="E409" s="7" t="n">
        <v>0.0214</v>
      </c>
      <c r="F409" s="8" t="inlineStr">
        <is>
          <t>Low</t>
        </is>
      </c>
      <c r="G409" s="8" t="inlineStr">
        <is>
          <t>Low</t>
        </is>
      </c>
      <c r="H409">
        <f>IF(F409=G409,"YES","NO")</f>
        <v/>
      </c>
    </row>
    <row r="410">
      <c r="A410" s="6" t="inlineStr">
        <is>
          <t>Bill Ferrara</t>
        </is>
      </c>
      <c r="B410" s="7" t="n">
        <v>35</v>
      </c>
      <c r="C410" s="7" t="n">
        <v>1</v>
      </c>
      <c r="D410" s="7" t="n">
        <v>0.0286</v>
      </c>
      <c r="E410" s="7" t="n">
        <v>0.0051</v>
      </c>
      <c r="F410" s="8" t="inlineStr">
        <is>
          <t>Low</t>
        </is>
      </c>
      <c r="G410" s="8" t="inlineStr">
        <is>
          <t>Low</t>
        </is>
      </c>
      <c r="H410">
        <f>IF(F410=G410,"YES","NO")</f>
        <v/>
      </c>
    </row>
    <row r="411">
      <c r="A411" s="6" t="inlineStr">
        <is>
          <t>Bill Fitzgerald</t>
        </is>
      </c>
      <c r="B411" s="7" t="n">
        <v>25</v>
      </c>
      <c r="C411" s="7" t="n">
        <v>1</v>
      </c>
      <c r="D411" s="7" t="n">
        <v>0.04</v>
      </c>
      <c r="E411" s="7" t="n">
        <v>0.0071</v>
      </c>
      <c r="F411" s="8" t="inlineStr">
        <is>
          <t>Low</t>
        </is>
      </c>
      <c r="G411" s="8" t="inlineStr">
        <is>
          <t>Low</t>
        </is>
      </c>
      <c r="H411">
        <f>IF(F411=G411,"YES","NO")</f>
        <v/>
      </c>
    </row>
    <row r="412">
      <c r="A412" s="6" t="inlineStr">
        <is>
          <t>Bill Schulok</t>
        </is>
      </c>
      <c r="B412" s="7" t="n">
        <v>39</v>
      </c>
      <c r="C412" s="7" t="n">
        <v>4</v>
      </c>
      <c r="D412" s="7" t="n">
        <v>0.1026</v>
      </c>
      <c r="E412" s="7" t="n">
        <v>0.0406</v>
      </c>
      <c r="F412" s="8" t="inlineStr">
        <is>
          <t>Low</t>
        </is>
      </c>
      <c r="G412" s="8" t="inlineStr">
        <is>
          <t>Low</t>
        </is>
      </c>
      <c r="H412">
        <f>IF(F412=G412,"YES","NO")</f>
        <v/>
      </c>
    </row>
    <row r="413">
      <c r="A413" s="6" t="inlineStr">
        <is>
          <t>Bill Sieck</t>
        </is>
      </c>
      <c r="B413" s="7" t="n">
        <v>1</v>
      </c>
      <c r="C413" s="7" t="n">
        <v>0</v>
      </c>
      <c r="D413" s="7" t="n">
        <v>0</v>
      </c>
      <c r="E413" s="7" t="n">
        <v>0</v>
      </c>
      <c r="F413" s="8" t="inlineStr">
        <is>
          <t>Low</t>
        </is>
      </c>
      <c r="G413" s="8" t="inlineStr">
        <is>
          <t>Low</t>
        </is>
      </c>
      <c r="H413">
        <f>IF(F413=G413,"YES","NO")</f>
        <v/>
      </c>
    </row>
    <row r="414">
      <c r="A414" s="6" t="inlineStr">
        <is>
          <t>Bill Truchan</t>
        </is>
      </c>
      <c r="B414" s="7" t="n">
        <v>1</v>
      </c>
      <c r="C414" s="7" t="n">
        <v>0</v>
      </c>
      <c r="D414" s="7" t="n">
        <v>0</v>
      </c>
      <c r="E414" s="7" t="n">
        <v>0</v>
      </c>
      <c r="F414" s="8" t="inlineStr">
        <is>
          <t>Low</t>
        </is>
      </c>
      <c r="G414" s="8" t="inlineStr">
        <is>
          <t>High</t>
        </is>
      </c>
      <c r="H414">
        <f>IF(F414=G414,"YES","NO")</f>
        <v/>
      </c>
    </row>
    <row r="415">
      <c r="A415" s="6" t="inlineStr">
        <is>
          <t>Billie Bartlett</t>
        </is>
      </c>
      <c r="B415" s="7" t="n">
        <v>1</v>
      </c>
      <c r="C415" s="7" t="n">
        <v>0</v>
      </c>
      <c r="D415" s="7" t="n">
        <v>0</v>
      </c>
      <c r="E415" s="7" t="n">
        <v>0</v>
      </c>
      <c r="F415" s="8" t="inlineStr">
        <is>
          <t>Low</t>
        </is>
      </c>
      <c r="G415" s="8" t="inlineStr">
        <is>
          <t>Low</t>
        </is>
      </c>
      <c r="H415">
        <f>IF(F415=G415,"YES","NO")</f>
        <v/>
      </c>
    </row>
    <row r="416">
      <c r="A416" s="6" t="inlineStr">
        <is>
          <t>Billy Ash</t>
        </is>
      </c>
      <c r="B416" s="7" t="n">
        <v>4</v>
      </c>
      <c r="C416" s="7" t="n">
        <v>0</v>
      </c>
      <c r="D416" s="7" t="n">
        <v>0</v>
      </c>
      <c r="E416" s="7" t="n">
        <v>0</v>
      </c>
      <c r="F416" s="8" t="inlineStr">
        <is>
          <t>Low</t>
        </is>
      </c>
      <c r="G416" s="8" t="inlineStr">
        <is>
          <t>Low</t>
        </is>
      </c>
      <c r="H416">
        <f>IF(F416=G416,"YES","NO")</f>
        <v/>
      </c>
    </row>
    <row r="417">
      <c r="A417" s="6" t="inlineStr">
        <is>
          <t>Billy Derek Mills</t>
        </is>
      </c>
      <c r="B417" s="7" t="n">
        <v>4</v>
      </c>
      <c r="C417" s="7" t="n">
        <v>0</v>
      </c>
      <c r="D417" s="7" t="n">
        <v>0</v>
      </c>
      <c r="E417" s="7" t="n">
        <v>0</v>
      </c>
      <c r="F417" s="8" t="inlineStr">
        <is>
          <t>Low</t>
        </is>
      </c>
      <c r="G417" s="8" t="inlineStr">
        <is>
          <t>Low</t>
        </is>
      </c>
      <c r="H417">
        <f>IF(F417=G417,"YES","NO")</f>
        <v/>
      </c>
    </row>
    <row r="418">
      <c r="A418" s="6" t="inlineStr">
        <is>
          <t>Blair Flanagan</t>
        </is>
      </c>
      <c r="B418" s="7" t="n">
        <v>1</v>
      </c>
      <c r="C418" s="7" t="n">
        <v>0</v>
      </c>
      <c r="D418" s="7" t="n">
        <v>0</v>
      </c>
      <c r="E418" s="7" t="n">
        <v>0</v>
      </c>
      <c r="F418" s="8" t="inlineStr">
        <is>
          <t>Low</t>
        </is>
      </c>
      <c r="G418" s="8" t="inlineStr">
        <is>
          <t>Low</t>
        </is>
      </c>
      <c r="H418">
        <f>IF(F418=G418,"YES","NO")</f>
        <v/>
      </c>
    </row>
    <row r="419">
      <c r="A419" s="6" t="inlineStr">
        <is>
          <t>Blair Gerber</t>
        </is>
      </c>
      <c r="B419" s="7" t="n">
        <v>697</v>
      </c>
      <c r="C419" s="7" t="n">
        <v>79</v>
      </c>
      <c r="D419" s="7" t="n">
        <v>0.1133</v>
      </c>
      <c r="E419" s="7" t="n">
        <v>0.0919</v>
      </c>
      <c r="F419" s="8" t="inlineStr">
        <is>
          <t>Low</t>
        </is>
      </c>
      <c r="G419" s="8" t="inlineStr">
        <is>
          <t>High</t>
        </is>
      </c>
      <c r="H419">
        <f>IF(F419=G419,"YES","NO")</f>
        <v/>
      </c>
    </row>
    <row r="420">
      <c r="A420" s="6" t="inlineStr">
        <is>
          <t>Blake Booher</t>
        </is>
      </c>
      <c r="B420" s="7" t="n">
        <v>1</v>
      </c>
      <c r="C420" s="7" t="n">
        <v>0</v>
      </c>
      <c r="D420" s="7" t="n">
        <v>0</v>
      </c>
      <c r="E420" s="7" t="n">
        <v>0</v>
      </c>
      <c r="F420" s="8" t="inlineStr">
        <is>
          <t>Low</t>
        </is>
      </c>
      <c r="G420" s="8" t="inlineStr">
        <is>
          <t>High</t>
        </is>
      </c>
      <c r="H420">
        <f>IF(F420=G420,"YES","NO")</f>
        <v/>
      </c>
    </row>
    <row r="421">
      <c r="A421" s="6" t="inlineStr">
        <is>
          <t>Blake Campbell</t>
        </is>
      </c>
      <c r="B421" s="7" t="n">
        <v>48</v>
      </c>
      <c r="C421" s="7" t="n">
        <v>0</v>
      </c>
      <c r="D421" s="7" t="n">
        <v>0</v>
      </c>
      <c r="E421" s="7" t="n">
        <v>0</v>
      </c>
      <c r="F421" s="8" t="inlineStr">
        <is>
          <t>Low</t>
        </is>
      </c>
      <c r="G421" s="8" t="inlineStr">
        <is>
          <t>Low</t>
        </is>
      </c>
      <c r="H421">
        <f>IF(F421=G421,"YES","NO")</f>
        <v/>
      </c>
    </row>
    <row r="422">
      <c r="A422" s="6" t="inlineStr">
        <is>
          <t>Blake Carr</t>
        </is>
      </c>
      <c r="B422" s="7" t="n">
        <v>2</v>
      </c>
      <c r="C422" s="7" t="n">
        <v>0</v>
      </c>
      <c r="D422" s="7" t="n">
        <v>0</v>
      </c>
      <c r="E422" s="7" t="n">
        <v>0</v>
      </c>
      <c r="F422" s="8" t="inlineStr">
        <is>
          <t>Low</t>
        </is>
      </c>
      <c r="G422" s="8" t="inlineStr">
        <is>
          <t>Low</t>
        </is>
      </c>
      <c r="H422">
        <f>IF(F422=G422,"YES","NO")</f>
        <v/>
      </c>
    </row>
    <row r="423">
      <c r="A423" s="6" t="inlineStr">
        <is>
          <t>Blake Child</t>
        </is>
      </c>
      <c r="B423" s="7" t="n">
        <v>141</v>
      </c>
      <c r="C423" s="7" t="n">
        <v>2</v>
      </c>
      <c r="D423" s="7" t="n">
        <v>0.0142</v>
      </c>
      <c r="E423" s="7" t="n">
        <v>0.0039</v>
      </c>
      <c r="F423" s="8" t="inlineStr">
        <is>
          <t>Low</t>
        </is>
      </c>
      <c r="G423" s="8" t="inlineStr">
        <is>
          <t>Low</t>
        </is>
      </c>
      <c r="H423">
        <f>IF(F423=G423,"YES","NO")</f>
        <v/>
      </c>
    </row>
    <row r="424">
      <c r="A424" s="6" t="inlineStr">
        <is>
          <t>Blake Hillier</t>
        </is>
      </c>
      <c r="B424" s="7" t="n">
        <v>1</v>
      </c>
      <c r="C424" s="7" t="n">
        <v>0</v>
      </c>
      <c r="D424" s="7" t="n">
        <v>0</v>
      </c>
      <c r="E424" s="7" t="n">
        <v>0</v>
      </c>
      <c r="F424" s="8" t="inlineStr">
        <is>
          <t>Low</t>
        </is>
      </c>
      <c r="G424" s="8" t="inlineStr">
        <is>
          <t>Low</t>
        </is>
      </c>
      <c r="H424">
        <f>IF(F424=G424,"YES","NO")</f>
        <v/>
      </c>
    </row>
    <row r="425">
      <c r="A425" s="6" t="inlineStr">
        <is>
          <t>Blake Knirk</t>
        </is>
      </c>
      <c r="B425" s="7" t="n">
        <v>9</v>
      </c>
      <c r="C425" s="7" t="n">
        <v>1</v>
      </c>
      <c r="D425" s="7" t="n">
        <v>0.1111</v>
      </c>
      <c r="E425" s="7" t="n">
        <v>0.0199</v>
      </c>
      <c r="F425" s="8" t="inlineStr">
        <is>
          <t>Low</t>
        </is>
      </c>
      <c r="G425" s="8" t="inlineStr">
        <is>
          <t>Low</t>
        </is>
      </c>
      <c r="H425">
        <f>IF(F425=G425,"YES","NO")</f>
        <v/>
      </c>
    </row>
    <row r="426">
      <c r="A426" s="6" t="inlineStr">
        <is>
          <t>Blake Paulk</t>
        </is>
      </c>
      <c r="B426" s="7" t="n">
        <v>122</v>
      </c>
      <c r="C426" s="7" t="n">
        <v>0</v>
      </c>
      <c r="D426" s="7" t="n">
        <v>0</v>
      </c>
      <c r="E426" s="7" t="n">
        <v>0</v>
      </c>
      <c r="F426" s="8" t="inlineStr">
        <is>
          <t>Low</t>
        </is>
      </c>
      <c r="G426" s="8" t="inlineStr">
        <is>
          <t>Low</t>
        </is>
      </c>
      <c r="H426">
        <f>IF(F426=G426,"YES","NO")</f>
        <v/>
      </c>
    </row>
    <row r="427">
      <c r="A427" s="6" t="inlineStr">
        <is>
          <t>Blake Smith</t>
        </is>
      </c>
      <c r="B427" s="7" t="n">
        <v>886</v>
      </c>
      <c r="C427" s="7" t="n">
        <v>39</v>
      </c>
      <c r="D427" s="7" t="n">
        <v>0.044</v>
      </c>
      <c r="E427" s="7" t="n">
        <v>0.0324</v>
      </c>
      <c r="F427" s="8" t="inlineStr">
        <is>
          <t>Low</t>
        </is>
      </c>
      <c r="G427" s="8" t="inlineStr">
        <is>
          <t>Low</t>
        </is>
      </c>
      <c r="H427">
        <f>IF(F427=G427,"YES","NO")</f>
        <v/>
      </c>
    </row>
    <row r="428">
      <c r="A428" s="6" t="inlineStr">
        <is>
          <t>Bob Austin</t>
        </is>
      </c>
      <c r="B428" s="7" t="n">
        <v>28</v>
      </c>
      <c r="C428" s="7" t="n">
        <v>1</v>
      </c>
      <c r="D428" s="7" t="n">
        <v>0.0357</v>
      </c>
      <c r="E428" s="7" t="n">
        <v>0.0063</v>
      </c>
      <c r="F428" s="8" t="inlineStr">
        <is>
          <t>Low</t>
        </is>
      </c>
      <c r="G428" s="8" t="inlineStr">
        <is>
          <t>Low</t>
        </is>
      </c>
      <c r="H428">
        <f>IF(F428=G428,"YES","NO")</f>
        <v/>
      </c>
    </row>
    <row r="429">
      <c r="A429" s="6" t="inlineStr">
        <is>
          <t>Bob Goldman</t>
        </is>
      </c>
      <c r="B429" s="7" t="n">
        <v>50</v>
      </c>
      <c r="C429" s="7" t="n">
        <v>0</v>
      </c>
      <c r="D429" s="7" t="n">
        <v>0</v>
      </c>
      <c r="E429" s="7" t="n">
        <v>0</v>
      </c>
      <c r="F429" s="8" t="inlineStr">
        <is>
          <t>Low</t>
        </is>
      </c>
      <c r="G429" s="8" t="inlineStr">
        <is>
          <t>Low</t>
        </is>
      </c>
      <c r="H429">
        <f>IF(F429=G429,"YES","NO")</f>
        <v/>
      </c>
    </row>
    <row r="430">
      <c r="A430" s="6" t="inlineStr">
        <is>
          <t>Bob Nicolin</t>
        </is>
      </c>
      <c r="B430" s="7" t="n">
        <v>3</v>
      </c>
      <c r="C430" s="7" t="n">
        <v>0</v>
      </c>
      <c r="D430" s="7" t="n">
        <v>0</v>
      </c>
      <c r="E430" s="7" t="n">
        <v>0</v>
      </c>
      <c r="F430" s="8" t="inlineStr">
        <is>
          <t>Low</t>
        </is>
      </c>
      <c r="G430" s="8" t="inlineStr">
        <is>
          <t>Low</t>
        </is>
      </c>
      <c r="H430">
        <f>IF(F430=G430,"YES","NO")</f>
        <v/>
      </c>
    </row>
    <row r="431">
      <c r="A431" s="6" t="inlineStr">
        <is>
          <t>Bob Tatalovich</t>
        </is>
      </c>
      <c r="B431" s="7" t="n">
        <v>1</v>
      </c>
      <c r="C431" s="7" t="n">
        <v>0</v>
      </c>
      <c r="D431" s="7" t="n">
        <v>0</v>
      </c>
      <c r="E431" s="7" t="n">
        <v>0</v>
      </c>
      <c r="F431" s="8" t="inlineStr">
        <is>
          <t>Low</t>
        </is>
      </c>
      <c r="G431" s="8" t="inlineStr">
        <is>
          <t>Low</t>
        </is>
      </c>
      <c r="H431">
        <f>IF(F431=G431,"YES","NO")</f>
        <v/>
      </c>
    </row>
    <row r="432">
      <c r="A432" s="6" t="inlineStr">
        <is>
          <t>Bob Wood</t>
        </is>
      </c>
      <c r="B432" s="7" t="n">
        <v>161</v>
      </c>
      <c r="C432" s="7" t="n">
        <v>10</v>
      </c>
      <c r="D432" s="7" t="n">
        <v>0.0621</v>
      </c>
      <c r="E432" s="7" t="n">
        <v>0.0341</v>
      </c>
      <c r="F432" s="8" t="inlineStr">
        <is>
          <t>Low</t>
        </is>
      </c>
      <c r="G432" s="8" t="inlineStr">
        <is>
          <t>Low</t>
        </is>
      </c>
      <c r="H432">
        <f>IF(F432=G432,"YES","NO")</f>
        <v/>
      </c>
    </row>
    <row r="433">
      <c r="A433" s="6" t="inlineStr">
        <is>
          <t>Boyd Buss</t>
        </is>
      </c>
      <c r="B433" s="7" t="n">
        <v>25</v>
      </c>
      <c r="C433" s="7" t="n">
        <v>0</v>
      </c>
      <c r="D433" s="7" t="n">
        <v>0</v>
      </c>
      <c r="E433" s="7" t="n">
        <v>0</v>
      </c>
      <c r="F433" s="8" t="inlineStr">
        <is>
          <t>Low</t>
        </is>
      </c>
      <c r="G433" s="8" t="inlineStr">
        <is>
          <t>Low</t>
        </is>
      </c>
      <c r="H433">
        <f>IF(F433=G433,"YES","NO")</f>
        <v/>
      </c>
    </row>
    <row r="434">
      <c r="A434" s="6" t="inlineStr">
        <is>
          <t>Brad Atol</t>
        </is>
      </c>
      <c r="B434" s="7" t="n">
        <v>6</v>
      </c>
      <c r="C434" s="7" t="n">
        <v>0</v>
      </c>
      <c r="D434" s="7" t="n">
        <v>0</v>
      </c>
      <c r="E434" s="7" t="n">
        <v>0</v>
      </c>
      <c r="F434" s="8" t="inlineStr">
        <is>
          <t>Low</t>
        </is>
      </c>
      <c r="G434" s="8" t="inlineStr">
        <is>
          <t>Low</t>
        </is>
      </c>
      <c r="H434">
        <f>IF(F434=G434,"YES","NO")</f>
        <v/>
      </c>
    </row>
    <row r="435">
      <c r="A435" s="6" t="inlineStr">
        <is>
          <t>Brad Bixler</t>
        </is>
      </c>
      <c r="B435" s="7" t="n">
        <v>12</v>
      </c>
      <c r="C435" s="7" t="n">
        <v>2</v>
      </c>
      <c r="D435" s="7" t="n">
        <v>0.1667</v>
      </c>
      <c r="E435" s="7" t="n">
        <v>0.047</v>
      </c>
      <c r="F435" s="8" t="inlineStr">
        <is>
          <t>Low</t>
        </is>
      </c>
      <c r="G435" s="8" t="inlineStr">
        <is>
          <t>Low</t>
        </is>
      </c>
      <c r="H435">
        <f>IF(F435=G435,"YES","NO")</f>
        <v/>
      </c>
    </row>
    <row r="436">
      <c r="A436" s="6" t="inlineStr">
        <is>
          <t>Brad Borghetti</t>
        </is>
      </c>
      <c r="B436" s="7" t="n">
        <v>45</v>
      </c>
      <c r="C436" s="7" t="n">
        <v>3</v>
      </c>
      <c r="D436" s="7" t="n">
        <v>0.0667</v>
      </c>
      <c r="E436" s="7" t="n">
        <v>0.0229</v>
      </c>
      <c r="F436" s="8" t="inlineStr">
        <is>
          <t>Low</t>
        </is>
      </c>
      <c r="G436" s="8" t="inlineStr">
        <is>
          <t>Low</t>
        </is>
      </c>
      <c r="H436">
        <f>IF(F436=G436,"YES","NO")</f>
        <v/>
      </c>
    </row>
    <row r="437">
      <c r="A437" s="6" t="inlineStr">
        <is>
          <t>Brad Evans</t>
        </is>
      </c>
      <c r="B437" s="7" t="n">
        <v>55</v>
      </c>
      <c r="C437" s="7" t="n">
        <v>0</v>
      </c>
      <c r="D437" s="7" t="n">
        <v>0</v>
      </c>
      <c r="E437" s="7" t="n">
        <v>0</v>
      </c>
      <c r="F437" s="8" t="inlineStr">
        <is>
          <t>Low</t>
        </is>
      </c>
      <c r="G437" s="8" t="inlineStr">
        <is>
          <t>Low</t>
        </is>
      </c>
      <c r="H437">
        <f>IF(F437=G437,"YES","NO")</f>
        <v/>
      </c>
    </row>
    <row r="438">
      <c r="A438" s="6" t="inlineStr">
        <is>
          <t>Brad Hutchinson</t>
        </is>
      </c>
      <c r="B438" s="7" t="n">
        <v>14</v>
      </c>
      <c r="C438" s="7" t="n">
        <v>1</v>
      </c>
      <c r="D438" s="7" t="n">
        <v>0.07140000000000001</v>
      </c>
      <c r="E438" s="7" t="n">
        <v>0.0127</v>
      </c>
      <c r="F438" s="8" t="inlineStr">
        <is>
          <t>Low</t>
        </is>
      </c>
      <c r="G438" s="8" t="inlineStr">
        <is>
          <t>Low</t>
        </is>
      </c>
      <c r="H438">
        <f>IF(F438=G438,"YES","NO")</f>
        <v/>
      </c>
    </row>
    <row r="439">
      <c r="A439" s="6" t="inlineStr">
        <is>
          <t>Brad Ivey</t>
        </is>
      </c>
      <c r="B439" s="7" t="n">
        <v>59</v>
      </c>
      <c r="C439" s="7" t="n">
        <v>0</v>
      </c>
      <c r="D439" s="7" t="n">
        <v>0</v>
      </c>
      <c r="E439" s="7" t="n">
        <v>0</v>
      </c>
      <c r="F439" s="8" t="inlineStr">
        <is>
          <t>Low</t>
        </is>
      </c>
      <c r="G439" s="8" t="inlineStr">
        <is>
          <t>Low</t>
        </is>
      </c>
      <c r="H439">
        <f>IF(F439=G439,"YES","NO")</f>
        <v/>
      </c>
    </row>
    <row r="440">
      <c r="A440" s="6" t="inlineStr">
        <is>
          <t>Brad Jermeland</t>
        </is>
      </c>
      <c r="B440" s="7" t="n">
        <v>2</v>
      </c>
      <c r="C440" s="7" t="n">
        <v>0</v>
      </c>
      <c r="D440" s="7" t="n">
        <v>0</v>
      </c>
      <c r="E440" s="7" t="n">
        <v>0</v>
      </c>
      <c r="F440" s="8" t="inlineStr">
        <is>
          <t>Low</t>
        </is>
      </c>
      <c r="G440" s="8" t="inlineStr">
        <is>
          <t>Low</t>
        </is>
      </c>
      <c r="H440">
        <f>IF(F440=G440,"YES","NO")</f>
        <v/>
      </c>
    </row>
    <row r="441">
      <c r="A441" s="6" t="inlineStr">
        <is>
          <t>Brad Pence</t>
        </is>
      </c>
      <c r="B441" s="7" t="n">
        <v>1</v>
      </c>
      <c r="C441" s="7" t="n">
        <v>0</v>
      </c>
      <c r="D441" s="7" t="n">
        <v>0</v>
      </c>
      <c r="E441" s="7" t="n">
        <v>0</v>
      </c>
      <c r="F441" s="8" t="inlineStr">
        <is>
          <t>Low</t>
        </is>
      </c>
      <c r="G441" s="8" t="inlineStr">
        <is>
          <t>Low</t>
        </is>
      </c>
      <c r="H441">
        <f>IF(F441=G441,"YES","NO")</f>
        <v/>
      </c>
    </row>
    <row r="442">
      <c r="A442" s="6" t="inlineStr">
        <is>
          <t>Brad Record</t>
        </is>
      </c>
      <c r="B442" s="7" t="n">
        <v>88</v>
      </c>
      <c r="C442" s="7" t="n">
        <v>9</v>
      </c>
      <c r="D442" s="7" t="n">
        <v>0.1023</v>
      </c>
      <c r="E442" s="7" t="n">
        <v>0.0547</v>
      </c>
      <c r="F442" s="8" t="inlineStr">
        <is>
          <t>Low</t>
        </is>
      </c>
      <c r="G442" s="8" t="inlineStr">
        <is>
          <t>High</t>
        </is>
      </c>
      <c r="H442">
        <f>IF(F442=G442,"YES","NO")</f>
        <v/>
      </c>
    </row>
    <row r="443">
      <c r="A443" s="6" t="inlineStr">
        <is>
          <t>Brad Swick</t>
        </is>
      </c>
      <c r="B443" s="7" t="n">
        <v>131</v>
      </c>
      <c r="C443" s="7" t="n">
        <v>4</v>
      </c>
      <c r="D443" s="7" t="n">
        <v>0.0305</v>
      </c>
      <c r="E443" s="7" t="n">
        <v>0.0119</v>
      </c>
      <c r="F443" s="8" t="inlineStr">
        <is>
          <t>Low</t>
        </is>
      </c>
      <c r="G443" s="8" t="inlineStr">
        <is>
          <t>Low</t>
        </is>
      </c>
      <c r="H443">
        <f>IF(F443=G443,"YES","NO")</f>
        <v/>
      </c>
    </row>
    <row r="444">
      <c r="A444" s="6" t="inlineStr">
        <is>
          <t>Bradley Harris</t>
        </is>
      </c>
      <c r="B444" s="7" t="n">
        <v>2</v>
      </c>
      <c r="C444" s="7" t="n">
        <v>0</v>
      </c>
      <c r="D444" s="7" t="n">
        <v>0</v>
      </c>
      <c r="E444" s="7" t="n">
        <v>0</v>
      </c>
      <c r="F444" s="8" t="inlineStr">
        <is>
          <t>Low</t>
        </is>
      </c>
      <c r="G444" s="8" t="inlineStr">
        <is>
          <t>Low</t>
        </is>
      </c>
      <c r="H444">
        <f>IF(F444=G444,"YES","NO")</f>
        <v/>
      </c>
    </row>
    <row r="445">
      <c r="A445" s="6" t="inlineStr">
        <is>
          <t>Bradley Sullivan</t>
        </is>
      </c>
      <c r="B445" s="7" t="n">
        <v>299</v>
      </c>
      <c r="C445" s="7" t="n">
        <v>14</v>
      </c>
      <c r="D445" s="7" t="n">
        <v>0.0468</v>
      </c>
      <c r="E445" s="7" t="n">
        <v>0.0281</v>
      </c>
      <c r="F445" s="8" t="inlineStr">
        <is>
          <t>Low</t>
        </is>
      </c>
      <c r="G445" s="8" t="inlineStr">
        <is>
          <t>Low</t>
        </is>
      </c>
      <c r="H445">
        <f>IF(F445=G445,"YES","NO")</f>
        <v/>
      </c>
    </row>
    <row r="446">
      <c r="A446" s="6" t="inlineStr">
        <is>
          <t>Brady Fleming</t>
        </is>
      </c>
      <c r="B446" s="7" t="n">
        <v>47</v>
      </c>
      <c r="C446" s="7" t="n">
        <v>0</v>
      </c>
      <c r="D446" s="7" t="n">
        <v>0</v>
      </c>
      <c r="E446" s="7" t="n">
        <v>0</v>
      </c>
      <c r="F446" s="8" t="inlineStr">
        <is>
          <t>Low</t>
        </is>
      </c>
      <c r="G446" s="8" t="inlineStr">
        <is>
          <t>Low</t>
        </is>
      </c>
      <c r="H446">
        <f>IF(F446=G446,"YES","NO")</f>
        <v/>
      </c>
    </row>
    <row r="447">
      <c r="A447" s="6" t="inlineStr">
        <is>
          <t>Brady Stockwell</t>
        </is>
      </c>
      <c r="B447" s="7" t="n">
        <v>1</v>
      </c>
      <c r="C447" s="7" t="n">
        <v>0</v>
      </c>
      <c r="D447" s="7" t="n">
        <v>0</v>
      </c>
      <c r="E447" s="7" t="n">
        <v>0</v>
      </c>
      <c r="F447" s="8" t="inlineStr">
        <is>
          <t>Low</t>
        </is>
      </c>
      <c r="G447" s="8" t="inlineStr">
        <is>
          <t>Low</t>
        </is>
      </c>
      <c r="H447">
        <f>IF(F447=G447,"YES","NO")</f>
        <v/>
      </c>
    </row>
    <row r="448">
      <c r="A448" s="6" t="inlineStr">
        <is>
          <t>Branden Pence</t>
        </is>
      </c>
      <c r="B448" s="7" t="n">
        <v>3</v>
      </c>
      <c r="C448" s="7" t="n">
        <v>0</v>
      </c>
      <c r="D448" s="7" t="n">
        <v>0</v>
      </c>
      <c r="E448" s="7" t="n">
        <v>0</v>
      </c>
      <c r="F448" s="8" t="inlineStr">
        <is>
          <t>Low</t>
        </is>
      </c>
      <c r="G448" s="8" t="inlineStr">
        <is>
          <t>Low</t>
        </is>
      </c>
      <c r="H448">
        <f>IF(F448=G448,"YES","NO")</f>
        <v/>
      </c>
    </row>
    <row r="449">
      <c r="A449" s="6" t="inlineStr">
        <is>
          <t>Brandon Branham</t>
        </is>
      </c>
      <c r="B449" s="7" t="n">
        <v>330</v>
      </c>
      <c r="C449" s="7" t="n">
        <v>43</v>
      </c>
      <c r="D449" s="7" t="n">
        <v>0.1303</v>
      </c>
      <c r="E449" s="7" t="n">
        <v>0.0982</v>
      </c>
      <c r="F449" s="8" t="inlineStr">
        <is>
          <t>Low</t>
        </is>
      </c>
      <c r="G449" s="8" t="inlineStr">
        <is>
          <t>Low</t>
        </is>
      </c>
      <c r="H449">
        <f>IF(F449=G449,"YES","NO")</f>
        <v/>
      </c>
    </row>
    <row r="450">
      <c r="A450" s="6" t="inlineStr">
        <is>
          <t>Brandon Chapman</t>
        </is>
      </c>
      <c r="B450" s="7" t="n">
        <v>40</v>
      </c>
      <c r="C450" s="7" t="n">
        <v>1</v>
      </c>
      <c r="D450" s="7" t="n">
        <v>0.025</v>
      </c>
      <c r="E450" s="7" t="n">
        <v>0.0044</v>
      </c>
      <c r="F450" s="8" t="inlineStr">
        <is>
          <t>Low</t>
        </is>
      </c>
      <c r="G450" s="8" t="inlineStr">
        <is>
          <t>Low</t>
        </is>
      </c>
      <c r="H450">
        <f>IF(F450=G450,"YES","NO")</f>
        <v/>
      </c>
    </row>
    <row r="451">
      <c r="A451" s="6" t="inlineStr">
        <is>
          <t>Brandon Milner</t>
        </is>
      </c>
      <c r="B451" s="7" t="n">
        <v>58</v>
      </c>
      <c r="C451" s="7" t="n">
        <v>9</v>
      </c>
      <c r="D451" s="7" t="n">
        <v>0.1552</v>
      </c>
      <c r="E451" s="7" t="n">
        <v>0.0838</v>
      </c>
      <c r="F451" s="8" t="inlineStr">
        <is>
          <t>Low</t>
        </is>
      </c>
      <c r="G451" s="8" t="inlineStr">
        <is>
          <t>High</t>
        </is>
      </c>
      <c r="H451">
        <f>IF(F451=G451,"YES","NO")</f>
        <v/>
      </c>
    </row>
    <row r="452">
      <c r="A452" s="6" t="inlineStr">
        <is>
          <t>Brandon Rodighiero</t>
        </is>
      </c>
      <c r="B452" s="7" t="n">
        <v>12</v>
      </c>
      <c r="C452" s="7" t="n">
        <v>0</v>
      </c>
      <c r="D452" s="7" t="n">
        <v>0</v>
      </c>
      <c r="E452" s="7" t="n">
        <v>0</v>
      </c>
      <c r="F452" s="8" t="inlineStr">
        <is>
          <t>Low</t>
        </is>
      </c>
      <c r="G452" s="8" t="inlineStr">
        <is>
          <t>Low</t>
        </is>
      </c>
      <c r="H452">
        <f>IF(F452=G452,"YES","NO")</f>
        <v/>
      </c>
    </row>
    <row r="453">
      <c r="A453" s="6" t="inlineStr">
        <is>
          <t>Brandon Rothstein</t>
        </is>
      </c>
      <c r="B453" s="7" t="n">
        <v>5</v>
      </c>
      <c r="C453" s="7" t="n">
        <v>1</v>
      </c>
      <c r="D453" s="7" t="n">
        <v>0.2</v>
      </c>
      <c r="E453" s="7" t="n">
        <v>0.0362</v>
      </c>
      <c r="F453" s="8" t="inlineStr">
        <is>
          <t>Low</t>
        </is>
      </c>
      <c r="G453" s="8" t="inlineStr">
        <is>
          <t>Low</t>
        </is>
      </c>
      <c r="H453">
        <f>IF(F453=G453,"YES","NO")</f>
        <v/>
      </c>
    </row>
    <row r="454">
      <c r="A454" s="6" t="inlineStr">
        <is>
          <t>Brandon Smith</t>
        </is>
      </c>
      <c r="B454" s="7" t="n">
        <v>72</v>
      </c>
      <c r="C454" s="7" t="n">
        <v>3</v>
      </c>
      <c r="D454" s="7" t="n">
        <v>0.0417</v>
      </c>
      <c r="E454" s="7" t="n">
        <v>0.0143</v>
      </c>
      <c r="F454" s="8" t="inlineStr">
        <is>
          <t>Low</t>
        </is>
      </c>
      <c r="G454" s="8" t="inlineStr">
        <is>
          <t>Low</t>
        </is>
      </c>
      <c r="H454">
        <f>IF(F454=G454,"YES","NO")</f>
        <v/>
      </c>
    </row>
    <row r="455">
      <c r="A455" s="6" t="inlineStr">
        <is>
          <t>Brandon Turcotte</t>
        </is>
      </c>
      <c r="B455" s="7" t="n">
        <v>1</v>
      </c>
      <c r="C455" s="7" t="n">
        <v>0</v>
      </c>
      <c r="D455" s="7" t="n">
        <v>0</v>
      </c>
      <c r="E455" s="7" t="n">
        <v>0</v>
      </c>
      <c r="F455" s="8" t="inlineStr">
        <is>
          <t>Low</t>
        </is>
      </c>
      <c r="G455" s="8" t="inlineStr">
        <is>
          <t>Low</t>
        </is>
      </c>
      <c r="H455">
        <f>IF(F455=G455,"YES","NO")</f>
        <v/>
      </c>
    </row>
    <row r="456">
      <c r="A456" s="6" t="inlineStr">
        <is>
          <t>Brandon VanMeter</t>
        </is>
      </c>
      <c r="B456" s="7" t="n">
        <v>34</v>
      </c>
      <c r="C456" s="7" t="n">
        <v>0</v>
      </c>
      <c r="D456" s="7" t="n">
        <v>0</v>
      </c>
      <c r="E456" s="7" t="n">
        <v>0</v>
      </c>
      <c r="F456" s="8" t="inlineStr">
        <is>
          <t>Low</t>
        </is>
      </c>
      <c r="G456" s="8" t="inlineStr">
        <is>
          <t>Low</t>
        </is>
      </c>
      <c r="H456">
        <f>IF(F456=G456,"YES","NO")</f>
        <v/>
      </c>
    </row>
    <row r="457">
      <c r="A457" s="6" t="inlineStr">
        <is>
          <t>Brandon Wamsher</t>
        </is>
      </c>
      <c r="B457" s="7" t="n">
        <v>2</v>
      </c>
      <c r="C457" s="7" t="n">
        <v>0</v>
      </c>
      <c r="D457" s="7" t="n">
        <v>0</v>
      </c>
      <c r="E457" s="7" t="n">
        <v>0</v>
      </c>
      <c r="F457" s="8" t="inlineStr">
        <is>
          <t>Low</t>
        </is>
      </c>
      <c r="G457" s="8" t="inlineStr">
        <is>
          <t>Low</t>
        </is>
      </c>
      <c r="H457">
        <f>IF(F457=G457,"YES","NO")</f>
        <v/>
      </c>
    </row>
    <row r="458">
      <c r="A458" s="6" t="inlineStr">
        <is>
          <t>Brandon Zech</t>
        </is>
      </c>
      <c r="B458" s="7" t="n">
        <v>1</v>
      </c>
      <c r="C458" s="7" t="n">
        <v>0</v>
      </c>
      <c r="D458" s="7" t="n">
        <v>0</v>
      </c>
      <c r="E458" s="7" t="n">
        <v>0</v>
      </c>
      <c r="F458" s="8" t="inlineStr">
        <is>
          <t>Low</t>
        </is>
      </c>
      <c r="G458" s="8" t="inlineStr">
        <is>
          <t>Low</t>
        </is>
      </c>
      <c r="H458">
        <f>IF(F458=G458,"YES","NO")</f>
        <v/>
      </c>
    </row>
    <row r="459">
      <c r="A459" s="6" t="inlineStr">
        <is>
          <t>Brant Therkelsen</t>
        </is>
      </c>
      <c r="B459" s="7" t="n">
        <v>28</v>
      </c>
      <c r="C459" s="7" t="n">
        <v>0</v>
      </c>
      <c r="D459" s="7" t="n">
        <v>0</v>
      </c>
      <c r="E459" s="7" t="n">
        <v>0</v>
      </c>
      <c r="F459" s="8" t="inlineStr">
        <is>
          <t>Low</t>
        </is>
      </c>
      <c r="G459" s="8" t="inlineStr">
        <is>
          <t>Low</t>
        </is>
      </c>
      <c r="H459">
        <f>IF(F459=G459,"YES","NO")</f>
        <v/>
      </c>
    </row>
    <row r="460">
      <c r="A460" s="6" t="inlineStr">
        <is>
          <t>Brayden Holt</t>
        </is>
      </c>
      <c r="B460" s="7" t="n">
        <v>33</v>
      </c>
      <c r="C460" s="7" t="n">
        <v>1</v>
      </c>
      <c r="D460" s="7" t="n">
        <v>0.0303</v>
      </c>
      <c r="E460" s="7" t="n">
        <v>0.0054</v>
      </c>
      <c r="F460" s="8" t="inlineStr">
        <is>
          <t>Low</t>
        </is>
      </c>
      <c r="G460" s="8" t="inlineStr">
        <is>
          <t>Low</t>
        </is>
      </c>
      <c r="H460">
        <f>IF(F460=G460,"YES","NO")</f>
        <v/>
      </c>
    </row>
    <row r="461">
      <c r="A461" s="6" t="inlineStr">
        <is>
          <t>Brayden Johnson</t>
        </is>
      </c>
      <c r="B461" s="7" t="n">
        <v>6</v>
      </c>
      <c r="C461" s="7" t="n">
        <v>0</v>
      </c>
      <c r="D461" s="7" t="n">
        <v>0</v>
      </c>
      <c r="E461" s="7" t="n">
        <v>0</v>
      </c>
      <c r="F461" s="8" t="inlineStr">
        <is>
          <t>Low</t>
        </is>
      </c>
      <c r="G461" s="8" t="inlineStr">
        <is>
          <t>Low</t>
        </is>
      </c>
      <c r="H461">
        <f>IF(F461=G461,"YES","NO")</f>
        <v/>
      </c>
    </row>
    <row r="462">
      <c r="A462" s="6" t="inlineStr">
        <is>
          <t>Braydon  Jeffrey</t>
        </is>
      </c>
      <c r="B462" s="7" t="n">
        <v>29</v>
      </c>
      <c r="C462" s="7" t="n">
        <v>0</v>
      </c>
      <c r="D462" s="7" t="n">
        <v>0</v>
      </c>
      <c r="E462" s="7" t="n">
        <v>0</v>
      </c>
      <c r="F462" s="8" t="inlineStr">
        <is>
          <t>Low</t>
        </is>
      </c>
      <c r="G462" s="8" t="inlineStr">
        <is>
          <t>Low</t>
        </is>
      </c>
      <c r="H462">
        <f>IF(F462=G462,"YES","NO")</f>
        <v/>
      </c>
    </row>
    <row r="463">
      <c r="A463" s="6" t="inlineStr">
        <is>
          <t>Brendan Sweeney</t>
        </is>
      </c>
      <c r="B463" s="7" t="n">
        <v>296</v>
      </c>
      <c r="C463" s="7" t="n">
        <v>1</v>
      </c>
      <c r="D463" s="7" t="n">
        <v>0.0034</v>
      </c>
      <c r="E463" s="7" t="n">
        <v>0.0005999999999999999</v>
      </c>
      <c r="F463" s="8" t="inlineStr">
        <is>
          <t>Low</t>
        </is>
      </c>
      <c r="G463" s="8" t="inlineStr">
        <is>
          <t>Low</t>
        </is>
      </c>
      <c r="H463">
        <f>IF(F463=G463,"YES","NO")</f>
        <v/>
      </c>
    </row>
    <row r="464">
      <c r="A464" s="6" t="inlineStr">
        <is>
          <t>Brendon Hudson</t>
        </is>
      </c>
      <c r="B464" s="7" t="n">
        <v>18</v>
      </c>
      <c r="C464" s="7" t="n">
        <v>0</v>
      </c>
      <c r="D464" s="7" t="n">
        <v>0</v>
      </c>
      <c r="E464" s="7" t="n">
        <v>0</v>
      </c>
      <c r="F464" s="8" t="inlineStr">
        <is>
          <t>Low</t>
        </is>
      </c>
      <c r="G464" s="8" t="inlineStr">
        <is>
          <t>Low</t>
        </is>
      </c>
      <c r="H464">
        <f>IF(F464=G464,"YES","NO")</f>
        <v/>
      </c>
    </row>
    <row r="465">
      <c r="A465" s="6" t="inlineStr">
        <is>
          <t>Brennan Caswell</t>
        </is>
      </c>
      <c r="B465" s="7" t="n">
        <v>26</v>
      </c>
      <c r="C465" s="7" t="n">
        <v>0</v>
      </c>
      <c r="D465" s="7" t="n">
        <v>0</v>
      </c>
      <c r="E465" s="7" t="n">
        <v>0</v>
      </c>
      <c r="F465" s="8" t="inlineStr">
        <is>
          <t>Low</t>
        </is>
      </c>
      <c r="G465" s="8" t="inlineStr">
        <is>
          <t>Low</t>
        </is>
      </c>
      <c r="H465">
        <f>IF(F465=G465,"YES","NO")</f>
        <v/>
      </c>
    </row>
    <row r="466">
      <c r="A466" s="6" t="inlineStr">
        <is>
          <t>Brennan Fabry</t>
        </is>
      </c>
      <c r="B466" s="7" t="n">
        <v>5</v>
      </c>
      <c r="C466" s="7" t="n">
        <v>0</v>
      </c>
      <c r="D466" s="7" t="n">
        <v>0</v>
      </c>
      <c r="E466" s="7" t="n">
        <v>0</v>
      </c>
      <c r="F466" s="8" t="inlineStr">
        <is>
          <t>Low</t>
        </is>
      </c>
      <c r="G466" s="8" t="inlineStr">
        <is>
          <t>Low</t>
        </is>
      </c>
      <c r="H466">
        <f>IF(F466=G466,"YES","NO")</f>
        <v/>
      </c>
    </row>
    <row r="467">
      <c r="A467" s="6" t="inlineStr">
        <is>
          <t>Brent Barker</t>
        </is>
      </c>
      <c r="B467" s="7" t="n">
        <v>3</v>
      </c>
      <c r="C467" s="7" t="n">
        <v>0</v>
      </c>
      <c r="D467" s="7" t="n">
        <v>0</v>
      </c>
      <c r="E467" s="7" t="n">
        <v>0</v>
      </c>
      <c r="F467" s="8" t="inlineStr">
        <is>
          <t>Low</t>
        </is>
      </c>
      <c r="G467" s="8" t="inlineStr">
        <is>
          <t>Low</t>
        </is>
      </c>
      <c r="H467">
        <f>IF(F467=G467,"YES","NO")</f>
        <v/>
      </c>
    </row>
    <row r="468">
      <c r="A468" s="6" t="inlineStr">
        <is>
          <t>Brent Hastings</t>
        </is>
      </c>
      <c r="B468" s="7" t="n">
        <v>12</v>
      </c>
      <c r="C468" s="7" t="n">
        <v>0</v>
      </c>
      <c r="D468" s="7" t="n">
        <v>0</v>
      </c>
      <c r="E468" s="7" t="n">
        <v>0</v>
      </c>
      <c r="F468" s="8" t="inlineStr">
        <is>
          <t>Low</t>
        </is>
      </c>
      <c r="G468" s="8" t="inlineStr">
        <is>
          <t>Low</t>
        </is>
      </c>
      <c r="H468">
        <f>IF(F468=G468,"YES","NO")</f>
        <v/>
      </c>
    </row>
    <row r="469">
      <c r="A469" s="6" t="inlineStr">
        <is>
          <t>Bret Stevenson</t>
        </is>
      </c>
      <c r="B469" s="7" t="n">
        <v>32</v>
      </c>
      <c r="C469" s="7" t="n">
        <v>0</v>
      </c>
      <c r="D469" s="7" t="n">
        <v>0</v>
      </c>
      <c r="E469" s="7" t="n">
        <v>0</v>
      </c>
      <c r="F469" s="8" t="inlineStr">
        <is>
          <t>Low</t>
        </is>
      </c>
      <c r="G469" s="8" t="inlineStr">
        <is>
          <t>Low</t>
        </is>
      </c>
      <c r="H469">
        <f>IF(F469=G469,"YES","NO")</f>
        <v/>
      </c>
    </row>
    <row r="470">
      <c r="A470" s="6" t="inlineStr">
        <is>
          <t>Brett  Rogers</t>
        </is>
      </c>
      <c r="B470" s="7" t="n">
        <v>15</v>
      </c>
      <c r="C470" s="7" t="n">
        <v>0</v>
      </c>
      <c r="D470" s="7" t="n">
        <v>0</v>
      </c>
      <c r="E470" s="7" t="n">
        <v>0</v>
      </c>
      <c r="F470" s="8" t="inlineStr">
        <is>
          <t>Low</t>
        </is>
      </c>
      <c r="G470" s="8" t="inlineStr">
        <is>
          <t>Low</t>
        </is>
      </c>
      <c r="H470">
        <f>IF(F470=G470,"YES","NO")</f>
        <v/>
      </c>
    </row>
    <row r="471">
      <c r="A471" s="6" t="inlineStr">
        <is>
          <t>Brett Blacksten</t>
        </is>
      </c>
      <c r="B471" s="7" t="n">
        <v>59</v>
      </c>
      <c r="C471" s="7" t="n">
        <v>2</v>
      </c>
      <c r="D471" s="7" t="n">
        <v>0.0339</v>
      </c>
      <c r="E471" s="7" t="n">
        <v>0.009299999999999999</v>
      </c>
      <c r="F471" s="8" t="inlineStr">
        <is>
          <t>Low</t>
        </is>
      </c>
      <c r="G471" s="8" t="inlineStr">
        <is>
          <t>Low</t>
        </is>
      </c>
      <c r="H471">
        <f>IF(F471=G471,"YES","NO")</f>
        <v/>
      </c>
    </row>
    <row r="472">
      <c r="A472" s="6" t="inlineStr">
        <is>
          <t>Brett Boggs</t>
        </is>
      </c>
      <c r="B472" s="7" t="n">
        <v>3</v>
      </c>
      <c r="C472" s="7" t="n">
        <v>0</v>
      </c>
      <c r="D472" s="7" t="n">
        <v>0</v>
      </c>
      <c r="E472" s="7" t="n">
        <v>0</v>
      </c>
      <c r="F472" s="8" t="inlineStr">
        <is>
          <t>Low</t>
        </is>
      </c>
      <c r="G472" s="8" t="inlineStr">
        <is>
          <t>Medium</t>
        </is>
      </c>
      <c r="H472">
        <f>IF(F472=G472,"YES","NO")</f>
        <v/>
      </c>
    </row>
    <row r="473">
      <c r="A473" s="6" t="inlineStr">
        <is>
          <t>Brett Cleavenger</t>
        </is>
      </c>
      <c r="B473" s="7" t="n">
        <v>85</v>
      </c>
      <c r="C473" s="7" t="n">
        <v>0</v>
      </c>
      <c r="D473" s="7" t="n">
        <v>0</v>
      </c>
      <c r="E473" s="7" t="n">
        <v>0</v>
      </c>
      <c r="F473" s="8" t="inlineStr">
        <is>
          <t>Low</t>
        </is>
      </c>
      <c r="G473" s="8" t="inlineStr">
        <is>
          <t>Low</t>
        </is>
      </c>
      <c r="H473">
        <f>IF(F473=G473,"YES","NO")</f>
        <v/>
      </c>
    </row>
    <row r="474">
      <c r="A474" s="6" t="inlineStr">
        <is>
          <t>Brett Crabtree</t>
        </is>
      </c>
      <c r="B474" s="7" t="n">
        <v>12</v>
      </c>
      <c r="C474" s="7" t="n">
        <v>0</v>
      </c>
      <c r="D474" s="7" t="n">
        <v>0</v>
      </c>
      <c r="E474" s="7" t="n">
        <v>0</v>
      </c>
      <c r="F474" s="8" t="inlineStr">
        <is>
          <t>Low</t>
        </is>
      </c>
      <c r="G474" s="8" t="inlineStr">
        <is>
          <t>Low</t>
        </is>
      </c>
      <c r="H474">
        <f>IF(F474=G474,"YES","NO")</f>
        <v/>
      </c>
    </row>
    <row r="475">
      <c r="A475" s="6" t="inlineStr">
        <is>
          <t>Brett Hunter</t>
        </is>
      </c>
      <c r="B475" s="7" t="n">
        <v>1</v>
      </c>
      <c r="C475" s="7" t="n">
        <v>0</v>
      </c>
      <c r="D475" s="7" t="n">
        <v>0</v>
      </c>
      <c r="E475" s="7" t="n">
        <v>0</v>
      </c>
      <c r="F475" s="8" t="inlineStr">
        <is>
          <t>Low</t>
        </is>
      </c>
      <c r="G475" s="8" t="inlineStr">
        <is>
          <t>Low</t>
        </is>
      </c>
      <c r="H475">
        <f>IF(F475=G475,"YES","NO")</f>
        <v/>
      </c>
    </row>
    <row r="476">
      <c r="A476" s="6" t="inlineStr">
        <is>
          <t>Brett Maxwell</t>
        </is>
      </c>
      <c r="B476" s="7" t="n">
        <v>184</v>
      </c>
      <c r="C476" s="7" t="n">
        <v>0</v>
      </c>
      <c r="D476" s="7" t="n">
        <v>0</v>
      </c>
      <c r="E476" s="7" t="n">
        <v>0</v>
      </c>
      <c r="F476" s="8" t="inlineStr">
        <is>
          <t>Low</t>
        </is>
      </c>
      <c r="G476" s="8" t="inlineStr">
        <is>
          <t>Low</t>
        </is>
      </c>
      <c r="H476">
        <f>IF(F476=G476,"YES","NO")</f>
        <v/>
      </c>
    </row>
    <row r="477">
      <c r="A477" s="6" t="inlineStr">
        <is>
          <t>Brett Pollock</t>
        </is>
      </c>
      <c r="B477" s="7" t="n">
        <v>38</v>
      </c>
      <c r="C477" s="7" t="n">
        <v>1</v>
      </c>
      <c r="D477" s="7" t="n">
        <v>0.0263</v>
      </c>
      <c r="E477" s="7" t="n">
        <v>0.0047</v>
      </c>
      <c r="F477" s="8" t="inlineStr">
        <is>
          <t>Low</t>
        </is>
      </c>
      <c r="G477" s="8" t="inlineStr">
        <is>
          <t>Low</t>
        </is>
      </c>
      <c r="H477">
        <f>IF(F477=G477,"YES","NO")</f>
        <v/>
      </c>
    </row>
    <row r="478">
      <c r="A478" s="6" t="inlineStr">
        <is>
          <t>Brett Trammell</t>
        </is>
      </c>
      <c r="B478" s="7" t="n">
        <v>87</v>
      </c>
      <c r="C478" s="7" t="n">
        <v>2</v>
      </c>
      <c r="D478" s="7" t="n">
        <v>0.023</v>
      </c>
      <c r="E478" s="7" t="n">
        <v>0.0063</v>
      </c>
      <c r="F478" s="8" t="inlineStr">
        <is>
          <t>Low</t>
        </is>
      </c>
      <c r="G478" s="8" t="inlineStr">
        <is>
          <t>Low</t>
        </is>
      </c>
      <c r="H478">
        <f>IF(F478=G478,"YES","NO")</f>
        <v/>
      </c>
    </row>
    <row r="479">
      <c r="A479" s="6" t="inlineStr">
        <is>
          <t>Bri-Anna Harty</t>
        </is>
      </c>
      <c r="B479" s="7" t="n">
        <v>50</v>
      </c>
      <c r="C479" s="7" t="n">
        <v>0</v>
      </c>
      <c r="D479" s="7" t="n">
        <v>0</v>
      </c>
      <c r="E479" s="7" t="n">
        <v>0</v>
      </c>
      <c r="F479" s="8" t="inlineStr">
        <is>
          <t>Low</t>
        </is>
      </c>
      <c r="G479" s="8" t="inlineStr">
        <is>
          <t>Low</t>
        </is>
      </c>
      <c r="H479">
        <f>IF(F479=G479,"YES","NO")</f>
        <v/>
      </c>
    </row>
    <row r="480">
      <c r="A480" s="6" t="inlineStr">
        <is>
          <t>Brian Behrens</t>
        </is>
      </c>
      <c r="B480" s="7" t="n">
        <v>17</v>
      </c>
      <c r="C480" s="7" t="n">
        <v>3</v>
      </c>
      <c r="D480" s="7" t="n">
        <v>0.1765</v>
      </c>
      <c r="E480" s="7" t="n">
        <v>0.0619</v>
      </c>
      <c r="F480" s="8" t="inlineStr">
        <is>
          <t>Low</t>
        </is>
      </c>
      <c r="G480" s="8" t="inlineStr">
        <is>
          <t>Medium</t>
        </is>
      </c>
      <c r="H480">
        <f>IF(F480=G480,"YES","NO")</f>
        <v/>
      </c>
    </row>
    <row r="481">
      <c r="A481" s="6" t="inlineStr">
        <is>
          <t>Brian Carr</t>
        </is>
      </c>
      <c r="B481" s="7" t="n">
        <v>18</v>
      </c>
      <c r="C481" s="7" t="n">
        <v>0</v>
      </c>
      <c r="D481" s="7" t="n">
        <v>0</v>
      </c>
      <c r="E481" s="7" t="n">
        <v>0</v>
      </c>
      <c r="F481" s="8" t="inlineStr">
        <is>
          <t>Low</t>
        </is>
      </c>
      <c r="G481" s="8" t="inlineStr">
        <is>
          <t>Low</t>
        </is>
      </c>
      <c r="H481">
        <f>IF(F481=G481,"YES","NO")</f>
        <v/>
      </c>
    </row>
    <row r="482">
      <c r="A482" s="6" t="inlineStr">
        <is>
          <t>Brian DeFazio</t>
        </is>
      </c>
      <c r="B482" s="7" t="n">
        <v>1</v>
      </c>
      <c r="C482" s="7" t="n">
        <v>0</v>
      </c>
      <c r="D482" s="7" t="n">
        <v>0</v>
      </c>
      <c r="E482" s="7" t="n">
        <v>0</v>
      </c>
      <c r="F482" s="8" t="inlineStr">
        <is>
          <t>Low</t>
        </is>
      </c>
      <c r="G482" s="8" t="inlineStr">
        <is>
          <t>Low</t>
        </is>
      </c>
      <c r="H482">
        <f>IF(F482=G482,"YES","NO")</f>
        <v/>
      </c>
    </row>
    <row r="483">
      <c r="A483" s="6" t="inlineStr">
        <is>
          <t>Brian Earley</t>
        </is>
      </c>
      <c r="B483" s="7" t="n">
        <v>294</v>
      </c>
      <c r="C483" s="7" t="n">
        <v>0</v>
      </c>
      <c r="D483" s="7" t="n">
        <v>0</v>
      </c>
      <c r="E483" s="7" t="n">
        <v>0</v>
      </c>
      <c r="F483" s="8" t="inlineStr">
        <is>
          <t>Low</t>
        </is>
      </c>
      <c r="G483" s="8" t="inlineStr">
        <is>
          <t>Low</t>
        </is>
      </c>
      <c r="H483">
        <f>IF(F483=G483,"YES","NO")</f>
        <v/>
      </c>
    </row>
    <row r="484">
      <c r="A484" s="6" t="inlineStr">
        <is>
          <t>Brian Herzberg</t>
        </is>
      </c>
      <c r="B484" s="7" t="n">
        <v>8</v>
      </c>
      <c r="C484" s="7" t="n">
        <v>0</v>
      </c>
      <c r="D484" s="7" t="n">
        <v>0</v>
      </c>
      <c r="E484" s="7" t="n">
        <v>0</v>
      </c>
      <c r="F484" s="8" t="inlineStr">
        <is>
          <t>Low</t>
        </is>
      </c>
      <c r="G484" s="8" t="inlineStr">
        <is>
          <t>High</t>
        </is>
      </c>
      <c r="H484">
        <f>IF(F484=G484,"YES","NO")</f>
        <v/>
      </c>
    </row>
    <row r="485">
      <c r="A485" s="6" t="inlineStr">
        <is>
          <t>Brian Jackson</t>
        </is>
      </c>
      <c r="B485" s="7" t="n">
        <v>291</v>
      </c>
      <c r="C485" s="7" t="n">
        <v>0</v>
      </c>
      <c r="D485" s="7" t="n">
        <v>0</v>
      </c>
      <c r="E485" s="7" t="n">
        <v>0</v>
      </c>
      <c r="F485" s="8" t="inlineStr">
        <is>
          <t>Low</t>
        </is>
      </c>
      <c r="G485" s="8" t="inlineStr">
        <is>
          <t>Low</t>
        </is>
      </c>
      <c r="H485">
        <f>IF(F485=G485,"YES","NO")</f>
        <v/>
      </c>
    </row>
    <row r="486">
      <c r="A486" s="6" t="inlineStr">
        <is>
          <t>Brian Peltier</t>
        </is>
      </c>
      <c r="B486" s="7" t="n">
        <v>6</v>
      </c>
      <c r="C486" s="7" t="n">
        <v>0</v>
      </c>
      <c r="D486" s="7" t="n">
        <v>0</v>
      </c>
      <c r="E486" s="7" t="n">
        <v>0</v>
      </c>
      <c r="F486" s="8" t="inlineStr">
        <is>
          <t>Low</t>
        </is>
      </c>
      <c r="G486" s="8" t="inlineStr">
        <is>
          <t>Low</t>
        </is>
      </c>
      <c r="H486">
        <f>IF(F486=G486,"YES","NO")</f>
        <v/>
      </c>
    </row>
    <row r="487">
      <c r="A487" s="6" t="inlineStr">
        <is>
          <t>Brian Ratchford</t>
        </is>
      </c>
      <c r="B487" s="7" t="n">
        <v>21</v>
      </c>
      <c r="C487" s="7" t="n">
        <v>0</v>
      </c>
      <c r="D487" s="7" t="n">
        <v>0</v>
      </c>
      <c r="E487" s="7" t="n">
        <v>0</v>
      </c>
      <c r="F487" s="8" t="inlineStr">
        <is>
          <t>Low</t>
        </is>
      </c>
      <c r="G487" s="8" t="inlineStr">
        <is>
          <t>Low</t>
        </is>
      </c>
      <c r="H487">
        <f>IF(F487=G487,"YES","NO")</f>
        <v/>
      </c>
    </row>
    <row r="488">
      <c r="A488" s="6" t="inlineStr">
        <is>
          <t>Brian Reeb</t>
        </is>
      </c>
      <c r="B488" s="7" t="n">
        <v>2</v>
      </c>
      <c r="C488" s="7" t="n">
        <v>0</v>
      </c>
      <c r="D488" s="7" t="n">
        <v>0</v>
      </c>
      <c r="E488" s="7" t="n">
        <v>0</v>
      </c>
      <c r="F488" s="8" t="inlineStr">
        <is>
          <t>Low</t>
        </is>
      </c>
      <c r="G488" s="8" t="inlineStr">
        <is>
          <t>Low</t>
        </is>
      </c>
      <c r="H488">
        <f>IF(F488=G488,"YES","NO")</f>
        <v/>
      </c>
    </row>
    <row r="489">
      <c r="A489" s="6" t="inlineStr">
        <is>
          <t>Brian Woodward</t>
        </is>
      </c>
      <c r="B489" s="7" t="n">
        <v>24</v>
      </c>
      <c r="C489" s="7" t="n">
        <v>2</v>
      </c>
      <c r="D489" s="7" t="n">
        <v>0.0833</v>
      </c>
      <c r="E489" s="7" t="n">
        <v>0.0232</v>
      </c>
      <c r="F489" s="8" t="inlineStr">
        <is>
          <t>Low</t>
        </is>
      </c>
      <c r="G489" s="8" t="inlineStr">
        <is>
          <t>Low</t>
        </is>
      </c>
      <c r="H489">
        <f>IF(F489=G489,"YES","NO")</f>
        <v/>
      </c>
    </row>
    <row r="490">
      <c r="A490" s="6" t="inlineStr">
        <is>
          <t>Bridgett Miller</t>
        </is>
      </c>
      <c r="B490" s="7" t="n">
        <v>18</v>
      </c>
      <c r="C490" s="7" t="n">
        <v>0</v>
      </c>
      <c r="D490" s="7" t="n">
        <v>0</v>
      </c>
      <c r="E490" s="7" t="n">
        <v>0</v>
      </c>
      <c r="F490" s="8" t="inlineStr">
        <is>
          <t>Low</t>
        </is>
      </c>
      <c r="G490" s="8" t="inlineStr">
        <is>
          <t>Low</t>
        </is>
      </c>
      <c r="H490">
        <f>IF(F490=G490,"YES","NO")</f>
        <v/>
      </c>
    </row>
    <row r="491">
      <c r="A491" s="6" t="inlineStr">
        <is>
          <t>Brien Guth</t>
        </is>
      </c>
      <c r="B491" s="7" t="n">
        <v>195</v>
      </c>
      <c r="C491" s="7" t="n">
        <v>4</v>
      </c>
      <c r="D491" s="7" t="n">
        <v>0.0205</v>
      </c>
      <c r="E491" s="7" t="n">
        <v>0.008</v>
      </c>
      <c r="F491" s="8" t="inlineStr">
        <is>
          <t>Low</t>
        </is>
      </c>
      <c r="G491" s="8" t="inlineStr">
        <is>
          <t>Low</t>
        </is>
      </c>
      <c r="H491">
        <f>IF(F491=G491,"YES","NO")</f>
        <v/>
      </c>
    </row>
    <row r="492">
      <c r="A492" s="6" t="inlineStr">
        <is>
          <t>Brittany Jones</t>
        </is>
      </c>
      <c r="B492" s="7" t="n">
        <v>30</v>
      </c>
      <c r="C492" s="7" t="n">
        <v>2</v>
      </c>
      <c r="D492" s="7" t="n">
        <v>0.0667</v>
      </c>
      <c r="E492" s="7" t="n">
        <v>0.0185</v>
      </c>
      <c r="F492" s="8" t="inlineStr">
        <is>
          <t>Low</t>
        </is>
      </c>
      <c r="G492" s="8" t="inlineStr">
        <is>
          <t>Low</t>
        </is>
      </c>
      <c r="H492">
        <f>IF(F492=G492,"YES","NO")</f>
        <v/>
      </c>
    </row>
    <row r="493">
      <c r="A493" s="6" t="inlineStr">
        <is>
          <t>Brittany Nejman</t>
        </is>
      </c>
      <c r="B493" s="7" t="n">
        <v>42</v>
      </c>
      <c r="C493" s="7" t="n">
        <v>1</v>
      </c>
      <c r="D493" s="7" t="n">
        <v>0.0238</v>
      </c>
      <c r="E493" s="7" t="n">
        <v>0.0042</v>
      </c>
      <c r="F493" s="8" t="inlineStr">
        <is>
          <t>Low</t>
        </is>
      </c>
      <c r="G493" s="8" t="inlineStr">
        <is>
          <t>Low</t>
        </is>
      </c>
      <c r="H493">
        <f>IF(F493=G493,"YES","NO")</f>
        <v/>
      </c>
    </row>
    <row r="494">
      <c r="A494" s="6" t="inlineStr">
        <is>
          <t>Brock Terrell</t>
        </is>
      </c>
      <c r="B494" s="7" t="n">
        <v>2</v>
      </c>
      <c r="C494" s="7" t="n">
        <v>0</v>
      </c>
      <c r="D494" s="7" t="n">
        <v>0</v>
      </c>
      <c r="E494" s="7" t="n">
        <v>0</v>
      </c>
      <c r="F494" s="8" t="inlineStr">
        <is>
          <t>Low</t>
        </is>
      </c>
      <c r="G494" s="8" t="inlineStr">
        <is>
          <t>Medium</t>
        </is>
      </c>
      <c r="H494">
        <f>IF(F494=G494,"YES","NO")</f>
        <v/>
      </c>
    </row>
    <row r="495">
      <c r="A495" s="6" t="inlineStr">
        <is>
          <t>Brodie Dial</t>
        </is>
      </c>
      <c r="B495" s="7" t="n">
        <v>7</v>
      </c>
      <c r="C495" s="7" t="n">
        <v>0</v>
      </c>
      <c r="D495" s="7" t="n">
        <v>0</v>
      </c>
      <c r="E495" s="7" t="n">
        <v>0</v>
      </c>
      <c r="F495" s="8" t="inlineStr">
        <is>
          <t>Low</t>
        </is>
      </c>
      <c r="G495" s="8" t="inlineStr">
        <is>
          <t>Low</t>
        </is>
      </c>
      <c r="H495">
        <f>IF(F495=G495,"YES","NO")</f>
        <v/>
      </c>
    </row>
    <row r="496">
      <c r="A496" s="6" t="inlineStr">
        <is>
          <t>Brooks Langrehr</t>
        </is>
      </c>
      <c r="B496" s="7" t="n">
        <v>4</v>
      </c>
      <c r="C496" s="7" t="n">
        <v>0</v>
      </c>
      <c r="D496" s="7" t="n">
        <v>0</v>
      </c>
      <c r="E496" s="7" t="n">
        <v>0</v>
      </c>
      <c r="F496" s="8" t="inlineStr">
        <is>
          <t>Low</t>
        </is>
      </c>
      <c r="G496" s="8" t="inlineStr">
        <is>
          <t>Low</t>
        </is>
      </c>
      <c r="H496">
        <f>IF(F496=G496,"YES","NO")</f>
        <v/>
      </c>
    </row>
    <row r="497">
      <c r="A497" s="6" t="inlineStr">
        <is>
          <t>Bruce Bernier</t>
        </is>
      </c>
      <c r="B497" s="7" t="n">
        <v>50</v>
      </c>
      <c r="C497" s="7" t="n">
        <v>1</v>
      </c>
      <c r="D497" s="7" t="n">
        <v>0.02</v>
      </c>
      <c r="E497" s="7" t="n">
        <v>0.0035</v>
      </c>
      <c r="F497" s="8" t="inlineStr">
        <is>
          <t>Low</t>
        </is>
      </c>
      <c r="G497" s="8" t="inlineStr">
        <is>
          <t>Low</t>
        </is>
      </c>
      <c r="H497">
        <f>IF(F497=G497,"YES","NO")</f>
        <v/>
      </c>
    </row>
    <row r="498">
      <c r="A498" s="6" t="inlineStr">
        <is>
          <t>Bruce Sneary</t>
        </is>
      </c>
      <c r="B498" s="7" t="n">
        <v>1014</v>
      </c>
      <c r="C498" s="7" t="n">
        <v>42</v>
      </c>
      <c r="D498" s="7" t="n">
        <v>0.0414</v>
      </c>
      <c r="E498" s="7" t="n">
        <v>0.0308</v>
      </c>
      <c r="F498" s="8" t="inlineStr">
        <is>
          <t>Low</t>
        </is>
      </c>
      <c r="G498" s="8" t="inlineStr">
        <is>
          <t>Low</t>
        </is>
      </c>
      <c r="H498">
        <f>IF(F498=G498,"YES","NO")</f>
        <v/>
      </c>
    </row>
    <row r="499">
      <c r="A499" s="6" t="inlineStr">
        <is>
          <t>Bryan Anderson</t>
        </is>
      </c>
      <c r="B499" s="7" t="n">
        <v>1</v>
      </c>
      <c r="C499" s="7" t="n">
        <v>0</v>
      </c>
      <c r="D499" s="7" t="n">
        <v>0</v>
      </c>
      <c r="E499" s="7" t="n">
        <v>0</v>
      </c>
      <c r="F499" s="8" t="inlineStr">
        <is>
          <t>Low</t>
        </is>
      </c>
      <c r="G499" s="8" t="inlineStr">
        <is>
          <t>Low</t>
        </is>
      </c>
      <c r="H499">
        <f>IF(F499=G499,"YES","NO")</f>
        <v/>
      </c>
    </row>
    <row r="500">
      <c r="A500" s="6" t="inlineStr">
        <is>
          <t>Bryan Boles</t>
        </is>
      </c>
      <c r="B500" s="7" t="n">
        <v>1</v>
      </c>
      <c r="C500" s="7" t="n">
        <v>0</v>
      </c>
      <c r="D500" s="7" t="n">
        <v>0</v>
      </c>
      <c r="E500" s="7" t="n">
        <v>0</v>
      </c>
      <c r="F500" s="8" t="inlineStr">
        <is>
          <t>Low</t>
        </is>
      </c>
      <c r="G500" s="8" t="inlineStr">
        <is>
          <t>Low</t>
        </is>
      </c>
      <c r="H500">
        <f>IF(F500=G500,"YES","NO")</f>
        <v/>
      </c>
    </row>
    <row r="501">
      <c r="A501" s="6" t="inlineStr">
        <is>
          <t>Bryan Dierkes</t>
        </is>
      </c>
      <c r="B501" s="7" t="n">
        <v>10</v>
      </c>
      <c r="C501" s="7" t="n">
        <v>0</v>
      </c>
      <c r="D501" s="7" t="n">
        <v>0</v>
      </c>
      <c r="E501" s="7" t="n">
        <v>0</v>
      </c>
      <c r="F501" s="8" t="inlineStr">
        <is>
          <t>Low</t>
        </is>
      </c>
      <c r="G501" s="8" t="inlineStr">
        <is>
          <t>Low</t>
        </is>
      </c>
      <c r="H501">
        <f>IF(F501=G501,"YES","NO")</f>
        <v/>
      </c>
    </row>
    <row r="502">
      <c r="A502" s="6" t="inlineStr">
        <is>
          <t>Bryan Sharp</t>
        </is>
      </c>
      <c r="B502" s="7" t="n">
        <v>517</v>
      </c>
      <c r="C502" s="7" t="n">
        <v>47</v>
      </c>
      <c r="D502" s="7" t="n">
        <v>0.09089999999999999</v>
      </c>
      <c r="E502" s="7" t="n">
        <v>0.06909999999999999</v>
      </c>
      <c r="F502" s="8" t="inlineStr">
        <is>
          <t>Low</t>
        </is>
      </c>
      <c r="G502" s="8" t="inlineStr">
        <is>
          <t>Low</t>
        </is>
      </c>
      <c r="H502">
        <f>IF(F502=G502,"YES","NO")</f>
        <v/>
      </c>
    </row>
    <row r="503">
      <c r="A503" s="6" t="inlineStr">
        <is>
          <t>Bryan Skelton</t>
        </is>
      </c>
      <c r="B503" s="7" t="n">
        <v>28</v>
      </c>
      <c r="C503" s="7" t="n">
        <v>1</v>
      </c>
      <c r="D503" s="7" t="n">
        <v>0.0357</v>
      </c>
      <c r="E503" s="7" t="n">
        <v>0.0063</v>
      </c>
      <c r="F503" s="8" t="inlineStr">
        <is>
          <t>Low</t>
        </is>
      </c>
      <c r="G503" s="8" t="inlineStr">
        <is>
          <t>Low</t>
        </is>
      </c>
      <c r="H503">
        <f>IF(F503=G503,"YES","NO")</f>
        <v/>
      </c>
    </row>
    <row r="504">
      <c r="A504" s="6" t="inlineStr">
        <is>
          <t>Bryan Staats</t>
        </is>
      </c>
      <c r="B504" s="7" t="n">
        <v>275</v>
      </c>
      <c r="C504" s="7" t="n">
        <v>1</v>
      </c>
      <c r="D504" s="7" t="n">
        <v>0.0036</v>
      </c>
      <c r="E504" s="7" t="n">
        <v>0.0005999999999999999</v>
      </c>
      <c r="F504" s="8" t="inlineStr">
        <is>
          <t>Low</t>
        </is>
      </c>
      <c r="G504" s="8" t="inlineStr">
        <is>
          <t>Low</t>
        </is>
      </c>
      <c r="H504">
        <f>IF(F504=G504,"YES","NO")</f>
        <v/>
      </c>
    </row>
    <row r="505">
      <c r="A505" s="6" t="inlineStr">
        <is>
          <t>Bryan Winfree</t>
        </is>
      </c>
      <c r="B505" s="7" t="n">
        <v>265</v>
      </c>
      <c r="C505" s="7" t="n">
        <v>5</v>
      </c>
      <c r="D505" s="7" t="n">
        <v>0.0189</v>
      </c>
      <c r="E505" s="7" t="n">
        <v>0.0081</v>
      </c>
      <c r="F505" s="8" t="inlineStr">
        <is>
          <t>Low</t>
        </is>
      </c>
      <c r="G505" s="8" t="inlineStr">
        <is>
          <t>Low</t>
        </is>
      </c>
      <c r="H505">
        <f>IF(F505=G505,"YES","NO")</f>
        <v/>
      </c>
    </row>
    <row r="506">
      <c r="A506" s="6" t="inlineStr">
        <is>
          <t>Bryan loveridge</t>
        </is>
      </c>
      <c r="B506" s="7" t="n">
        <v>131</v>
      </c>
      <c r="C506" s="7" t="n">
        <v>0</v>
      </c>
      <c r="D506" s="7" t="n">
        <v>0</v>
      </c>
      <c r="E506" s="7" t="n">
        <v>0</v>
      </c>
      <c r="F506" s="8" t="inlineStr">
        <is>
          <t>Low</t>
        </is>
      </c>
      <c r="G506" s="8" t="inlineStr">
        <is>
          <t>Low</t>
        </is>
      </c>
      <c r="H506">
        <f>IF(F506=G506,"YES","NO")</f>
        <v/>
      </c>
    </row>
    <row r="507">
      <c r="A507" s="6" t="inlineStr">
        <is>
          <t>Bryce Judd</t>
        </is>
      </c>
      <c r="B507" s="7" t="n">
        <v>17</v>
      </c>
      <c r="C507" s="7" t="n">
        <v>0</v>
      </c>
      <c r="D507" s="7" t="n">
        <v>0</v>
      </c>
      <c r="E507" s="7" t="n">
        <v>0</v>
      </c>
      <c r="F507" s="8" t="inlineStr">
        <is>
          <t>Low</t>
        </is>
      </c>
      <c r="G507" s="8" t="inlineStr">
        <is>
          <t>Low</t>
        </is>
      </c>
      <c r="H507">
        <f>IF(F507=G507,"YES","NO")</f>
        <v/>
      </c>
    </row>
    <row r="508">
      <c r="A508" s="6" t="inlineStr">
        <is>
          <t>Bryce O'Connor</t>
        </is>
      </c>
      <c r="B508" s="7" t="n">
        <v>117</v>
      </c>
      <c r="C508" s="7" t="n">
        <v>10</v>
      </c>
      <c r="D508" s="7" t="n">
        <v>0.08550000000000001</v>
      </c>
      <c r="E508" s="7" t="n">
        <v>0.0471</v>
      </c>
      <c r="F508" s="8" t="inlineStr">
        <is>
          <t>Low</t>
        </is>
      </c>
      <c r="G508" s="8" t="inlineStr">
        <is>
          <t>Low</t>
        </is>
      </c>
      <c r="H508">
        <f>IF(F508=G508,"YES","NO")</f>
        <v/>
      </c>
    </row>
    <row r="509">
      <c r="A509" s="6" t="inlineStr">
        <is>
          <t>Brye Yohe</t>
        </is>
      </c>
      <c r="B509" s="7" t="n">
        <v>27</v>
      </c>
      <c r="C509" s="7" t="n">
        <v>0</v>
      </c>
      <c r="D509" s="7" t="n">
        <v>0</v>
      </c>
      <c r="E509" s="7" t="n">
        <v>0</v>
      </c>
      <c r="F509" s="8" t="inlineStr">
        <is>
          <t>Low</t>
        </is>
      </c>
      <c r="G509" s="8" t="inlineStr">
        <is>
          <t>Low</t>
        </is>
      </c>
      <c r="H509">
        <f>IF(F509=G509,"YES","NO")</f>
        <v/>
      </c>
    </row>
    <row r="510">
      <c r="A510" s="6" t="inlineStr">
        <is>
          <t>Burke Bellecort</t>
        </is>
      </c>
      <c r="B510" s="7" t="n">
        <v>5</v>
      </c>
      <c r="C510" s="7" t="n">
        <v>0</v>
      </c>
      <c r="D510" s="7" t="n">
        <v>0</v>
      </c>
      <c r="E510" s="7" t="n">
        <v>0</v>
      </c>
      <c r="F510" s="8" t="inlineStr">
        <is>
          <t>Low</t>
        </is>
      </c>
      <c r="G510" s="8" t="inlineStr">
        <is>
          <t>Low</t>
        </is>
      </c>
      <c r="H510">
        <f>IF(F510=G510,"YES","NO")</f>
        <v/>
      </c>
    </row>
    <row r="511">
      <c r="A511" s="6" t="inlineStr">
        <is>
          <t>CJ Morton</t>
        </is>
      </c>
      <c r="B511" s="7" t="n">
        <v>28</v>
      </c>
      <c r="C511" s="7" t="n">
        <v>0</v>
      </c>
      <c r="D511" s="7" t="n">
        <v>0</v>
      </c>
      <c r="E511" s="7" t="n">
        <v>0</v>
      </c>
      <c r="F511" s="8" t="inlineStr">
        <is>
          <t>Low</t>
        </is>
      </c>
      <c r="G511" s="8" t="inlineStr">
        <is>
          <t>Low</t>
        </is>
      </c>
      <c r="H511">
        <f>IF(F511=G511,"YES","NO")</f>
        <v/>
      </c>
    </row>
    <row r="512">
      <c r="A512" s="6" t="inlineStr">
        <is>
          <t>Cade Ramsey</t>
        </is>
      </c>
      <c r="B512" s="7" t="n">
        <v>63</v>
      </c>
      <c r="C512" s="7" t="n">
        <v>0</v>
      </c>
      <c r="D512" s="7" t="n">
        <v>0</v>
      </c>
      <c r="E512" s="7" t="n">
        <v>0</v>
      </c>
      <c r="F512" s="8" t="inlineStr">
        <is>
          <t>Low</t>
        </is>
      </c>
      <c r="G512" s="8" t="inlineStr">
        <is>
          <t>Low</t>
        </is>
      </c>
      <c r="H512">
        <f>IF(F512=G512,"YES","NO")</f>
        <v/>
      </c>
    </row>
    <row r="513">
      <c r="A513" s="6" t="inlineStr">
        <is>
          <t>Caitlin O'Connor</t>
        </is>
      </c>
      <c r="B513" s="7" t="n">
        <v>20</v>
      </c>
      <c r="C513" s="7" t="n">
        <v>1</v>
      </c>
      <c r="D513" s="7" t="n">
        <v>0.05</v>
      </c>
      <c r="E513" s="7" t="n">
        <v>0.0089</v>
      </c>
      <c r="F513" s="8" t="inlineStr">
        <is>
          <t>Low</t>
        </is>
      </c>
      <c r="G513" s="8" t="inlineStr">
        <is>
          <t>Low</t>
        </is>
      </c>
      <c r="H513">
        <f>IF(F513=G513,"YES","NO")</f>
        <v/>
      </c>
    </row>
    <row r="514">
      <c r="A514" s="6" t="inlineStr">
        <is>
          <t>Caitlin Seckel</t>
        </is>
      </c>
      <c r="B514" s="7" t="n">
        <v>130</v>
      </c>
      <c r="C514" s="7" t="n">
        <v>1</v>
      </c>
      <c r="D514" s="7" t="n">
        <v>0.0077</v>
      </c>
      <c r="E514" s="7" t="n">
        <v>0.0014</v>
      </c>
      <c r="F514" s="8" t="inlineStr">
        <is>
          <t>Low</t>
        </is>
      </c>
      <c r="G514" s="8" t="inlineStr">
        <is>
          <t>Low</t>
        </is>
      </c>
      <c r="H514">
        <f>IF(F514=G514,"YES","NO")</f>
        <v/>
      </c>
    </row>
    <row r="515">
      <c r="A515" s="6" t="inlineStr">
        <is>
          <t>Caleb Kleibscheidel</t>
        </is>
      </c>
      <c r="B515" s="7" t="n">
        <v>8</v>
      </c>
      <c r="C515" s="7" t="n">
        <v>1</v>
      </c>
      <c r="D515" s="7" t="n">
        <v>0.125</v>
      </c>
      <c r="E515" s="7" t="n">
        <v>0.0224</v>
      </c>
      <c r="F515" s="8" t="inlineStr">
        <is>
          <t>Low</t>
        </is>
      </c>
      <c r="G515" s="8" t="inlineStr">
        <is>
          <t>Low</t>
        </is>
      </c>
      <c r="H515">
        <f>IF(F515=G515,"YES","NO")</f>
        <v/>
      </c>
    </row>
    <row r="516">
      <c r="A516" s="6" t="inlineStr">
        <is>
          <t>Caleb Pittman</t>
        </is>
      </c>
      <c r="B516" s="7" t="n">
        <v>2</v>
      </c>
      <c r="C516" s="7" t="n">
        <v>0</v>
      </c>
      <c r="D516" s="7" t="n">
        <v>0</v>
      </c>
      <c r="E516" s="7" t="n">
        <v>0</v>
      </c>
      <c r="F516" s="8" t="inlineStr">
        <is>
          <t>Low</t>
        </is>
      </c>
      <c r="G516" s="8" t="inlineStr">
        <is>
          <t>Low</t>
        </is>
      </c>
      <c r="H516">
        <f>IF(F516=G516,"YES","NO")</f>
        <v/>
      </c>
    </row>
    <row r="517">
      <c r="A517" s="6" t="inlineStr">
        <is>
          <t>Caleb Yarborough</t>
        </is>
      </c>
      <c r="B517" s="7" t="n">
        <v>1</v>
      </c>
      <c r="C517" s="7" t="n">
        <v>0</v>
      </c>
      <c r="D517" s="7" t="n">
        <v>0</v>
      </c>
      <c r="E517" s="7" t="n">
        <v>0</v>
      </c>
      <c r="F517" s="8" t="inlineStr">
        <is>
          <t>Low</t>
        </is>
      </c>
      <c r="G517" s="8" t="inlineStr">
        <is>
          <t>Low</t>
        </is>
      </c>
      <c r="H517">
        <f>IF(F517=G517,"YES","NO")</f>
        <v/>
      </c>
    </row>
    <row r="518">
      <c r="A518" s="6" t="inlineStr">
        <is>
          <t>Callaway Freeland</t>
        </is>
      </c>
      <c r="B518" s="7" t="n">
        <v>75</v>
      </c>
      <c r="C518" s="7" t="n">
        <v>5</v>
      </c>
      <c r="D518" s="7" t="n">
        <v>0.0667</v>
      </c>
      <c r="E518" s="7" t="n">
        <v>0.0288</v>
      </c>
      <c r="F518" s="8" t="inlineStr">
        <is>
          <t>Low</t>
        </is>
      </c>
      <c r="G518" s="8" t="inlineStr">
        <is>
          <t>Low</t>
        </is>
      </c>
      <c r="H518">
        <f>IF(F518=G518,"YES","NO")</f>
        <v/>
      </c>
    </row>
    <row r="519">
      <c r="A519" s="6" t="inlineStr">
        <is>
          <t>Callen Farrell</t>
        </is>
      </c>
      <c r="B519" s="7" t="n">
        <v>68</v>
      </c>
      <c r="C519" s="7" t="n">
        <v>0</v>
      </c>
      <c r="D519" s="7" t="n">
        <v>0</v>
      </c>
      <c r="E519" s="7" t="n">
        <v>0</v>
      </c>
      <c r="F519" s="8" t="inlineStr">
        <is>
          <t>Low</t>
        </is>
      </c>
      <c r="G519" s="8" t="inlineStr">
        <is>
          <t>Low</t>
        </is>
      </c>
      <c r="H519">
        <f>IF(F519=G519,"YES","NO")</f>
        <v/>
      </c>
    </row>
    <row r="520">
      <c r="A520" s="6" t="inlineStr">
        <is>
          <t>Calvin Pollard</t>
        </is>
      </c>
      <c r="B520" s="7" t="n">
        <v>136</v>
      </c>
      <c r="C520" s="7" t="n">
        <v>6</v>
      </c>
      <c r="D520" s="7" t="n">
        <v>0.0441</v>
      </c>
      <c r="E520" s="7" t="n">
        <v>0.0204</v>
      </c>
      <c r="F520" s="8" t="inlineStr">
        <is>
          <t>Low</t>
        </is>
      </c>
      <c r="G520" s="8" t="inlineStr">
        <is>
          <t>Low</t>
        </is>
      </c>
      <c r="H520">
        <f>IF(F520=G520,"YES","NO")</f>
        <v/>
      </c>
    </row>
    <row r="521">
      <c r="A521" s="6" t="inlineStr">
        <is>
          <t>Calvin White</t>
        </is>
      </c>
      <c r="B521" s="7" t="n">
        <v>6</v>
      </c>
      <c r="C521" s="7" t="n">
        <v>0</v>
      </c>
      <c r="D521" s="7" t="n">
        <v>0</v>
      </c>
      <c r="E521" s="7" t="n">
        <v>0</v>
      </c>
      <c r="F521" s="8" t="inlineStr">
        <is>
          <t>Low</t>
        </is>
      </c>
      <c r="G521" s="8" t="inlineStr">
        <is>
          <t>Low</t>
        </is>
      </c>
      <c r="H521">
        <f>IF(F521=G521,"YES","NO")</f>
        <v/>
      </c>
    </row>
    <row r="522">
      <c r="A522" s="6" t="inlineStr">
        <is>
          <t>Cameron Foland-Romero</t>
        </is>
      </c>
      <c r="B522" s="7" t="n">
        <v>5</v>
      </c>
      <c r="C522" s="7" t="n">
        <v>0</v>
      </c>
      <c r="D522" s="7" t="n">
        <v>0</v>
      </c>
      <c r="E522" s="7" t="n">
        <v>0</v>
      </c>
      <c r="F522" s="8" t="inlineStr">
        <is>
          <t>Low</t>
        </is>
      </c>
      <c r="G522" s="8" t="inlineStr">
        <is>
          <t>Low</t>
        </is>
      </c>
      <c r="H522">
        <f>IF(F522=G522,"YES","NO")</f>
        <v/>
      </c>
    </row>
    <row r="523">
      <c r="A523" s="6" t="inlineStr">
        <is>
          <t>Cameron Hansen</t>
        </is>
      </c>
      <c r="B523" s="7" t="n">
        <v>16</v>
      </c>
      <c r="C523" s="7" t="n">
        <v>2</v>
      </c>
      <c r="D523" s="7" t="n">
        <v>0.125</v>
      </c>
      <c r="E523" s="7" t="n">
        <v>0.035</v>
      </c>
      <c r="F523" s="8" t="inlineStr">
        <is>
          <t>Low</t>
        </is>
      </c>
      <c r="G523" s="8" t="inlineStr">
        <is>
          <t>Low</t>
        </is>
      </c>
      <c r="H523">
        <f>IF(F523=G523,"YES","NO")</f>
        <v/>
      </c>
    </row>
    <row r="524">
      <c r="A524" s="6" t="inlineStr">
        <is>
          <t>Cameron Miller</t>
        </is>
      </c>
      <c r="B524" s="7" t="n">
        <v>6</v>
      </c>
      <c r="C524" s="7" t="n">
        <v>1</v>
      </c>
      <c r="D524" s="7" t="n">
        <v>0.1667</v>
      </c>
      <c r="E524" s="7" t="n">
        <v>0.0301</v>
      </c>
      <c r="F524" s="8" t="inlineStr">
        <is>
          <t>Low</t>
        </is>
      </c>
      <c r="G524" s="8" t="inlineStr">
        <is>
          <t>Low</t>
        </is>
      </c>
      <c r="H524">
        <f>IF(F524=G524,"YES","NO")</f>
        <v/>
      </c>
    </row>
    <row r="525">
      <c r="A525" s="6" t="inlineStr">
        <is>
          <t>Cameron Stewart</t>
        </is>
      </c>
      <c r="B525" s="7" t="n">
        <v>348</v>
      </c>
      <c r="C525" s="7" t="n">
        <v>0</v>
      </c>
      <c r="D525" s="7" t="n">
        <v>0</v>
      </c>
      <c r="E525" s="7" t="n">
        <v>0</v>
      </c>
      <c r="F525" s="8" t="inlineStr">
        <is>
          <t>Low</t>
        </is>
      </c>
      <c r="G525" s="8" t="inlineStr">
        <is>
          <t>Low</t>
        </is>
      </c>
      <c r="H525">
        <f>IF(F525=G525,"YES","NO")</f>
        <v/>
      </c>
    </row>
    <row r="526">
      <c r="A526" s="6" t="inlineStr">
        <is>
          <t>Camille Bechade</t>
        </is>
      </c>
      <c r="B526" s="7" t="n">
        <v>1</v>
      </c>
      <c r="C526" s="7" t="n">
        <v>0</v>
      </c>
      <c r="D526" s="7" t="n">
        <v>0</v>
      </c>
      <c r="E526" s="7" t="n">
        <v>0</v>
      </c>
      <c r="F526" s="8" t="inlineStr">
        <is>
          <t>Low</t>
        </is>
      </c>
      <c r="G526" s="8" t="inlineStr">
        <is>
          <t>Low</t>
        </is>
      </c>
      <c r="H526">
        <f>IF(F526=G526,"YES","NO")</f>
        <v/>
      </c>
    </row>
    <row r="527">
      <c r="A527" s="6" t="inlineStr">
        <is>
          <t>Cardon Kempton</t>
        </is>
      </c>
      <c r="B527" s="7" t="n">
        <v>13</v>
      </c>
      <c r="C527" s="7" t="n">
        <v>1</v>
      </c>
      <c r="D527" s="7" t="n">
        <v>0.0769</v>
      </c>
      <c r="E527" s="7" t="n">
        <v>0.0137</v>
      </c>
      <c r="F527" s="8" t="inlineStr">
        <is>
          <t>Low</t>
        </is>
      </c>
      <c r="G527" s="8" t="inlineStr">
        <is>
          <t>Low</t>
        </is>
      </c>
      <c r="H527">
        <f>IF(F527=G527,"YES","NO")</f>
        <v/>
      </c>
    </row>
    <row r="528">
      <c r="A528" s="6" t="inlineStr">
        <is>
          <t>Carissa Brandon</t>
        </is>
      </c>
      <c r="B528" s="7" t="n">
        <v>3</v>
      </c>
      <c r="C528" s="7" t="n">
        <v>0</v>
      </c>
      <c r="D528" s="7" t="n">
        <v>0</v>
      </c>
      <c r="E528" s="7" t="n">
        <v>0</v>
      </c>
      <c r="F528" s="8" t="inlineStr">
        <is>
          <t>Low</t>
        </is>
      </c>
      <c r="G528" s="8" t="inlineStr">
        <is>
          <t>Low</t>
        </is>
      </c>
      <c r="H528">
        <f>IF(F528=G528,"YES","NO")</f>
        <v/>
      </c>
    </row>
    <row r="529">
      <c r="A529" s="6" t="inlineStr">
        <is>
          <t>Carl  Spaleny</t>
        </is>
      </c>
      <c r="B529" s="7" t="n">
        <v>15</v>
      </c>
      <c r="C529" s="7" t="n">
        <v>0</v>
      </c>
      <c r="D529" s="7" t="n">
        <v>0</v>
      </c>
      <c r="E529" s="7" t="n">
        <v>0</v>
      </c>
      <c r="F529" s="8" t="inlineStr">
        <is>
          <t>Low</t>
        </is>
      </c>
      <c r="G529" s="8" t="inlineStr">
        <is>
          <t>Low</t>
        </is>
      </c>
      <c r="H529">
        <f>IF(F529=G529,"YES","NO")</f>
        <v/>
      </c>
    </row>
    <row r="530">
      <c r="A530" s="6" t="inlineStr">
        <is>
          <t>Carl Kelley</t>
        </is>
      </c>
      <c r="B530" s="7" t="n">
        <v>12</v>
      </c>
      <c r="C530" s="7" t="n">
        <v>0</v>
      </c>
      <c r="D530" s="7" t="n">
        <v>0</v>
      </c>
      <c r="E530" s="7" t="n">
        <v>0</v>
      </c>
      <c r="F530" s="8" t="inlineStr">
        <is>
          <t>Low</t>
        </is>
      </c>
      <c r="G530" s="8" t="inlineStr">
        <is>
          <t>Low</t>
        </is>
      </c>
      <c r="H530">
        <f>IF(F530=G530,"YES","NO")</f>
        <v/>
      </c>
    </row>
    <row r="531">
      <c r="A531" s="6" t="inlineStr">
        <is>
          <t>Carlos Hernandez</t>
        </is>
      </c>
      <c r="B531" s="7" t="n">
        <v>93</v>
      </c>
      <c r="C531" s="7" t="n">
        <v>2</v>
      </c>
      <c r="D531" s="7" t="n">
        <v>0.0215</v>
      </c>
      <c r="E531" s="7" t="n">
        <v>0.0059</v>
      </c>
      <c r="F531" s="8" t="inlineStr">
        <is>
          <t>Low</t>
        </is>
      </c>
      <c r="G531" s="8" t="inlineStr">
        <is>
          <t>Low</t>
        </is>
      </c>
      <c r="H531">
        <f>IF(F531=G531,"YES","NO")</f>
        <v/>
      </c>
    </row>
    <row r="532">
      <c r="A532" s="6" t="inlineStr">
        <is>
          <t>Carlos Silva</t>
        </is>
      </c>
      <c r="B532" s="7" t="n">
        <v>4</v>
      </c>
      <c r="C532" s="7" t="n">
        <v>0</v>
      </c>
      <c r="D532" s="7" t="n">
        <v>0</v>
      </c>
      <c r="E532" s="7" t="n">
        <v>0</v>
      </c>
      <c r="F532" s="8" t="inlineStr">
        <is>
          <t>Low</t>
        </is>
      </c>
      <c r="G532" s="8" t="inlineStr">
        <is>
          <t>Low</t>
        </is>
      </c>
      <c r="H532">
        <f>IF(F532=G532,"YES","NO")</f>
        <v/>
      </c>
    </row>
    <row r="533">
      <c r="A533" s="6" t="inlineStr">
        <is>
          <t>Carlos Villa</t>
        </is>
      </c>
      <c r="B533" s="7" t="n">
        <v>22</v>
      </c>
      <c r="C533" s="7" t="n">
        <v>1</v>
      </c>
      <c r="D533" s="7" t="n">
        <v>0.0455</v>
      </c>
      <c r="E533" s="7" t="n">
        <v>0.0081</v>
      </c>
      <c r="F533" s="8" t="inlineStr">
        <is>
          <t>Low</t>
        </is>
      </c>
      <c r="G533" s="8" t="inlineStr">
        <is>
          <t>Low</t>
        </is>
      </c>
      <c r="H533">
        <f>IF(F533=G533,"YES","NO")</f>
        <v/>
      </c>
    </row>
    <row r="534">
      <c r="A534" s="6" t="inlineStr">
        <is>
          <t>Carly  Sullivan</t>
        </is>
      </c>
      <c r="B534" s="7" t="n">
        <v>23</v>
      </c>
      <c r="C534" s="7" t="n">
        <v>3</v>
      </c>
      <c r="D534" s="7" t="n">
        <v>0.1304</v>
      </c>
      <c r="E534" s="7" t="n">
        <v>0.0454</v>
      </c>
      <c r="F534" s="8" t="inlineStr">
        <is>
          <t>Low</t>
        </is>
      </c>
      <c r="G534" s="8" t="inlineStr">
        <is>
          <t>Low</t>
        </is>
      </c>
      <c r="H534">
        <f>IF(F534=G534,"YES","NO")</f>
        <v/>
      </c>
    </row>
    <row r="535">
      <c r="A535" s="6" t="inlineStr">
        <is>
          <t>Carmen Sharp</t>
        </is>
      </c>
      <c r="B535" s="7" t="n">
        <v>4</v>
      </c>
      <c r="C535" s="7" t="n">
        <v>0</v>
      </c>
      <c r="D535" s="7" t="n">
        <v>0</v>
      </c>
      <c r="E535" s="7" t="n">
        <v>0</v>
      </c>
      <c r="F535" s="8" t="inlineStr">
        <is>
          <t>Low</t>
        </is>
      </c>
      <c r="G535" s="8" t="inlineStr">
        <is>
          <t>Low</t>
        </is>
      </c>
      <c r="H535">
        <f>IF(F535=G535,"YES","NO")</f>
        <v/>
      </c>
    </row>
    <row r="536">
      <c r="A536" s="6" t="inlineStr">
        <is>
          <t>Carol Ocampo</t>
        </is>
      </c>
      <c r="B536" s="7" t="n">
        <v>113</v>
      </c>
      <c r="C536" s="7" t="n">
        <v>18</v>
      </c>
      <c r="D536" s="7" t="n">
        <v>0.1593</v>
      </c>
      <c r="E536" s="7" t="n">
        <v>0.1032</v>
      </c>
      <c r="F536" s="8" t="inlineStr">
        <is>
          <t>Low</t>
        </is>
      </c>
      <c r="G536" s="8" t="inlineStr">
        <is>
          <t>Low</t>
        </is>
      </c>
      <c r="H536">
        <f>IF(F536=G536,"YES","NO")</f>
        <v/>
      </c>
    </row>
    <row r="537">
      <c r="A537" s="6" t="inlineStr">
        <is>
          <t>Carole Palazzo</t>
        </is>
      </c>
      <c r="B537" s="7" t="n">
        <v>489</v>
      </c>
      <c r="C537" s="7" t="n">
        <v>3</v>
      </c>
      <c r="D537" s="7" t="n">
        <v>0.0061</v>
      </c>
      <c r="E537" s="7" t="n">
        <v>0.0021</v>
      </c>
      <c r="F537" s="8" t="inlineStr">
        <is>
          <t>Low</t>
        </is>
      </c>
      <c r="G537" s="8" t="inlineStr">
        <is>
          <t>Low</t>
        </is>
      </c>
      <c r="H537">
        <f>IF(F537=G537,"YES","NO")</f>
        <v/>
      </c>
    </row>
    <row r="538">
      <c r="A538" s="6" t="inlineStr">
        <is>
          <t>Carrie Despot</t>
        </is>
      </c>
      <c r="B538" s="7" t="n">
        <v>71</v>
      </c>
      <c r="C538" s="7" t="n">
        <v>0</v>
      </c>
      <c r="D538" s="7" t="n">
        <v>0</v>
      </c>
      <c r="E538" s="7" t="n">
        <v>0</v>
      </c>
      <c r="F538" s="8" t="inlineStr">
        <is>
          <t>Low</t>
        </is>
      </c>
      <c r="G538" s="8" t="inlineStr">
        <is>
          <t>Low</t>
        </is>
      </c>
      <c r="H538">
        <f>IF(F538=G538,"YES","NO")</f>
        <v/>
      </c>
    </row>
    <row r="539">
      <c r="A539" s="6" t="inlineStr">
        <is>
          <t>Carrie Steeger</t>
        </is>
      </c>
      <c r="B539" s="7" t="n">
        <v>24</v>
      </c>
      <c r="C539" s="7" t="n">
        <v>1</v>
      </c>
      <c r="D539" s="7" t="n">
        <v>0.0417</v>
      </c>
      <c r="E539" s="7" t="n">
        <v>0.0074</v>
      </c>
      <c r="F539" s="8" t="inlineStr">
        <is>
          <t>Low</t>
        </is>
      </c>
      <c r="G539" s="8" t="inlineStr">
        <is>
          <t>Low</t>
        </is>
      </c>
      <c r="H539">
        <f>IF(F539=G539,"YES","NO")</f>
        <v/>
      </c>
    </row>
    <row r="540">
      <c r="A540" s="6" t="inlineStr">
        <is>
          <t>Carson Holley</t>
        </is>
      </c>
      <c r="B540" s="7" t="n">
        <v>11</v>
      </c>
      <c r="C540" s="7" t="n">
        <v>0</v>
      </c>
      <c r="D540" s="7" t="n">
        <v>0</v>
      </c>
      <c r="E540" s="7" t="n">
        <v>0</v>
      </c>
      <c r="F540" s="8" t="inlineStr">
        <is>
          <t>Low</t>
        </is>
      </c>
      <c r="G540" s="8" t="inlineStr">
        <is>
          <t>Low</t>
        </is>
      </c>
      <c r="H540">
        <f>IF(F540=G540,"YES","NO")</f>
        <v/>
      </c>
    </row>
    <row r="541">
      <c r="A541" s="6" t="inlineStr">
        <is>
          <t>Carson KinKade</t>
        </is>
      </c>
      <c r="B541" s="7" t="n">
        <v>63</v>
      </c>
      <c r="C541" s="7" t="n">
        <v>11</v>
      </c>
      <c r="D541" s="7" t="n">
        <v>0.1746</v>
      </c>
      <c r="E541" s="7" t="n">
        <v>0.1004</v>
      </c>
      <c r="F541" s="8" t="inlineStr">
        <is>
          <t>Low</t>
        </is>
      </c>
      <c r="G541" s="8" t="inlineStr">
        <is>
          <t>Low</t>
        </is>
      </c>
      <c r="H541">
        <f>IF(F541=G541,"YES","NO")</f>
        <v/>
      </c>
    </row>
    <row r="542">
      <c r="A542" s="6" t="inlineStr">
        <is>
          <t>Carter Leong</t>
        </is>
      </c>
      <c r="B542" s="7" t="n">
        <v>9</v>
      </c>
      <c r="C542" s="7" t="n">
        <v>1</v>
      </c>
      <c r="D542" s="7" t="n">
        <v>0.1111</v>
      </c>
      <c r="E542" s="7" t="n">
        <v>0.0199</v>
      </c>
      <c r="F542" s="8" t="inlineStr">
        <is>
          <t>Low</t>
        </is>
      </c>
      <c r="G542" s="8" t="inlineStr">
        <is>
          <t>Low</t>
        </is>
      </c>
      <c r="H542">
        <f>IF(F542=G542,"YES","NO")</f>
        <v/>
      </c>
    </row>
    <row r="543">
      <c r="A543" s="6" t="inlineStr">
        <is>
          <t>Casey Beck</t>
        </is>
      </c>
      <c r="B543" s="7" t="n">
        <v>10</v>
      </c>
      <c r="C543" s="7" t="n">
        <v>0</v>
      </c>
      <c r="D543" s="7" t="n">
        <v>0</v>
      </c>
      <c r="E543" s="7" t="n">
        <v>0</v>
      </c>
      <c r="F543" s="8" t="inlineStr">
        <is>
          <t>Low</t>
        </is>
      </c>
      <c r="G543" s="8" t="inlineStr">
        <is>
          <t>Low</t>
        </is>
      </c>
      <c r="H543">
        <f>IF(F543=G543,"YES","NO")</f>
        <v/>
      </c>
    </row>
    <row r="544">
      <c r="A544" s="6" t="inlineStr">
        <is>
          <t>Casey Hungerford</t>
        </is>
      </c>
      <c r="B544" s="7" t="n">
        <v>15</v>
      </c>
      <c r="C544" s="7" t="n">
        <v>0</v>
      </c>
      <c r="D544" s="7" t="n">
        <v>0</v>
      </c>
      <c r="E544" s="7" t="n">
        <v>0</v>
      </c>
      <c r="F544" s="8" t="inlineStr">
        <is>
          <t>Low</t>
        </is>
      </c>
      <c r="G544" s="8" t="inlineStr">
        <is>
          <t>Low</t>
        </is>
      </c>
      <c r="H544">
        <f>IF(F544=G544,"YES","NO")</f>
        <v/>
      </c>
    </row>
    <row r="545">
      <c r="A545" s="6" t="inlineStr">
        <is>
          <t>Casey Jones</t>
        </is>
      </c>
      <c r="B545" s="7" t="n">
        <v>37</v>
      </c>
      <c r="C545" s="7" t="n">
        <v>0</v>
      </c>
      <c r="D545" s="7" t="n">
        <v>0</v>
      </c>
      <c r="E545" s="7" t="n">
        <v>0</v>
      </c>
      <c r="F545" s="8" t="inlineStr">
        <is>
          <t>Low</t>
        </is>
      </c>
      <c r="G545" s="8" t="inlineStr">
        <is>
          <t>Low</t>
        </is>
      </c>
      <c r="H545">
        <f>IF(F545=G545,"YES","NO")</f>
        <v/>
      </c>
    </row>
    <row r="546">
      <c r="A546" s="6" t="inlineStr">
        <is>
          <t>Cash Rabinowitch</t>
        </is>
      </c>
      <c r="B546" s="7" t="n">
        <v>56</v>
      </c>
      <c r="C546" s="7" t="n">
        <v>0</v>
      </c>
      <c r="D546" s="7" t="n">
        <v>0</v>
      </c>
      <c r="E546" s="7" t="n">
        <v>0</v>
      </c>
      <c r="F546" s="8" t="inlineStr">
        <is>
          <t>Low</t>
        </is>
      </c>
      <c r="G546" s="8" t="inlineStr">
        <is>
          <t>Low</t>
        </is>
      </c>
      <c r="H546">
        <f>IF(F546=G546,"YES","NO")</f>
        <v/>
      </c>
    </row>
    <row r="547">
      <c r="A547" s="6" t="inlineStr">
        <is>
          <t>Cathy Miles</t>
        </is>
      </c>
      <c r="B547" s="7" t="n">
        <v>31</v>
      </c>
      <c r="C547" s="7" t="n">
        <v>0</v>
      </c>
      <c r="D547" s="7" t="n">
        <v>0</v>
      </c>
      <c r="E547" s="7" t="n">
        <v>0</v>
      </c>
      <c r="F547" s="8" t="inlineStr">
        <is>
          <t>Low</t>
        </is>
      </c>
      <c r="G547" s="8" t="inlineStr">
        <is>
          <t>Low</t>
        </is>
      </c>
      <c r="H547">
        <f>IF(F547=G547,"YES","NO")</f>
        <v/>
      </c>
    </row>
    <row r="548">
      <c r="A548" s="6" t="inlineStr">
        <is>
          <t>Caulin Bakalarski</t>
        </is>
      </c>
      <c r="B548" s="7" t="n">
        <v>306</v>
      </c>
      <c r="C548" s="7" t="n">
        <v>19</v>
      </c>
      <c r="D548" s="7" t="n">
        <v>0.0621</v>
      </c>
      <c r="E548" s="7" t="n">
        <v>0.0401</v>
      </c>
      <c r="F548" s="8" t="inlineStr">
        <is>
          <t>Low</t>
        </is>
      </c>
      <c r="G548" s="8" t="inlineStr">
        <is>
          <t>Low</t>
        </is>
      </c>
      <c r="H548">
        <f>IF(F548=G548,"YES","NO")</f>
        <v/>
      </c>
    </row>
    <row r="549">
      <c r="A549" s="6" t="inlineStr">
        <is>
          <t>Cecil  Mills</t>
        </is>
      </c>
      <c r="B549" s="7" t="n">
        <v>4</v>
      </c>
      <c r="C549" s="7" t="n">
        <v>0</v>
      </c>
      <c r="D549" s="7" t="n">
        <v>0</v>
      </c>
      <c r="E549" s="7" t="n">
        <v>0</v>
      </c>
      <c r="F549" s="8" t="inlineStr">
        <is>
          <t>Low</t>
        </is>
      </c>
      <c r="G549" s="8" t="inlineStr">
        <is>
          <t>Low</t>
        </is>
      </c>
      <c r="H549">
        <f>IF(F549=G549,"YES","NO")</f>
        <v/>
      </c>
    </row>
    <row r="550">
      <c r="A550" s="6" t="inlineStr">
        <is>
          <t>Chad Boudon</t>
        </is>
      </c>
      <c r="B550" s="7" t="n">
        <v>143</v>
      </c>
      <c r="C550" s="7" t="n">
        <v>6</v>
      </c>
      <c r="D550" s="7" t="n">
        <v>0.042</v>
      </c>
      <c r="E550" s="7" t="n">
        <v>0.0194</v>
      </c>
      <c r="F550" s="8" t="inlineStr">
        <is>
          <t>Low</t>
        </is>
      </c>
      <c r="G550" s="8" t="inlineStr">
        <is>
          <t>Low</t>
        </is>
      </c>
      <c r="H550">
        <f>IF(F550=G550,"YES","NO")</f>
        <v/>
      </c>
    </row>
    <row r="551">
      <c r="A551" s="6" t="inlineStr">
        <is>
          <t>Chad Dorow</t>
        </is>
      </c>
      <c r="B551" s="7" t="n">
        <v>8</v>
      </c>
      <c r="C551" s="7" t="n">
        <v>0</v>
      </c>
      <c r="D551" s="7" t="n">
        <v>0</v>
      </c>
      <c r="E551" s="7" t="n">
        <v>0</v>
      </c>
      <c r="F551" s="8" t="inlineStr">
        <is>
          <t>Low</t>
        </is>
      </c>
      <c r="G551" s="8" t="inlineStr">
        <is>
          <t>High</t>
        </is>
      </c>
      <c r="H551">
        <f>IF(F551=G551,"YES","NO")</f>
        <v/>
      </c>
    </row>
    <row r="552">
      <c r="A552" s="6" t="inlineStr">
        <is>
          <t>Chad Gilmet</t>
        </is>
      </c>
      <c r="B552" s="7" t="n">
        <v>4</v>
      </c>
      <c r="C552" s="7" t="n">
        <v>0</v>
      </c>
      <c r="D552" s="7" t="n">
        <v>0</v>
      </c>
      <c r="E552" s="7" t="n">
        <v>0</v>
      </c>
      <c r="F552" s="8" t="inlineStr">
        <is>
          <t>Low</t>
        </is>
      </c>
      <c r="G552" s="8" t="inlineStr">
        <is>
          <t>Medium</t>
        </is>
      </c>
      <c r="H552">
        <f>IF(F552=G552,"YES","NO")</f>
        <v/>
      </c>
    </row>
    <row r="553">
      <c r="A553" s="6" t="inlineStr">
        <is>
          <t>Chad Hayes</t>
        </is>
      </c>
      <c r="B553" s="7" t="n">
        <v>169</v>
      </c>
      <c r="C553" s="7" t="n">
        <v>2</v>
      </c>
      <c r="D553" s="7" t="n">
        <v>0.0118</v>
      </c>
      <c r="E553" s="7" t="n">
        <v>0.0033</v>
      </c>
      <c r="F553" s="8" t="inlineStr">
        <is>
          <t>Low</t>
        </is>
      </c>
      <c r="G553" s="8" t="inlineStr">
        <is>
          <t>Low</t>
        </is>
      </c>
      <c r="H553">
        <f>IF(F553=G553,"YES","NO")</f>
        <v/>
      </c>
    </row>
    <row r="554">
      <c r="A554" s="6" t="inlineStr">
        <is>
          <t>Chad Pepper</t>
        </is>
      </c>
      <c r="B554" s="7" t="n">
        <v>27</v>
      </c>
      <c r="C554" s="7" t="n">
        <v>0</v>
      </c>
      <c r="D554" s="7" t="n">
        <v>0</v>
      </c>
      <c r="E554" s="7" t="n">
        <v>0</v>
      </c>
      <c r="F554" s="8" t="inlineStr">
        <is>
          <t>Low</t>
        </is>
      </c>
      <c r="G554" s="8" t="inlineStr">
        <is>
          <t>Low</t>
        </is>
      </c>
      <c r="H554">
        <f>IF(F554=G554,"YES","NO")</f>
        <v/>
      </c>
    </row>
    <row r="555">
      <c r="A555" s="6" t="inlineStr">
        <is>
          <t>Chad Vannauker</t>
        </is>
      </c>
      <c r="B555" s="7" t="n">
        <v>7</v>
      </c>
      <c r="C555" s="7" t="n">
        <v>0</v>
      </c>
      <c r="D555" s="7" t="n">
        <v>0</v>
      </c>
      <c r="E555" s="7" t="n">
        <v>0</v>
      </c>
      <c r="F555" s="8" t="inlineStr">
        <is>
          <t>Low</t>
        </is>
      </c>
      <c r="G555" s="8" t="inlineStr">
        <is>
          <t>Low</t>
        </is>
      </c>
      <c r="H555">
        <f>IF(F555=G555,"YES","NO")</f>
        <v/>
      </c>
    </row>
    <row r="556">
      <c r="A556" s="6" t="inlineStr">
        <is>
          <t>Chandler logsden</t>
        </is>
      </c>
      <c r="B556" s="7" t="n">
        <v>8</v>
      </c>
      <c r="C556" s="7" t="n">
        <v>1</v>
      </c>
      <c r="D556" s="7" t="n">
        <v>0.125</v>
      </c>
      <c r="E556" s="7" t="n">
        <v>0.0224</v>
      </c>
      <c r="F556" s="8" t="inlineStr">
        <is>
          <t>Low</t>
        </is>
      </c>
      <c r="G556" s="8" t="inlineStr">
        <is>
          <t>Low</t>
        </is>
      </c>
      <c r="H556">
        <f>IF(F556=G556,"YES","NO")</f>
        <v/>
      </c>
    </row>
    <row r="557">
      <c r="A557" s="6" t="inlineStr">
        <is>
          <t>Chantal Belzile</t>
        </is>
      </c>
      <c r="B557" s="7" t="n">
        <v>1</v>
      </c>
      <c r="C557" s="7" t="n">
        <v>0</v>
      </c>
      <c r="D557" s="7" t="n">
        <v>0</v>
      </c>
      <c r="E557" s="7" t="n">
        <v>0</v>
      </c>
      <c r="F557" s="8" t="inlineStr">
        <is>
          <t>Low</t>
        </is>
      </c>
      <c r="G557" s="8" t="inlineStr">
        <is>
          <t>Low</t>
        </is>
      </c>
      <c r="H557">
        <f>IF(F557=G557,"YES","NO")</f>
        <v/>
      </c>
    </row>
    <row r="558">
      <c r="A558" s="6" t="inlineStr">
        <is>
          <t>Charles Alessi</t>
        </is>
      </c>
      <c r="B558" s="7" t="n">
        <v>127</v>
      </c>
      <c r="C558" s="7" t="n">
        <v>1</v>
      </c>
      <c r="D558" s="7" t="n">
        <v>0.007900000000000001</v>
      </c>
      <c r="E558" s="7" t="n">
        <v>0.0014</v>
      </c>
      <c r="F558" s="8" t="inlineStr">
        <is>
          <t>Low</t>
        </is>
      </c>
      <c r="G558" s="8" t="inlineStr">
        <is>
          <t>Low</t>
        </is>
      </c>
      <c r="H558">
        <f>IF(F558=G558,"YES","NO")</f>
        <v/>
      </c>
    </row>
    <row r="559">
      <c r="A559" s="6" t="inlineStr">
        <is>
          <t>Charles Ancona</t>
        </is>
      </c>
      <c r="B559" s="7" t="n">
        <v>9</v>
      </c>
      <c r="C559" s="7" t="n">
        <v>0</v>
      </c>
      <c r="D559" s="7" t="n">
        <v>0</v>
      </c>
      <c r="E559" s="7" t="n">
        <v>0</v>
      </c>
      <c r="F559" s="8" t="inlineStr">
        <is>
          <t>Low</t>
        </is>
      </c>
      <c r="G559" s="8" t="inlineStr">
        <is>
          <t>Low</t>
        </is>
      </c>
      <c r="H559">
        <f>IF(F559=G559,"YES","NO")</f>
        <v/>
      </c>
    </row>
    <row r="560">
      <c r="A560" s="6" t="inlineStr">
        <is>
          <t>Charles Fedorkowicz</t>
        </is>
      </c>
      <c r="B560" s="7" t="n">
        <v>297</v>
      </c>
      <c r="C560" s="7" t="n">
        <v>7</v>
      </c>
      <c r="D560" s="7" t="n">
        <v>0.0236</v>
      </c>
      <c r="E560" s="7" t="n">
        <v>0.0115</v>
      </c>
      <c r="F560" s="8" t="inlineStr">
        <is>
          <t>Low</t>
        </is>
      </c>
      <c r="G560" s="8" t="inlineStr">
        <is>
          <t>Low</t>
        </is>
      </c>
      <c r="H560">
        <f>IF(F560=G560,"YES","NO")</f>
        <v/>
      </c>
    </row>
    <row r="561">
      <c r="A561" s="6" t="inlineStr">
        <is>
          <t>Charles Hardage</t>
        </is>
      </c>
      <c r="B561" s="7" t="n">
        <v>2</v>
      </c>
      <c r="C561" s="7" t="n">
        <v>0</v>
      </c>
      <c r="D561" s="7" t="n">
        <v>0</v>
      </c>
      <c r="E561" s="7" t="n">
        <v>0</v>
      </c>
      <c r="F561" s="8" t="inlineStr">
        <is>
          <t>Low</t>
        </is>
      </c>
      <c r="G561" s="8" t="inlineStr">
        <is>
          <t>Low</t>
        </is>
      </c>
      <c r="H561">
        <f>IF(F561=G561,"YES","NO")</f>
        <v/>
      </c>
    </row>
    <row r="562">
      <c r="A562" s="6" t="inlineStr">
        <is>
          <t>Charles Hoffman</t>
        </is>
      </c>
      <c r="B562" s="7" t="n">
        <v>1</v>
      </c>
      <c r="C562" s="7" t="n">
        <v>0</v>
      </c>
      <c r="D562" s="7" t="n">
        <v>0</v>
      </c>
      <c r="E562" s="7" t="n">
        <v>0</v>
      </c>
      <c r="F562" s="8" t="inlineStr">
        <is>
          <t>Low</t>
        </is>
      </c>
      <c r="G562" s="8" t="inlineStr">
        <is>
          <t>Low</t>
        </is>
      </c>
      <c r="H562">
        <f>IF(F562=G562,"YES","NO")</f>
        <v/>
      </c>
    </row>
    <row r="563">
      <c r="A563" s="6" t="inlineStr">
        <is>
          <t>Charles Kirkwood</t>
        </is>
      </c>
      <c r="B563" s="7" t="n">
        <v>3</v>
      </c>
      <c r="C563" s="7" t="n">
        <v>0</v>
      </c>
      <c r="D563" s="7" t="n">
        <v>0</v>
      </c>
      <c r="E563" s="7" t="n">
        <v>0</v>
      </c>
      <c r="F563" s="8" t="inlineStr">
        <is>
          <t>Low</t>
        </is>
      </c>
      <c r="G563" s="8" t="inlineStr">
        <is>
          <t>Low</t>
        </is>
      </c>
      <c r="H563">
        <f>IF(F563=G563,"YES","NO")</f>
        <v/>
      </c>
    </row>
    <row r="564">
      <c r="A564" s="6" t="inlineStr">
        <is>
          <t>Charles Malloy</t>
        </is>
      </c>
      <c r="B564" s="7" t="n">
        <v>2</v>
      </c>
      <c r="C564" s="7" t="n">
        <v>0</v>
      </c>
      <c r="D564" s="7" t="n">
        <v>0</v>
      </c>
      <c r="E564" s="7" t="n">
        <v>0</v>
      </c>
      <c r="F564" s="8" t="inlineStr">
        <is>
          <t>Low</t>
        </is>
      </c>
      <c r="G564" s="8" t="inlineStr">
        <is>
          <t>Low</t>
        </is>
      </c>
      <c r="H564">
        <f>IF(F564=G564,"YES","NO")</f>
        <v/>
      </c>
    </row>
    <row r="565">
      <c r="A565" s="6" t="inlineStr">
        <is>
          <t>Charles Metz</t>
        </is>
      </c>
      <c r="B565" s="7" t="n">
        <v>68</v>
      </c>
      <c r="C565" s="7" t="n">
        <v>0</v>
      </c>
      <c r="D565" s="7" t="n">
        <v>0</v>
      </c>
      <c r="E565" s="7" t="n">
        <v>0</v>
      </c>
      <c r="F565" s="8" t="inlineStr">
        <is>
          <t>Low</t>
        </is>
      </c>
      <c r="G565" s="8" t="inlineStr">
        <is>
          <t>Low</t>
        </is>
      </c>
      <c r="H565">
        <f>IF(F565=G565,"YES","NO")</f>
        <v/>
      </c>
    </row>
    <row r="566">
      <c r="A566" s="6" t="inlineStr">
        <is>
          <t>Charles Porter</t>
        </is>
      </c>
      <c r="B566" s="7" t="n">
        <v>5</v>
      </c>
      <c r="C566" s="7" t="n">
        <v>0</v>
      </c>
      <c r="D566" s="7" t="n">
        <v>0</v>
      </c>
      <c r="E566" s="7" t="n">
        <v>0</v>
      </c>
      <c r="F566" s="8" t="inlineStr">
        <is>
          <t>Low</t>
        </is>
      </c>
      <c r="G566" s="8" t="inlineStr">
        <is>
          <t>Low</t>
        </is>
      </c>
      <c r="H566">
        <f>IF(F566=G566,"YES","NO")</f>
        <v/>
      </c>
    </row>
    <row r="567">
      <c r="A567" s="6" t="inlineStr">
        <is>
          <t>Charles Sharman</t>
        </is>
      </c>
      <c r="B567" s="7" t="n">
        <v>21</v>
      </c>
      <c r="C567" s="7" t="n">
        <v>0</v>
      </c>
      <c r="D567" s="7" t="n">
        <v>0</v>
      </c>
      <c r="E567" s="7" t="n">
        <v>0</v>
      </c>
      <c r="F567" s="8" t="inlineStr">
        <is>
          <t>Low</t>
        </is>
      </c>
      <c r="G567" s="8" t="inlineStr">
        <is>
          <t>Low</t>
        </is>
      </c>
      <c r="H567">
        <f>IF(F567=G567,"YES","NO")</f>
        <v/>
      </c>
    </row>
    <row r="568">
      <c r="A568" s="6" t="inlineStr">
        <is>
          <t>Charles Weaver</t>
        </is>
      </c>
      <c r="B568" s="7" t="n">
        <v>47</v>
      </c>
      <c r="C568" s="7" t="n">
        <v>0</v>
      </c>
      <c r="D568" s="7" t="n">
        <v>0</v>
      </c>
      <c r="E568" s="7" t="n">
        <v>0</v>
      </c>
      <c r="F568" s="8" t="inlineStr">
        <is>
          <t>Low</t>
        </is>
      </c>
      <c r="G568" s="8" t="inlineStr">
        <is>
          <t>Low</t>
        </is>
      </c>
      <c r="H568">
        <f>IF(F568=G568,"YES","NO")</f>
        <v/>
      </c>
    </row>
    <row r="569">
      <c r="A569" s="6" t="inlineStr">
        <is>
          <t>Charlie Axsom</t>
        </is>
      </c>
      <c r="B569" s="7" t="n">
        <v>2</v>
      </c>
      <c r="C569" s="7" t="n">
        <v>0</v>
      </c>
      <c r="D569" s="7" t="n">
        <v>0</v>
      </c>
      <c r="E569" s="7" t="n">
        <v>0</v>
      </c>
      <c r="F569" s="8" t="inlineStr">
        <is>
          <t>Low</t>
        </is>
      </c>
      <c r="G569" s="8" t="inlineStr">
        <is>
          <t>Low</t>
        </is>
      </c>
      <c r="H569">
        <f>IF(F569=G569,"YES","NO")</f>
        <v/>
      </c>
    </row>
    <row r="570">
      <c r="A570" s="6" t="inlineStr">
        <is>
          <t>Charlie Ellerbrock</t>
        </is>
      </c>
      <c r="B570" s="7" t="n">
        <v>190</v>
      </c>
      <c r="C570" s="7" t="n">
        <v>2</v>
      </c>
      <c r="D570" s="7" t="n">
        <v>0.0105</v>
      </c>
      <c r="E570" s="7" t="n">
        <v>0.0029</v>
      </c>
      <c r="F570" s="8" t="inlineStr">
        <is>
          <t>Low</t>
        </is>
      </c>
      <c r="G570" s="8" t="inlineStr">
        <is>
          <t>Low</t>
        </is>
      </c>
      <c r="H570">
        <f>IF(F570=G570,"YES","NO")</f>
        <v/>
      </c>
    </row>
    <row r="571">
      <c r="A571" s="6" t="inlineStr">
        <is>
          <t>Charlie Wu</t>
        </is>
      </c>
      <c r="B571" s="7" t="n">
        <v>1</v>
      </c>
      <c r="C571" s="7" t="n">
        <v>0</v>
      </c>
      <c r="D571" s="7" t="n">
        <v>0</v>
      </c>
      <c r="E571" s="7" t="n">
        <v>0</v>
      </c>
      <c r="F571" s="8" t="inlineStr">
        <is>
          <t>Low</t>
        </is>
      </c>
      <c r="G571" s="8" t="inlineStr">
        <is>
          <t>Low</t>
        </is>
      </c>
      <c r="H571">
        <f>IF(F571=G571,"YES","NO")</f>
        <v/>
      </c>
    </row>
    <row r="572">
      <c r="A572" s="6" t="inlineStr">
        <is>
          <t>Chase King</t>
        </is>
      </c>
      <c r="B572" s="7" t="n">
        <v>236</v>
      </c>
      <c r="C572" s="7" t="n">
        <v>2</v>
      </c>
      <c r="D572" s="7" t="n">
        <v>0.008500000000000001</v>
      </c>
      <c r="E572" s="7" t="n">
        <v>0.0023</v>
      </c>
      <c r="F572" s="8" t="inlineStr">
        <is>
          <t>Low</t>
        </is>
      </c>
      <c r="G572" s="8" t="inlineStr">
        <is>
          <t>Low</t>
        </is>
      </c>
      <c r="H572">
        <f>IF(F572=G572,"YES","NO")</f>
        <v/>
      </c>
    </row>
    <row r="573">
      <c r="A573" s="6" t="inlineStr">
        <is>
          <t>Cheri Bottorff</t>
        </is>
      </c>
      <c r="B573" s="7" t="n">
        <v>6</v>
      </c>
      <c r="C573" s="7" t="n">
        <v>1</v>
      </c>
      <c r="D573" s="7" t="n">
        <v>0.1667</v>
      </c>
      <c r="E573" s="7" t="n">
        <v>0.0301</v>
      </c>
      <c r="F573" s="8" t="inlineStr">
        <is>
          <t>Low</t>
        </is>
      </c>
      <c r="G573" s="8" t="inlineStr">
        <is>
          <t>High</t>
        </is>
      </c>
      <c r="H573">
        <f>IF(F573=G573,"YES","NO")</f>
        <v/>
      </c>
    </row>
    <row r="574">
      <c r="A574" s="6" t="inlineStr">
        <is>
          <t>Cheri Goldstein</t>
        </is>
      </c>
      <c r="B574" s="7" t="n">
        <v>355</v>
      </c>
      <c r="C574" s="7" t="n">
        <v>7</v>
      </c>
      <c r="D574" s="7" t="n">
        <v>0.0197</v>
      </c>
      <c r="E574" s="7" t="n">
        <v>0.009599999999999999</v>
      </c>
      <c r="F574" s="8" t="inlineStr">
        <is>
          <t>Low</t>
        </is>
      </c>
      <c r="G574" s="8" t="inlineStr">
        <is>
          <t>Low</t>
        </is>
      </c>
      <c r="H574">
        <f>IF(F574=G574,"YES","NO")</f>
        <v/>
      </c>
    </row>
    <row r="575">
      <c r="A575" s="6" t="inlineStr">
        <is>
          <t>Chevelle Allen</t>
        </is>
      </c>
      <c r="B575" s="7" t="n">
        <v>61</v>
      </c>
      <c r="C575" s="7" t="n">
        <v>0</v>
      </c>
      <c r="D575" s="7" t="n">
        <v>0</v>
      </c>
      <c r="E575" s="7" t="n">
        <v>0</v>
      </c>
      <c r="F575" s="8" t="inlineStr">
        <is>
          <t>Low</t>
        </is>
      </c>
      <c r="G575" s="8" t="inlineStr">
        <is>
          <t>Low</t>
        </is>
      </c>
      <c r="H575">
        <f>IF(F575=G575,"YES","NO")</f>
        <v/>
      </c>
    </row>
    <row r="576">
      <c r="A576" s="6" t="inlineStr">
        <is>
          <t>Chip Perry</t>
        </is>
      </c>
      <c r="B576" s="7" t="n">
        <v>20</v>
      </c>
      <c r="C576" s="7" t="n">
        <v>2</v>
      </c>
      <c r="D576" s="7" t="n">
        <v>0.1</v>
      </c>
      <c r="E576" s="7" t="n">
        <v>0.0279</v>
      </c>
      <c r="F576" s="8" t="inlineStr">
        <is>
          <t>Low</t>
        </is>
      </c>
      <c r="G576" s="8" t="inlineStr">
        <is>
          <t>Low</t>
        </is>
      </c>
      <c r="H576">
        <f>IF(F576=G576,"YES","NO")</f>
        <v/>
      </c>
    </row>
    <row r="577">
      <c r="A577" s="6" t="inlineStr">
        <is>
          <t>Chloe Kern</t>
        </is>
      </c>
      <c r="B577" s="7" t="n">
        <v>67</v>
      </c>
      <c r="C577" s="7" t="n">
        <v>7</v>
      </c>
      <c r="D577" s="7" t="n">
        <v>0.1045</v>
      </c>
      <c r="E577" s="7" t="n">
        <v>0.0515</v>
      </c>
      <c r="F577" s="8" t="inlineStr">
        <is>
          <t>Low</t>
        </is>
      </c>
      <c r="G577" s="8" t="inlineStr">
        <is>
          <t>Low</t>
        </is>
      </c>
      <c r="H577">
        <f>IF(F577=G577,"YES","NO")</f>
        <v/>
      </c>
    </row>
    <row r="578">
      <c r="A578" s="6" t="inlineStr">
        <is>
          <t>Chris  Howard</t>
        </is>
      </c>
      <c r="B578" s="7" t="n">
        <v>4</v>
      </c>
      <c r="C578" s="7" t="n">
        <v>0</v>
      </c>
      <c r="D578" s="7" t="n">
        <v>0</v>
      </c>
      <c r="E578" s="7" t="n">
        <v>0</v>
      </c>
      <c r="F578" s="8" t="inlineStr">
        <is>
          <t>Low</t>
        </is>
      </c>
      <c r="G578" s="8" t="inlineStr">
        <is>
          <t>Low</t>
        </is>
      </c>
      <c r="H578">
        <f>IF(F578=G578,"YES","NO")</f>
        <v/>
      </c>
    </row>
    <row r="579">
      <c r="A579" s="6" t="inlineStr">
        <is>
          <t>Chris  McDonald</t>
        </is>
      </c>
      <c r="B579" s="7" t="n">
        <v>3</v>
      </c>
      <c r="C579" s="7" t="n">
        <v>0</v>
      </c>
      <c r="D579" s="7" t="n">
        <v>0</v>
      </c>
      <c r="E579" s="7" t="n">
        <v>0</v>
      </c>
      <c r="F579" s="8" t="inlineStr">
        <is>
          <t>Low</t>
        </is>
      </c>
      <c r="G579" s="8" t="inlineStr">
        <is>
          <t>Low</t>
        </is>
      </c>
      <c r="H579">
        <f>IF(F579=G579,"YES","NO")</f>
        <v/>
      </c>
    </row>
    <row r="580">
      <c r="A580" s="6" t="inlineStr">
        <is>
          <t>Chris  McReynolds</t>
        </is>
      </c>
      <c r="B580" s="7" t="n">
        <v>401</v>
      </c>
      <c r="C580" s="7" t="n">
        <v>28</v>
      </c>
      <c r="D580" s="7" t="n">
        <v>0.0698</v>
      </c>
      <c r="E580" s="7" t="n">
        <v>0.0487</v>
      </c>
      <c r="F580" s="8" t="inlineStr">
        <is>
          <t>Low</t>
        </is>
      </c>
      <c r="G580" s="8" t="inlineStr">
        <is>
          <t>High</t>
        </is>
      </c>
      <c r="H580">
        <f>IF(F580=G580,"YES","NO")</f>
        <v/>
      </c>
    </row>
    <row r="581">
      <c r="A581" s="6" t="inlineStr">
        <is>
          <t>Chris Brazier</t>
        </is>
      </c>
      <c r="B581" s="7" t="n">
        <v>50</v>
      </c>
      <c r="C581" s="7" t="n">
        <v>0</v>
      </c>
      <c r="D581" s="7" t="n">
        <v>0</v>
      </c>
      <c r="E581" s="7" t="n">
        <v>0</v>
      </c>
      <c r="F581" s="8" t="inlineStr">
        <is>
          <t>Low</t>
        </is>
      </c>
      <c r="G581" s="8" t="inlineStr">
        <is>
          <t>Low</t>
        </is>
      </c>
      <c r="H581">
        <f>IF(F581=G581,"YES","NO")</f>
        <v/>
      </c>
    </row>
    <row r="582">
      <c r="A582" s="6" t="inlineStr">
        <is>
          <t>Chris Bush</t>
        </is>
      </c>
      <c r="B582" s="7" t="n">
        <v>50</v>
      </c>
      <c r="C582" s="7" t="n">
        <v>8</v>
      </c>
      <c r="D582" s="7" t="n">
        <v>0.16</v>
      </c>
      <c r="E582" s="7" t="n">
        <v>0.0834</v>
      </c>
      <c r="F582" s="8" t="inlineStr">
        <is>
          <t>Low</t>
        </is>
      </c>
      <c r="G582" s="8" t="inlineStr">
        <is>
          <t>Low</t>
        </is>
      </c>
      <c r="H582">
        <f>IF(F582=G582,"YES","NO")</f>
        <v/>
      </c>
    </row>
    <row r="583">
      <c r="A583" s="6" t="inlineStr">
        <is>
          <t>Chris Caswell</t>
        </is>
      </c>
      <c r="B583" s="7" t="n">
        <v>447</v>
      </c>
      <c r="C583" s="7" t="n">
        <v>1</v>
      </c>
      <c r="D583" s="7" t="n">
        <v>0.0022</v>
      </c>
      <c r="E583" s="7" t="n">
        <v>0.0004</v>
      </c>
      <c r="F583" s="8" t="inlineStr">
        <is>
          <t>Low</t>
        </is>
      </c>
      <c r="G583" s="8" t="inlineStr">
        <is>
          <t>Low</t>
        </is>
      </c>
      <c r="H583">
        <f>IF(F583=G583,"YES","NO")</f>
        <v/>
      </c>
    </row>
    <row r="584">
      <c r="A584" s="6" t="inlineStr">
        <is>
          <t>Chris Celecki</t>
        </is>
      </c>
      <c r="B584" s="7" t="n">
        <v>1</v>
      </c>
      <c r="C584" s="7" t="n">
        <v>0</v>
      </c>
      <c r="D584" s="7" t="n">
        <v>0</v>
      </c>
      <c r="E584" s="7" t="n">
        <v>0</v>
      </c>
      <c r="F584" s="8" t="inlineStr">
        <is>
          <t>Low</t>
        </is>
      </c>
      <c r="G584" s="8" t="inlineStr">
        <is>
          <t>Low</t>
        </is>
      </c>
      <c r="H584">
        <f>IF(F584=G584,"YES","NO")</f>
        <v/>
      </c>
    </row>
    <row r="585">
      <c r="A585" s="6" t="inlineStr">
        <is>
          <t>Chris Chambers</t>
        </is>
      </c>
      <c r="B585" s="7" t="n">
        <v>10</v>
      </c>
      <c r="C585" s="7" t="n">
        <v>0</v>
      </c>
      <c r="D585" s="7" t="n">
        <v>0</v>
      </c>
      <c r="E585" s="7" t="n">
        <v>0</v>
      </c>
      <c r="F585" s="8" t="inlineStr">
        <is>
          <t>Low</t>
        </is>
      </c>
      <c r="G585" s="8" t="inlineStr">
        <is>
          <t>Low</t>
        </is>
      </c>
      <c r="H585">
        <f>IF(F585=G585,"YES","NO")</f>
        <v/>
      </c>
    </row>
    <row r="586">
      <c r="A586" s="6" t="inlineStr">
        <is>
          <t>Chris Chaplin</t>
        </is>
      </c>
      <c r="B586" s="7" t="n">
        <v>4</v>
      </c>
      <c r="C586" s="7" t="n">
        <v>0</v>
      </c>
      <c r="D586" s="7" t="n">
        <v>0</v>
      </c>
      <c r="E586" s="7" t="n">
        <v>0</v>
      </c>
      <c r="F586" s="8" t="inlineStr">
        <is>
          <t>Low</t>
        </is>
      </c>
      <c r="G586" s="8" t="inlineStr">
        <is>
          <t>Low</t>
        </is>
      </c>
      <c r="H586">
        <f>IF(F586=G586,"YES","NO")</f>
        <v/>
      </c>
    </row>
    <row r="587">
      <c r="A587" s="6" t="inlineStr">
        <is>
          <t>Chris Cork</t>
        </is>
      </c>
      <c r="B587" s="7" t="n">
        <v>2</v>
      </c>
      <c r="C587" s="7" t="n">
        <v>0</v>
      </c>
      <c r="D587" s="7" t="n">
        <v>0</v>
      </c>
      <c r="E587" s="7" t="n">
        <v>0</v>
      </c>
      <c r="F587" s="8" t="inlineStr">
        <is>
          <t>Low</t>
        </is>
      </c>
      <c r="G587" s="8" t="inlineStr">
        <is>
          <t>Low</t>
        </is>
      </c>
      <c r="H587">
        <f>IF(F587=G587,"YES","NO")</f>
        <v/>
      </c>
    </row>
    <row r="588">
      <c r="A588" s="6" t="inlineStr">
        <is>
          <t>Chris Crockett</t>
        </is>
      </c>
      <c r="B588" s="7" t="n">
        <v>17</v>
      </c>
      <c r="C588" s="7" t="n">
        <v>1</v>
      </c>
      <c r="D588" s="7" t="n">
        <v>0.0588</v>
      </c>
      <c r="E588" s="7" t="n">
        <v>0.0105</v>
      </c>
      <c r="F588" s="8" t="inlineStr">
        <is>
          <t>Low</t>
        </is>
      </c>
      <c r="G588" s="8" t="inlineStr">
        <is>
          <t>Low</t>
        </is>
      </c>
      <c r="H588">
        <f>IF(F588=G588,"YES","NO")</f>
        <v/>
      </c>
    </row>
    <row r="589">
      <c r="A589" s="6" t="inlineStr">
        <is>
          <t>Chris Cronkhite</t>
        </is>
      </c>
      <c r="B589" s="7" t="n">
        <v>424</v>
      </c>
      <c r="C589" s="7" t="n">
        <v>32</v>
      </c>
      <c r="D589" s="7" t="n">
        <v>0.0755</v>
      </c>
      <c r="E589" s="7" t="n">
        <v>0.054</v>
      </c>
      <c r="F589" s="8" t="inlineStr">
        <is>
          <t>Low</t>
        </is>
      </c>
      <c r="G589" s="8" t="inlineStr">
        <is>
          <t>High</t>
        </is>
      </c>
      <c r="H589">
        <f>IF(F589=G589,"YES","NO")</f>
        <v/>
      </c>
    </row>
    <row r="590">
      <c r="A590" s="6" t="inlineStr">
        <is>
          <t>Chris Davis</t>
        </is>
      </c>
      <c r="B590" s="7" t="n">
        <v>345</v>
      </c>
      <c r="C590" s="7" t="n">
        <v>2</v>
      </c>
      <c r="D590" s="7" t="n">
        <v>0.0058</v>
      </c>
      <c r="E590" s="7" t="n">
        <v>0.0016</v>
      </c>
      <c r="F590" s="8" t="inlineStr">
        <is>
          <t>Low</t>
        </is>
      </c>
      <c r="G590" s="8" t="inlineStr">
        <is>
          <t>Low</t>
        </is>
      </c>
      <c r="H590">
        <f>IF(F590=G590,"YES","NO")</f>
        <v/>
      </c>
    </row>
    <row r="591">
      <c r="A591" s="6" t="inlineStr">
        <is>
          <t>Chris Evans</t>
        </is>
      </c>
      <c r="B591" s="7" t="n">
        <v>3</v>
      </c>
      <c r="C591" s="7" t="n">
        <v>0</v>
      </c>
      <c r="D591" s="7" t="n">
        <v>0</v>
      </c>
      <c r="E591" s="7" t="n">
        <v>0</v>
      </c>
      <c r="F591" s="8" t="inlineStr">
        <is>
          <t>Low</t>
        </is>
      </c>
      <c r="G591" s="8" t="inlineStr">
        <is>
          <t>Low</t>
        </is>
      </c>
      <c r="H591">
        <f>IF(F591=G591,"YES","NO")</f>
        <v/>
      </c>
    </row>
    <row r="592">
      <c r="A592" s="6" t="inlineStr">
        <is>
          <t>Chris Gutierrez</t>
        </is>
      </c>
      <c r="B592" s="7" t="n">
        <v>22</v>
      </c>
      <c r="C592" s="7" t="n">
        <v>2</v>
      </c>
      <c r="D592" s="7" t="n">
        <v>0.09089999999999999</v>
      </c>
      <c r="E592" s="7" t="n">
        <v>0.0253</v>
      </c>
      <c r="F592" s="8" t="inlineStr">
        <is>
          <t>Low</t>
        </is>
      </c>
      <c r="G592" s="8" t="inlineStr">
        <is>
          <t>Low</t>
        </is>
      </c>
      <c r="H592">
        <f>IF(F592=G592,"YES","NO")</f>
        <v/>
      </c>
    </row>
    <row r="593">
      <c r="A593" s="6" t="inlineStr">
        <is>
          <t>Chris Kugel</t>
        </is>
      </c>
      <c r="B593" s="7" t="n">
        <v>48</v>
      </c>
      <c r="C593" s="7" t="n">
        <v>8</v>
      </c>
      <c r="D593" s="7" t="n">
        <v>0.1667</v>
      </c>
      <c r="E593" s="7" t="n">
        <v>0.08699999999999999</v>
      </c>
      <c r="F593" s="8" t="inlineStr">
        <is>
          <t>Low</t>
        </is>
      </c>
      <c r="G593" s="8" t="inlineStr">
        <is>
          <t>Low</t>
        </is>
      </c>
      <c r="H593">
        <f>IF(F593=G593,"YES","NO")</f>
        <v/>
      </c>
    </row>
    <row r="594">
      <c r="A594" s="6" t="inlineStr">
        <is>
          <t>Chris Pomatto</t>
        </is>
      </c>
      <c r="B594" s="7" t="n">
        <v>1</v>
      </c>
      <c r="C594" s="7" t="n">
        <v>0</v>
      </c>
      <c r="D594" s="7" t="n">
        <v>0</v>
      </c>
      <c r="E594" s="7" t="n">
        <v>0</v>
      </c>
      <c r="F594" s="8" t="inlineStr">
        <is>
          <t>Low</t>
        </is>
      </c>
      <c r="G594" s="8" t="inlineStr">
        <is>
          <t>High</t>
        </is>
      </c>
      <c r="H594">
        <f>IF(F594=G594,"YES","NO")</f>
        <v/>
      </c>
    </row>
    <row r="595">
      <c r="A595" s="6" t="inlineStr">
        <is>
          <t>Chris Ranes</t>
        </is>
      </c>
      <c r="B595" s="7" t="n">
        <v>40</v>
      </c>
      <c r="C595" s="7" t="n">
        <v>3</v>
      </c>
      <c r="D595" s="7" t="n">
        <v>0.075</v>
      </c>
      <c r="E595" s="7" t="n">
        <v>0.0258</v>
      </c>
      <c r="F595" s="8" t="inlineStr">
        <is>
          <t>Low</t>
        </is>
      </c>
      <c r="G595" s="8" t="inlineStr">
        <is>
          <t>Low</t>
        </is>
      </c>
      <c r="H595">
        <f>IF(F595=G595,"YES","NO")</f>
        <v/>
      </c>
    </row>
    <row r="596">
      <c r="A596" s="6" t="inlineStr">
        <is>
          <t>Chris Reynolds</t>
        </is>
      </c>
      <c r="B596" s="7" t="n">
        <v>49</v>
      </c>
      <c r="C596" s="7" t="n">
        <v>0</v>
      </c>
      <c r="D596" s="7" t="n">
        <v>0</v>
      </c>
      <c r="E596" s="7" t="n">
        <v>0</v>
      </c>
      <c r="F596" s="8" t="inlineStr">
        <is>
          <t>Low</t>
        </is>
      </c>
      <c r="G596" s="8" t="inlineStr">
        <is>
          <t>Low</t>
        </is>
      </c>
      <c r="H596">
        <f>IF(F596=G596,"YES","NO")</f>
        <v/>
      </c>
    </row>
    <row r="597">
      <c r="A597" s="6" t="inlineStr">
        <is>
          <t>Chris Roll</t>
        </is>
      </c>
      <c r="B597" s="7" t="n">
        <v>209</v>
      </c>
      <c r="C597" s="7" t="n">
        <v>15</v>
      </c>
      <c r="D597" s="7" t="n">
        <v>0.0718</v>
      </c>
      <c r="E597" s="7" t="n">
        <v>0.044</v>
      </c>
      <c r="F597" s="8" t="inlineStr">
        <is>
          <t>Low</t>
        </is>
      </c>
      <c r="G597" s="8" t="inlineStr">
        <is>
          <t>Low</t>
        </is>
      </c>
      <c r="H597">
        <f>IF(F597=G597,"YES","NO")</f>
        <v/>
      </c>
    </row>
    <row r="598">
      <c r="A598" s="6" t="inlineStr">
        <is>
          <t>Chris Snow Hebel</t>
        </is>
      </c>
      <c r="B598" s="7" t="n">
        <v>20</v>
      </c>
      <c r="C598" s="7" t="n">
        <v>0</v>
      </c>
      <c r="D598" s="7" t="n">
        <v>0</v>
      </c>
      <c r="E598" s="7" t="n">
        <v>0</v>
      </c>
      <c r="F598" s="8" t="inlineStr">
        <is>
          <t>Low</t>
        </is>
      </c>
      <c r="G598" s="8" t="inlineStr">
        <is>
          <t>Low</t>
        </is>
      </c>
      <c r="H598">
        <f>IF(F598=G598,"YES","NO")</f>
        <v/>
      </c>
    </row>
    <row r="599">
      <c r="A599" s="6" t="inlineStr">
        <is>
          <t>Chris Wheeler</t>
        </is>
      </c>
      <c r="B599" s="7" t="n">
        <v>1</v>
      </c>
      <c r="C599" s="7" t="n">
        <v>0</v>
      </c>
      <c r="D599" s="7" t="n">
        <v>0</v>
      </c>
      <c r="E599" s="7" t="n">
        <v>0</v>
      </c>
      <c r="F599" s="8" t="inlineStr">
        <is>
          <t>Low</t>
        </is>
      </c>
      <c r="G599" s="8" t="inlineStr">
        <is>
          <t>Low</t>
        </is>
      </c>
      <c r="H599">
        <f>IF(F599=G599,"YES","NO")</f>
        <v/>
      </c>
    </row>
    <row r="600">
      <c r="A600" s="6" t="inlineStr">
        <is>
          <t>Chris Wilson</t>
        </is>
      </c>
      <c r="B600" s="7" t="n">
        <v>24</v>
      </c>
      <c r="C600" s="7" t="n">
        <v>4</v>
      </c>
      <c r="D600" s="7" t="n">
        <v>0.1667</v>
      </c>
      <c r="E600" s="7" t="n">
        <v>0.0668</v>
      </c>
      <c r="F600" s="8" t="inlineStr">
        <is>
          <t>Low</t>
        </is>
      </c>
      <c r="G600" s="8" t="inlineStr">
        <is>
          <t>High</t>
        </is>
      </c>
      <c r="H600">
        <f>IF(F600=G600,"YES","NO")</f>
        <v/>
      </c>
    </row>
    <row r="601">
      <c r="A601" s="6" t="inlineStr">
        <is>
          <t>Chris Wolfe</t>
        </is>
      </c>
      <c r="B601" s="7" t="n">
        <v>143</v>
      </c>
      <c r="C601" s="7" t="n">
        <v>22</v>
      </c>
      <c r="D601" s="7" t="n">
        <v>0.1538</v>
      </c>
      <c r="E601" s="7" t="n">
        <v>0.1038</v>
      </c>
      <c r="F601" s="8" t="inlineStr">
        <is>
          <t>Low</t>
        </is>
      </c>
      <c r="G601" s="8" t="inlineStr">
        <is>
          <t>Low</t>
        </is>
      </c>
      <c r="H601">
        <f>IF(F601=G601,"YES","NO")</f>
        <v/>
      </c>
    </row>
    <row r="602">
      <c r="A602" s="6" t="inlineStr">
        <is>
          <t>Chrissy Blankman</t>
        </is>
      </c>
      <c r="B602" s="7" t="n">
        <v>5</v>
      </c>
      <c r="C602" s="7" t="n">
        <v>0</v>
      </c>
      <c r="D602" s="7" t="n">
        <v>0</v>
      </c>
      <c r="E602" s="7" t="n">
        <v>0</v>
      </c>
      <c r="F602" s="8" t="inlineStr">
        <is>
          <t>Low</t>
        </is>
      </c>
      <c r="G602" s="8" t="inlineStr">
        <is>
          <t>Low</t>
        </is>
      </c>
      <c r="H602">
        <f>IF(F602=G602,"YES","NO")</f>
        <v/>
      </c>
    </row>
    <row r="603">
      <c r="A603" s="6" t="inlineStr">
        <is>
          <t>Christa Hamra</t>
        </is>
      </c>
      <c r="B603" s="7" t="n">
        <v>52</v>
      </c>
      <c r="C603" s="7" t="n">
        <v>2</v>
      </c>
      <c r="D603" s="7" t="n">
        <v>0.0385</v>
      </c>
      <c r="E603" s="7" t="n">
        <v>0.0106</v>
      </c>
      <c r="F603" s="8" t="inlineStr">
        <is>
          <t>Low</t>
        </is>
      </c>
      <c r="G603" s="8" t="inlineStr">
        <is>
          <t>Low</t>
        </is>
      </c>
      <c r="H603">
        <f>IF(F603=G603,"YES","NO")</f>
        <v/>
      </c>
    </row>
    <row r="604">
      <c r="A604" s="6" t="inlineStr">
        <is>
          <t>Christian Auriana</t>
        </is>
      </c>
      <c r="B604" s="7" t="n">
        <v>4</v>
      </c>
      <c r="C604" s="7" t="n">
        <v>0</v>
      </c>
      <c r="D604" s="7" t="n">
        <v>0</v>
      </c>
      <c r="E604" s="7" t="n">
        <v>0</v>
      </c>
      <c r="F604" s="8" t="inlineStr">
        <is>
          <t>Low</t>
        </is>
      </c>
      <c r="G604" s="8" t="inlineStr">
        <is>
          <t>Low</t>
        </is>
      </c>
      <c r="H604">
        <f>IF(F604=G604,"YES","NO")</f>
        <v/>
      </c>
    </row>
    <row r="605">
      <c r="A605" s="6" t="inlineStr">
        <is>
          <t>Christian Brown</t>
        </is>
      </c>
      <c r="B605" s="7" t="n">
        <v>61</v>
      </c>
      <c r="C605" s="7" t="n">
        <v>0</v>
      </c>
      <c r="D605" s="7" t="n">
        <v>0</v>
      </c>
      <c r="E605" s="7" t="n">
        <v>0</v>
      </c>
      <c r="F605" s="8" t="inlineStr">
        <is>
          <t>Low</t>
        </is>
      </c>
      <c r="G605" s="8" t="inlineStr">
        <is>
          <t>Low</t>
        </is>
      </c>
      <c r="H605">
        <f>IF(F605=G605,"YES","NO")</f>
        <v/>
      </c>
    </row>
    <row r="606">
      <c r="A606" s="6" t="inlineStr">
        <is>
          <t>Christian Colasono</t>
        </is>
      </c>
      <c r="B606" s="7" t="n">
        <v>160</v>
      </c>
      <c r="C606" s="7" t="n">
        <v>9</v>
      </c>
      <c r="D606" s="7" t="n">
        <v>0.0562</v>
      </c>
      <c r="E606" s="7" t="n">
        <v>0.0299</v>
      </c>
      <c r="F606" s="8" t="inlineStr">
        <is>
          <t>Low</t>
        </is>
      </c>
      <c r="G606" s="8" t="inlineStr">
        <is>
          <t>Low</t>
        </is>
      </c>
      <c r="H606">
        <f>IF(F606=G606,"YES","NO")</f>
        <v/>
      </c>
    </row>
    <row r="607">
      <c r="A607" s="6" t="inlineStr">
        <is>
          <t>Christian Cooley</t>
        </is>
      </c>
      <c r="B607" s="7" t="n">
        <v>1</v>
      </c>
      <c r="C607" s="7" t="n">
        <v>0</v>
      </c>
      <c r="D607" s="7" t="n">
        <v>0</v>
      </c>
      <c r="E607" s="7" t="n">
        <v>0</v>
      </c>
      <c r="F607" s="8" t="inlineStr">
        <is>
          <t>Low</t>
        </is>
      </c>
      <c r="G607" s="8" t="inlineStr">
        <is>
          <t>Low</t>
        </is>
      </c>
      <c r="H607">
        <f>IF(F607=G607,"YES","NO")</f>
        <v/>
      </c>
    </row>
    <row r="608">
      <c r="A608" s="6" t="inlineStr">
        <is>
          <t>Christian Valvano</t>
        </is>
      </c>
      <c r="B608" s="7" t="n">
        <v>5</v>
      </c>
      <c r="C608" s="7" t="n">
        <v>0</v>
      </c>
      <c r="D608" s="7" t="n">
        <v>0</v>
      </c>
      <c r="E608" s="7" t="n">
        <v>0</v>
      </c>
      <c r="F608" s="8" t="inlineStr">
        <is>
          <t>Low</t>
        </is>
      </c>
      <c r="G608" s="8" t="inlineStr">
        <is>
          <t>Low</t>
        </is>
      </c>
      <c r="H608">
        <f>IF(F608=G608,"YES","NO")</f>
        <v/>
      </c>
    </row>
    <row r="609">
      <c r="A609" s="6" t="inlineStr">
        <is>
          <t>Christina Condon</t>
        </is>
      </c>
      <c r="B609" s="7" t="n">
        <v>17</v>
      </c>
      <c r="C609" s="7" t="n">
        <v>1</v>
      </c>
      <c r="D609" s="7" t="n">
        <v>0.0588</v>
      </c>
      <c r="E609" s="7" t="n">
        <v>0.0105</v>
      </c>
      <c r="F609" s="8" t="inlineStr">
        <is>
          <t>Low</t>
        </is>
      </c>
      <c r="G609" s="8" t="inlineStr">
        <is>
          <t>Low</t>
        </is>
      </c>
      <c r="H609">
        <f>IF(F609=G609,"YES","NO")</f>
        <v/>
      </c>
    </row>
    <row r="610">
      <c r="A610" s="6" t="inlineStr">
        <is>
          <t>Christina Strickland</t>
        </is>
      </c>
      <c r="B610" s="7" t="n">
        <v>17</v>
      </c>
      <c r="C610" s="7" t="n">
        <v>0</v>
      </c>
      <c r="D610" s="7" t="n">
        <v>0</v>
      </c>
      <c r="E610" s="7" t="n">
        <v>0</v>
      </c>
      <c r="F610" s="8" t="inlineStr">
        <is>
          <t>Low</t>
        </is>
      </c>
      <c r="G610" s="8" t="inlineStr">
        <is>
          <t>Low</t>
        </is>
      </c>
      <c r="H610">
        <f>IF(F610=G610,"YES","NO")</f>
        <v/>
      </c>
    </row>
    <row r="611">
      <c r="A611" s="6" t="inlineStr">
        <is>
          <t>Christopher Baroldy</t>
        </is>
      </c>
      <c r="B611" s="7" t="n">
        <v>274</v>
      </c>
      <c r="C611" s="7" t="n">
        <v>11</v>
      </c>
      <c r="D611" s="7" t="n">
        <v>0.0401</v>
      </c>
      <c r="E611" s="7" t="n">
        <v>0.0226</v>
      </c>
      <c r="F611" s="8" t="inlineStr">
        <is>
          <t>Low</t>
        </is>
      </c>
      <c r="G611" s="8" t="inlineStr">
        <is>
          <t>Low</t>
        </is>
      </c>
      <c r="H611">
        <f>IF(F611=G611,"YES","NO")</f>
        <v/>
      </c>
    </row>
    <row r="612">
      <c r="A612" s="6" t="inlineStr">
        <is>
          <t>Christopher Grenier</t>
        </is>
      </c>
      <c r="B612" s="7" t="n">
        <v>15</v>
      </c>
      <c r="C612" s="7" t="n">
        <v>0</v>
      </c>
      <c r="D612" s="7" t="n">
        <v>0</v>
      </c>
      <c r="E612" s="7" t="n">
        <v>0</v>
      </c>
      <c r="F612" s="8" t="inlineStr">
        <is>
          <t>Low</t>
        </is>
      </c>
      <c r="G612" s="8" t="inlineStr">
        <is>
          <t>Low</t>
        </is>
      </c>
      <c r="H612">
        <f>IF(F612=G612,"YES","NO")</f>
        <v/>
      </c>
    </row>
    <row r="613">
      <c r="A613" s="6" t="inlineStr">
        <is>
          <t>Christopher Mazzei</t>
        </is>
      </c>
      <c r="B613" s="7" t="n">
        <v>8</v>
      </c>
      <c r="C613" s="7" t="n">
        <v>1</v>
      </c>
      <c r="D613" s="7" t="n">
        <v>0.125</v>
      </c>
      <c r="E613" s="7" t="n">
        <v>0.0224</v>
      </c>
      <c r="F613" s="8" t="inlineStr">
        <is>
          <t>Low</t>
        </is>
      </c>
      <c r="G613" s="8" t="inlineStr">
        <is>
          <t>Low</t>
        </is>
      </c>
      <c r="H613">
        <f>IF(F613=G613,"YES","NO")</f>
        <v/>
      </c>
    </row>
    <row r="614">
      <c r="A614" s="6" t="inlineStr">
        <is>
          <t>Christopher Sorgiovanni</t>
        </is>
      </c>
      <c r="B614" s="7" t="n">
        <v>29</v>
      </c>
      <c r="C614" s="7" t="n">
        <v>0</v>
      </c>
      <c r="D614" s="7" t="n">
        <v>0</v>
      </c>
      <c r="E614" s="7" t="n">
        <v>0</v>
      </c>
      <c r="F614" s="8" t="inlineStr">
        <is>
          <t>Low</t>
        </is>
      </c>
      <c r="G614" s="8" t="inlineStr">
        <is>
          <t>Low</t>
        </is>
      </c>
      <c r="H614">
        <f>IF(F614=G614,"YES","NO")</f>
        <v/>
      </c>
    </row>
    <row r="615">
      <c r="A615" s="6" t="inlineStr">
        <is>
          <t>Christopher Thompsen</t>
        </is>
      </c>
      <c r="B615" s="7" t="n">
        <v>143</v>
      </c>
      <c r="C615" s="7" t="n">
        <v>20</v>
      </c>
      <c r="D615" s="7" t="n">
        <v>0.1399</v>
      </c>
      <c r="E615" s="7" t="n">
        <v>0.0924</v>
      </c>
      <c r="F615" s="8" t="inlineStr">
        <is>
          <t>Low</t>
        </is>
      </c>
      <c r="G615" s="8" t="inlineStr">
        <is>
          <t>High</t>
        </is>
      </c>
      <c r="H615">
        <f>IF(F615=G615,"YES","NO")</f>
        <v/>
      </c>
    </row>
    <row r="616">
      <c r="A616" s="6" t="inlineStr">
        <is>
          <t>Christopher Wolfe</t>
        </is>
      </c>
      <c r="B616" s="7" t="n">
        <v>14</v>
      </c>
      <c r="C616" s="7" t="n">
        <v>2</v>
      </c>
      <c r="D616" s="7" t="n">
        <v>0.1429</v>
      </c>
      <c r="E616" s="7" t="n">
        <v>0.0401</v>
      </c>
      <c r="F616" s="8" t="inlineStr">
        <is>
          <t>Low</t>
        </is>
      </c>
      <c r="G616" s="8" t="inlineStr">
        <is>
          <t>Low</t>
        </is>
      </c>
      <c r="H616">
        <f>IF(F616=G616,"YES","NO")</f>
        <v/>
      </c>
    </row>
    <row r="617">
      <c r="A617" s="6" t="inlineStr">
        <is>
          <t>Christopher Zenner</t>
        </is>
      </c>
      <c r="B617" s="7" t="n">
        <v>26</v>
      </c>
      <c r="C617" s="7" t="n">
        <v>0</v>
      </c>
      <c r="D617" s="7" t="n">
        <v>0</v>
      </c>
      <c r="E617" s="7" t="n">
        <v>0</v>
      </c>
      <c r="F617" s="8" t="inlineStr">
        <is>
          <t>Low</t>
        </is>
      </c>
      <c r="G617" s="8" t="inlineStr">
        <is>
          <t>Low</t>
        </is>
      </c>
      <c r="H617">
        <f>IF(F617=G617,"YES","NO")</f>
        <v/>
      </c>
    </row>
    <row r="618">
      <c r="A618" s="6" t="inlineStr">
        <is>
          <t>Christy Gordon</t>
        </is>
      </c>
      <c r="B618" s="7" t="n">
        <v>76</v>
      </c>
      <c r="C618" s="7" t="n">
        <v>4</v>
      </c>
      <c r="D618" s="7" t="n">
        <v>0.0526</v>
      </c>
      <c r="E618" s="7" t="n">
        <v>0.0207</v>
      </c>
      <c r="F618" s="8" t="inlineStr">
        <is>
          <t>Low</t>
        </is>
      </c>
      <c r="G618" s="8" t="inlineStr">
        <is>
          <t>Low</t>
        </is>
      </c>
      <c r="H618">
        <f>IF(F618=G618,"YES","NO")</f>
        <v/>
      </c>
    </row>
    <row r="619">
      <c r="A619" s="6" t="inlineStr">
        <is>
          <t>Chuck Clinebell</t>
        </is>
      </c>
      <c r="B619" s="7" t="n">
        <v>33</v>
      </c>
      <c r="C619" s="7" t="n">
        <v>1</v>
      </c>
      <c r="D619" s="7" t="n">
        <v>0.0303</v>
      </c>
      <c r="E619" s="7" t="n">
        <v>0.0054</v>
      </c>
      <c r="F619" s="8" t="inlineStr">
        <is>
          <t>Low</t>
        </is>
      </c>
      <c r="G619" s="8" t="inlineStr">
        <is>
          <t>Low</t>
        </is>
      </c>
      <c r="H619">
        <f>IF(F619=G619,"YES","NO")</f>
        <v/>
      </c>
    </row>
    <row r="620">
      <c r="A620" s="6" t="inlineStr">
        <is>
          <t>Cindy Benedetti</t>
        </is>
      </c>
      <c r="B620" s="7" t="n">
        <v>104</v>
      </c>
      <c r="C620" s="7" t="n">
        <v>0</v>
      </c>
      <c r="D620" s="7" t="n">
        <v>0</v>
      </c>
      <c r="E620" s="7" t="n">
        <v>0</v>
      </c>
      <c r="F620" s="8" t="inlineStr">
        <is>
          <t>Low</t>
        </is>
      </c>
      <c r="G620" s="8" t="inlineStr">
        <is>
          <t>Low</t>
        </is>
      </c>
      <c r="H620">
        <f>IF(F620=G620,"YES","NO")</f>
        <v/>
      </c>
    </row>
    <row r="621">
      <c r="A621" s="6" t="inlineStr">
        <is>
          <t>Cindy Sappington</t>
        </is>
      </c>
      <c r="B621" s="7" t="n">
        <v>177</v>
      </c>
      <c r="C621" s="7" t="n">
        <v>0</v>
      </c>
      <c r="D621" s="7" t="n">
        <v>0</v>
      </c>
      <c r="E621" s="7" t="n">
        <v>0</v>
      </c>
      <c r="F621" s="8" t="inlineStr">
        <is>
          <t>Low</t>
        </is>
      </c>
      <c r="G621" s="8" t="inlineStr">
        <is>
          <t>Low</t>
        </is>
      </c>
      <c r="H621">
        <f>IF(F621=G621,"YES","NO")</f>
        <v/>
      </c>
    </row>
    <row r="622">
      <c r="A622" s="6" t="inlineStr">
        <is>
          <t>Cindy Wooldridge</t>
        </is>
      </c>
      <c r="B622" s="7" t="n">
        <v>10</v>
      </c>
      <c r="C622" s="7" t="n">
        <v>0</v>
      </c>
      <c r="D622" s="7" t="n">
        <v>0</v>
      </c>
      <c r="E622" s="7" t="n">
        <v>0</v>
      </c>
      <c r="F622" s="8" t="inlineStr">
        <is>
          <t>Low</t>
        </is>
      </c>
      <c r="G622" s="8" t="inlineStr">
        <is>
          <t>Low</t>
        </is>
      </c>
      <c r="H622">
        <f>IF(F622=G622,"YES","NO")</f>
        <v/>
      </c>
    </row>
    <row r="623">
      <c r="A623" s="6" t="inlineStr">
        <is>
          <t>Claude Roberge</t>
        </is>
      </c>
      <c r="B623" s="7" t="n">
        <v>24</v>
      </c>
      <c r="C623" s="7" t="n">
        <v>1</v>
      </c>
      <c r="D623" s="7" t="n">
        <v>0.0417</v>
      </c>
      <c r="E623" s="7" t="n">
        <v>0.0074</v>
      </c>
      <c r="F623" s="8" t="inlineStr">
        <is>
          <t>Low</t>
        </is>
      </c>
      <c r="G623" s="8" t="inlineStr">
        <is>
          <t>Low</t>
        </is>
      </c>
      <c r="H623">
        <f>IF(F623=G623,"YES","NO")</f>
        <v/>
      </c>
    </row>
    <row r="624">
      <c r="A624" s="6" t="inlineStr">
        <is>
          <t>Clifton Foster</t>
        </is>
      </c>
      <c r="B624" s="7" t="n">
        <v>27</v>
      </c>
      <c r="C624" s="7" t="n">
        <v>0</v>
      </c>
      <c r="D624" s="7" t="n">
        <v>0</v>
      </c>
      <c r="E624" s="7" t="n">
        <v>0</v>
      </c>
      <c r="F624" s="8" t="inlineStr">
        <is>
          <t>Low</t>
        </is>
      </c>
      <c r="G624" s="8" t="inlineStr">
        <is>
          <t>Low</t>
        </is>
      </c>
      <c r="H624">
        <f>IF(F624=G624,"YES","NO")</f>
        <v/>
      </c>
    </row>
    <row r="625">
      <c r="A625" s="6" t="inlineStr">
        <is>
          <t>Clint Ball</t>
        </is>
      </c>
      <c r="B625" s="7" t="n">
        <v>7</v>
      </c>
      <c r="C625" s="7" t="n">
        <v>0</v>
      </c>
      <c r="D625" s="7" t="n">
        <v>0</v>
      </c>
      <c r="E625" s="7" t="n">
        <v>0</v>
      </c>
      <c r="F625" s="8" t="inlineStr">
        <is>
          <t>Low</t>
        </is>
      </c>
      <c r="G625" s="8" t="inlineStr">
        <is>
          <t>Low</t>
        </is>
      </c>
      <c r="H625">
        <f>IF(F625=G625,"YES","NO")</f>
        <v/>
      </c>
    </row>
    <row r="626">
      <c r="A626" s="6" t="inlineStr">
        <is>
          <t>Clint Ralston</t>
        </is>
      </c>
      <c r="B626" s="7" t="n">
        <v>47</v>
      </c>
      <c r="C626" s="7" t="n">
        <v>3</v>
      </c>
      <c r="D626" s="7" t="n">
        <v>0.0638</v>
      </c>
      <c r="E626" s="7" t="n">
        <v>0.0219</v>
      </c>
      <c r="F626" s="8" t="inlineStr">
        <is>
          <t>Low</t>
        </is>
      </c>
      <c r="G626" s="8" t="inlineStr">
        <is>
          <t>Low</t>
        </is>
      </c>
      <c r="H626">
        <f>IF(F626=G626,"YES","NO")</f>
        <v/>
      </c>
    </row>
    <row r="627">
      <c r="A627" s="6" t="inlineStr">
        <is>
          <t>Clinton Parker</t>
        </is>
      </c>
      <c r="B627" s="7" t="n">
        <v>116</v>
      </c>
      <c r="C627" s="7" t="n">
        <v>2</v>
      </c>
      <c r="D627" s="7" t="n">
        <v>0.0172</v>
      </c>
      <c r="E627" s="7" t="n">
        <v>0.0047</v>
      </c>
      <c r="F627" s="8" t="inlineStr">
        <is>
          <t>Low</t>
        </is>
      </c>
      <c r="G627" s="8" t="inlineStr">
        <is>
          <t>Low</t>
        </is>
      </c>
      <c r="H627">
        <f>IF(F627=G627,"YES","NO")</f>
        <v/>
      </c>
    </row>
    <row r="628">
      <c r="A628" s="6" t="inlineStr">
        <is>
          <t>Codie Deaton</t>
        </is>
      </c>
      <c r="B628" s="7" t="n">
        <v>30</v>
      </c>
      <c r="C628" s="7" t="n">
        <v>0</v>
      </c>
      <c r="D628" s="7" t="n">
        <v>0</v>
      </c>
      <c r="E628" s="7" t="n">
        <v>0</v>
      </c>
      <c r="F628" s="8" t="inlineStr">
        <is>
          <t>Low</t>
        </is>
      </c>
      <c r="G628" s="8" t="inlineStr">
        <is>
          <t>Low</t>
        </is>
      </c>
      <c r="H628">
        <f>IF(F628=G628,"YES","NO")</f>
        <v/>
      </c>
    </row>
    <row r="629">
      <c r="A629" s="6" t="inlineStr">
        <is>
          <t>Cody Bowling</t>
        </is>
      </c>
      <c r="B629" s="7" t="n">
        <v>9</v>
      </c>
      <c r="C629" s="7" t="n">
        <v>1</v>
      </c>
      <c r="D629" s="7" t="n">
        <v>0.1111</v>
      </c>
      <c r="E629" s="7" t="n">
        <v>0.0199</v>
      </c>
      <c r="F629" s="8" t="inlineStr">
        <is>
          <t>Low</t>
        </is>
      </c>
      <c r="G629" s="8" t="inlineStr">
        <is>
          <t>Low</t>
        </is>
      </c>
      <c r="H629">
        <f>IF(F629=G629,"YES","NO")</f>
        <v/>
      </c>
    </row>
    <row r="630">
      <c r="A630" s="6" t="inlineStr">
        <is>
          <t>Cody Brave</t>
        </is>
      </c>
      <c r="B630" s="7" t="n">
        <v>23</v>
      </c>
      <c r="C630" s="7" t="n">
        <v>0</v>
      </c>
      <c r="D630" s="7" t="n">
        <v>0</v>
      </c>
      <c r="E630" s="7" t="n">
        <v>0</v>
      </c>
      <c r="F630" s="8" t="inlineStr">
        <is>
          <t>Low</t>
        </is>
      </c>
      <c r="G630" s="8" t="inlineStr">
        <is>
          <t>Low</t>
        </is>
      </c>
      <c r="H630">
        <f>IF(F630=G630,"YES","NO")</f>
        <v/>
      </c>
    </row>
    <row r="631">
      <c r="A631" s="6" t="inlineStr">
        <is>
          <t>Cody Harmon</t>
        </is>
      </c>
      <c r="B631" s="7" t="n">
        <v>65</v>
      </c>
      <c r="C631" s="7" t="n">
        <v>0</v>
      </c>
      <c r="D631" s="7" t="n">
        <v>0</v>
      </c>
      <c r="E631" s="7" t="n">
        <v>0</v>
      </c>
      <c r="F631" s="8" t="inlineStr">
        <is>
          <t>Low</t>
        </is>
      </c>
      <c r="G631" s="8" t="inlineStr">
        <is>
          <t>Low</t>
        </is>
      </c>
      <c r="H631">
        <f>IF(F631=G631,"YES","NO")</f>
        <v/>
      </c>
    </row>
    <row r="632">
      <c r="A632" s="6" t="inlineStr">
        <is>
          <t>Cody Jacobs</t>
        </is>
      </c>
      <c r="B632" s="7" t="n">
        <v>2</v>
      </c>
      <c r="C632" s="7" t="n">
        <v>0</v>
      </c>
      <c r="D632" s="7" t="n">
        <v>0</v>
      </c>
      <c r="E632" s="7" t="n">
        <v>0</v>
      </c>
      <c r="F632" s="8" t="inlineStr">
        <is>
          <t>Low</t>
        </is>
      </c>
      <c r="G632" s="8" t="inlineStr">
        <is>
          <t>Medium</t>
        </is>
      </c>
      <c r="H632">
        <f>IF(F632=G632,"YES","NO")</f>
        <v/>
      </c>
    </row>
    <row r="633">
      <c r="A633" s="6" t="inlineStr">
        <is>
          <t>Colby Stone</t>
        </is>
      </c>
      <c r="B633" s="7" t="n">
        <v>104</v>
      </c>
      <c r="C633" s="7" t="n">
        <v>5</v>
      </c>
      <c r="D633" s="7" t="n">
        <v>0.0481</v>
      </c>
      <c r="E633" s="7" t="n">
        <v>0.0207</v>
      </c>
      <c r="F633" s="8" t="inlineStr">
        <is>
          <t>Low</t>
        </is>
      </c>
      <c r="G633" s="8" t="inlineStr">
        <is>
          <t>Low</t>
        </is>
      </c>
      <c r="H633">
        <f>IF(F633=G633,"YES","NO")</f>
        <v/>
      </c>
    </row>
    <row r="634">
      <c r="A634" s="6" t="inlineStr">
        <is>
          <t>Cole Hayward</t>
        </is>
      </c>
      <c r="B634" s="7" t="n">
        <v>58</v>
      </c>
      <c r="C634" s="7" t="n">
        <v>9</v>
      </c>
      <c r="D634" s="7" t="n">
        <v>0.1552</v>
      </c>
      <c r="E634" s="7" t="n">
        <v>0.0838</v>
      </c>
      <c r="F634" s="8" t="inlineStr">
        <is>
          <t>Low</t>
        </is>
      </c>
      <c r="G634" s="8" t="inlineStr">
        <is>
          <t>High</t>
        </is>
      </c>
      <c r="H634">
        <f>IF(F634=G634,"YES","NO")</f>
        <v/>
      </c>
    </row>
    <row r="635">
      <c r="A635" s="6" t="inlineStr">
        <is>
          <t>Cole Heinsen</t>
        </is>
      </c>
      <c r="B635" s="7" t="n">
        <v>50</v>
      </c>
      <c r="C635" s="7" t="n">
        <v>0</v>
      </c>
      <c r="D635" s="7" t="n">
        <v>0</v>
      </c>
      <c r="E635" s="7" t="n">
        <v>0</v>
      </c>
      <c r="F635" s="8" t="inlineStr">
        <is>
          <t>Low</t>
        </is>
      </c>
      <c r="G635" s="8" t="inlineStr">
        <is>
          <t>Low</t>
        </is>
      </c>
      <c r="H635">
        <f>IF(F635=G635,"YES","NO")</f>
        <v/>
      </c>
    </row>
    <row r="636">
      <c r="A636" s="6" t="inlineStr">
        <is>
          <t>Cole Soiney</t>
        </is>
      </c>
      <c r="B636" s="7" t="n">
        <v>3</v>
      </c>
      <c r="C636" s="7" t="n">
        <v>0</v>
      </c>
      <c r="D636" s="7" t="n">
        <v>0</v>
      </c>
      <c r="E636" s="7" t="n">
        <v>0</v>
      </c>
      <c r="F636" s="8" t="inlineStr">
        <is>
          <t>Low</t>
        </is>
      </c>
      <c r="G636" s="8" t="inlineStr">
        <is>
          <t>High</t>
        </is>
      </c>
      <c r="H636">
        <f>IF(F636=G636,"YES","NO")</f>
        <v/>
      </c>
    </row>
    <row r="637">
      <c r="A637" s="6" t="inlineStr">
        <is>
          <t>Colton Becker</t>
        </is>
      </c>
      <c r="B637" s="7" t="n">
        <v>147</v>
      </c>
      <c r="C637" s="7" t="n">
        <v>4</v>
      </c>
      <c r="D637" s="7" t="n">
        <v>0.0272</v>
      </c>
      <c r="E637" s="7" t="n">
        <v>0.0106</v>
      </c>
      <c r="F637" s="8" t="inlineStr">
        <is>
          <t>Low</t>
        </is>
      </c>
      <c r="G637" s="8" t="inlineStr">
        <is>
          <t>Low</t>
        </is>
      </c>
      <c r="H637">
        <f>IF(F637=G637,"YES","NO")</f>
        <v/>
      </c>
    </row>
    <row r="638">
      <c r="A638" s="6" t="inlineStr">
        <is>
          <t>Connor Burgess</t>
        </is>
      </c>
      <c r="B638" s="7" t="n">
        <v>24</v>
      </c>
      <c r="C638" s="7" t="n">
        <v>2</v>
      </c>
      <c r="D638" s="7" t="n">
        <v>0.0833</v>
      </c>
      <c r="E638" s="7" t="n">
        <v>0.0232</v>
      </c>
      <c r="F638" s="8" t="inlineStr">
        <is>
          <t>Low</t>
        </is>
      </c>
      <c r="G638" s="8" t="inlineStr">
        <is>
          <t>Low</t>
        </is>
      </c>
      <c r="H638">
        <f>IF(F638=G638,"YES","NO")</f>
        <v/>
      </c>
    </row>
    <row r="639">
      <c r="A639" s="6" t="inlineStr">
        <is>
          <t>Connor Crawley</t>
        </is>
      </c>
      <c r="B639" s="7" t="n">
        <v>54</v>
      </c>
      <c r="C639" s="7" t="n">
        <v>5</v>
      </c>
      <c r="D639" s="7" t="n">
        <v>0.0926</v>
      </c>
      <c r="E639" s="7" t="n">
        <v>0.0402</v>
      </c>
      <c r="F639" s="8" t="inlineStr">
        <is>
          <t>Low</t>
        </is>
      </c>
      <c r="G639" s="8" t="inlineStr">
        <is>
          <t>High</t>
        </is>
      </c>
      <c r="H639">
        <f>IF(F639=G639,"YES","NO")</f>
        <v/>
      </c>
    </row>
    <row r="640">
      <c r="A640" s="6" t="inlineStr">
        <is>
          <t>Connor Kelley</t>
        </is>
      </c>
      <c r="B640" s="7" t="n">
        <v>6</v>
      </c>
      <c r="C640" s="7" t="n">
        <v>0</v>
      </c>
      <c r="D640" s="7" t="n">
        <v>0</v>
      </c>
      <c r="E640" s="7" t="n">
        <v>0</v>
      </c>
      <c r="F640" s="8" t="inlineStr">
        <is>
          <t>Low</t>
        </is>
      </c>
      <c r="G640" s="8" t="inlineStr">
        <is>
          <t>Low</t>
        </is>
      </c>
      <c r="H640">
        <f>IF(F640=G640,"YES","NO")</f>
        <v/>
      </c>
    </row>
    <row r="641">
      <c r="A641" s="6" t="inlineStr">
        <is>
          <t>Connor McDermott</t>
        </is>
      </c>
      <c r="B641" s="7" t="n">
        <v>43</v>
      </c>
      <c r="C641" s="7" t="n">
        <v>0</v>
      </c>
      <c r="D641" s="7" t="n">
        <v>0</v>
      </c>
      <c r="E641" s="7" t="n">
        <v>0</v>
      </c>
      <c r="F641" s="8" t="inlineStr">
        <is>
          <t>Low</t>
        </is>
      </c>
      <c r="G641" s="8" t="inlineStr">
        <is>
          <t>Low</t>
        </is>
      </c>
      <c r="H641">
        <f>IF(F641=G641,"YES","NO")</f>
        <v/>
      </c>
    </row>
    <row r="642">
      <c r="A642" s="6" t="inlineStr">
        <is>
          <t>Connor Slabach</t>
        </is>
      </c>
      <c r="B642" s="7" t="n">
        <v>41</v>
      </c>
      <c r="C642" s="7" t="n">
        <v>1</v>
      </c>
      <c r="D642" s="7" t="n">
        <v>0.0244</v>
      </c>
      <c r="E642" s="7" t="n">
        <v>0.0043</v>
      </c>
      <c r="F642" s="8" t="inlineStr">
        <is>
          <t>Low</t>
        </is>
      </c>
      <c r="G642" s="8" t="inlineStr">
        <is>
          <t>Low</t>
        </is>
      </c>
      <c r="H642">
        <f>IF(F642=G642,"YES","NO")</f>
        <v/>
      </c>
    </row>
    <row r="643">
      <c r="A643" s="6" t="inlineStr">
        <is>
          <t>Conor Jones</t>
        </is>
      </c>
      <c r="B643" s="7" t="n">
        <v>13</v>
      </c>
      <c r="C643" s="7" t="n">
        <v>1</v>
      </c>
      <c r="D643" s="7" t="n">
        <v>0.0769</v>
      </c>
      <c r="E643" s="7" t="n">
        <v>0.0137</v>
      </c>
      <c r="F643" s="8" t="inlineStr">
        <is>
          <t>Low</t>
        </is>
      </c>
      <c r="G643" s="8" t="inlineStr">
        <is>
          <t>High</t>
        </is>
      </c>
      <c r="H643">
        <f>IF(F643=G643,"YES","NO")</f>
        <v/>
      </c>
    </row>
    <row r="644">
      <c r="A644" s="6" t="inlineStr">
        <is>
          <t>Corbin Bowen</t>
        </is>
      </c>
      <c r="B644" s="7" t="n">
        <v>11</v>
      </c>
      <c r="C644" s="7" t="n">
        <v>0</v>
      </c>
      <c r="D644" s="7" t="n">
        <v>0</v>
      </c>
      <c r="E644" s="7" t="n">
        <v>0</v>
      </c>
      <c r="F644" s="8" t="inlineStr">
        <is>
          <t>Low</t>
        </is>
      </c>
      <c r="G644" s="8" t="inlineStr">
        <is>
          <t>Low</t>
        </is>
      </c>
      <c r="H644">
        <f>IF(F644=G644,"YES","NO")</f>
        <v/>
      </c>
    </row>
    <row r="645">
      <c r="A645" s="6" t="inlineStr">
        <is>
          <t>Corey Bennett</t>
        </is>
      </c>
      <c r="B645" s="7" t="n">
        <v>352</v>
      </c>
      <c r="C645" s="7" t="n">
        <v>12</v>
      </c>
      <c r="D645" s="7" t="n">
        <v>0.0341</v>
      </c>
      <c r="E645" s="7" t="n">
        <v>0.0196</v>
      </c>
      <c r="F645" s="8" t="inlineStr">
        <is>
          <t>Low</t>
        </is>
      </c>
      <c r="G645" s="8" t="inlineStr">
        <is>
          <t>Low</t>
        </is>
      </c>
      <c r="H645">
        <f>IF(F645=G645,"YES","NO")</f>
        <v/>
      </c>
    </row>
    <row r="646">
      <c r="A646" s="6" t="inlineStr">
        <is>
          <t>Corey Colton</t>
        </is>
      </c>
      <c r="B646" s="7" t="n">
        <v>3</v>
      </c>
      <c r="C646" s="7" t="n">
        <v>0</v>
      </c>
      <c r="D646" s="7" t="n">
        <v>0</v>
      </c>
      <c r="E646" s="7" t="n">
        <v>0</v>
      </c>
      <c r="F646" s="8" t="inlineStr">
        <is>
          <t>Low</t>
        </is>
      </c>
      <c r="G646" s="8" t="inlineStr">
        <is>
          <t>High</t>
        </is>
      </c>
      <c r="H646">
        <f>IF(F646=G646,"YES","NO")</f>
        <v/>
      </c>
    </row>
    <row r="647">
      <c r="A647" s="6" t="inlineStr">
        <is>
          <t>Corey Holliday</t>
        </is>
      </c>
      <c r="B647" s="7" t="n">
        <v>3</v>
      </c>
      <c r="C647" s="7" t="n">
        <v>0</v>
      </c>
      <c r="D647" s="7" t="n">
        <v>0</v>
      </c>
      <c r="E647" s="7" t="n">
        <v>0</v>
      </c>
      <c r="F647" s="8" t="inlineStr">
        <is>
          <t>Low</t>
        </is>
      </c>
      <c r="G647" s="8" t="inlineStr">
        <is>
          <t>Low</t>
        </is>
      </c>
      <c r="H647">
        <f>IF(F647=G647,"YES","NO")</f>
        <v/>
      </c>
    </row>
    <row r="648">
      <c r="A648" s="6" t="inlineStr">
        <is>
          <t>Cortney Houston</t>
        </is>
      </c>
      <c r="B648" s="7" t="n">
        <v>6</v>
      </c>
      <c r="C648" s="7" t="n">
        <v>1</v>
      </c>
      <c r="D648" s="7" t="n">
        <v>0.1667</v>
      </c>
      <c r="E648" s="7" t="n">
        <v>0.0301</v>
      </c>
      <c r="F648" s="8" t="inlineStr">
        <is>
          <t>Low</t>
        </is>
      </c>
      <c r="G648" s="8" t="inlineStr">
        <is>
          <t>High</t>
        </is>
      </c>
      <c r="H648">
        <f>IF(F648=G648,"YES","NO")</f>
        <v/>
      </c>
    </row>
    <row r="649">
      <c r="A649" s="6" t="inlineStr">
        <is>
          <t>Cory Kahn</t>
        </is>
      </c>
      <c r="B649" s="7" t="n">
        <v>28</v>
      </c>
      <c r="C649" s="7" t="n">
        <v>0</v>
      </c>
      <c r="D649" s="7" t="n">
        <v>0</v>
      </c>
      <c r="E649" s="7" t="n">
        <v>0</v>
      </c>
      <c r="F649" s="8" t="inlineStr">
        <is>
          <t>Low</t>
        </is>
      </c>
      <c r="G649" s="8" t="inlineStr">
        <is>
          <t>Low</t>
        </is>
      </c>
      <c r="H649">
        <f>IF(F649=G649,"YES","NO")</f>
        <v/>
      </c>
    </row>
    <row r="650">
      <c r="A650" s="6" t="inlineStr">
        <is>
          <t>Courtlan Vukasin</t>
        </is>
      </c>
      <c r="B650" s="7" t="n">
        <v>65</v>
      </c>
      <c r="C650" s="7" t="n">
        <v>2</v>
      </c>
      <c r="D650" s="7" t="n">
        <v>0.0308</v>
      </c>
      <c r="E650" s="7" t="n">
        <v>0.008500000000000001</v>
      </c>
      <c r="F650" s="8" t="inlineStr">
        <is>
          <t>Low</t>
        </is>
      </c>
      <c r="G650" s="8" t="inlineStr">
        <is>
          <t>Low</t>
        </is>
      </c>
      <c r="H650">
        <f>IF(F650=G650,"YES","NO")</f>
        <v/>
      </c>
    </row>
    <row r="651">
      <c r="A651" s="6" t="inlineStr">
        <is>
          <t>Courtney Humbarger</t>
        </is>
      </c>
      <c r="B651" s="7" t="n">
        <v>2</v>
      </c>
      <c r="C651" s="7" t="n">
        <v>0</v>
      </c>
      <c r="D651" s="7" t="n">
        <v>0</v>
      </c>
      <c r="E651" s="7" t="n">
        <v>0</v>
      </c>
      <c r="F651" s="8" t="inlineStr">
        <is>
          <t>Low</t>
        </is>
      </c>
      <c r="G651" s="8" t="inlineStr">
        <is>
          <t>Low</t>
        </is>
      </c>
      <c r="H651">
        <f>IF(F651=G651,"YES","NO")</f>
        <v/>
      </c>
    </row>
    <row r="652">
      <c r="A652" s="6" t="inlineStr">
        <is>
          <t>Courtney Leighton</t>
        </is>
      </c>
      <c r="B652" s="7" t="n">
        <v>11</v>
      </c>
      <c r="C652" s="7" t="n">
        <v>0</v>
      </c>
      <c r="D652" s="7" t="n">
        <v>0</v>
      </c>
      <c r="E652" s="7" t="n">
        <v>0</v>
      </c>
      <c r="F652" s="8" t="inlineStr">
        <is>
          <t>Low</t>
        </is>
      </c>
      <c r="G652" s="8" t="inlineStr">
        <is>
          <t>Medium</t>
        </is>
      </c>
      <c r="H652">
        <f>IF(F652=G652,"YES","NO")</f>
        <v/>
      </c>
    </row>
    <row r="653">
      <c r="A653" s="6" t="inlineStr">
        <is>
          <t>Courtney Wysocki</t>
        </is>
      </c>
      <c r="B653" s="7" t="n">
        <v>1</v>
      </c>
      <c r="C653" s="7" t="n">
        <v>0</v>
      </c>
      <c r="D653" s="7" t="n">
        <v>0</v>
      </c>
      <c r="E653" s="7" t="n">
        <v>0</v>
      </c>
      <c r="F653" s="8" t="inlineStr">
        <is>
          <t>Low</t>
        </is>
      </c>
      <c r="G653" s="8" t="inlineStr">
        <is>
          <t>Low</t>
        </is>
      </c>
      <c r="H653">
        <f>IF(F653=G653,"YES","NO")</f>
        <v/>
      </c>
    </row>
    <row r="654">
      <c r="A654" s="6" t="inlineStr">
        <is>
          <t>Coy Tuck</t>
        </is>
      </c>
      <c r="B654" s="7" t="n">
        <v>21</v>
      </c>
      <c r="C654" s="7" t="n">
        <v>1</v>
      </c>
      <c r="D654" s="7" t="n">
        <v>0.0476</v>
      </c>
      <c r="E654" s="7" t="n">
        <v>0.008500000000000001</v>
      </c>
      <c r="F654" s="8" t="inlineStr">
        <is>
          <t>Low</t>
        </is>
      </c>
      <c r="G654" s="8" t="inlineStr">
        <is>
          <t>Low</t>
        </is>
      </c>
      <c r="H654">
        <f>IF(F654=G654,"YES","NO")</f>
        <v/>
      </c>
    </row>
    <row r="655">
      <c r="A655" s="6" t="inlineStr">
        <is>
          <t>Craig Aspray</t>
        </is>
      </c>
      <c r="B655" s="7" t="n">
        <v>88</v>
      </c>
      <c r="C655" s="7" t="n">
        <v>5</v>
      </c>
      <c r="D655" s="7" t="n">
        <v>0.0568</v>
      </c>
      <c r="E655" s="7" t="n">
        <v>0.0245</v>
      </c>
      <c r="F655" s="8" t="inlineStr">
        <is>
          <t>Low</t>
        </is>
      </c>
      <c r="G655" s="8" t="inlineStr">
        <is>
          <t>Low</t>
        </is>
      </c>
      <c r="H655">
        <f>IF(F655=G655,"YES","NO")</f>
        <v/>
      </c>
    </row>
    <row r="656">
      <c r="A656" s="6" t="inlineStr">
        <is>
          <t>Craig Baldauf</t>
        </is>
      </c>
      <c r="B656" s="7" t="n">
        <v>216</v>
      </c>
      <c r="C656" s="7" t="n">
        <v>0</v>
      </c>
      <c r="D656" s="7" t="n">
        <v>0</v>
      </c>
      <c r="E656" s="7" t="n">
        <v>0</v>
      </c>
      <c r="F656" s="8" t="inlineStr">
        <is>
          <t>Low</t>
        </is>
      </c>
      <c r="G656" s="8" t="inlineStr">
        <is>
          <t>Low</t>
        </is>
      </c>
      <c r="H656">
        <f>IF(F656=G656,"YES","NO")</f>
        <v/>
      </c>
    </row>
    <row r="657">
      <c r="A657" s="6" t="inlineStr">
        <is>
          <t>Craig Davis</t>
        </is>
      </c>
      <c r="B657" s="7" t="n">
        <v>377</v>
      </c>
      <c r="C657" s="7" t="n">
        <v>12</v>
      </c>
      <c r="D657" s="7" t="n">
        <v>0.0318</v>
      </c>
      <c r="E657" s="7" t="n">
        <v>0.0183</v>
      </c>
      <c r="F657" s="8" t="inlineStr">
        <is>
          <t>Low</t>
        </is>
      </c>
      <c r="G657" s="8" t="inlineStr">
        <is>
          <t>Low</t>
        </is>
      </c>
      <c r="H657">
        <f>IF(F657=G657,"YES","NO")</f>
        <v/>
      </c>
    </row>
    <row r="658">
      <c r="A658" s="6" t="inlineStr">
        <is>
          <t>Craig Houston</t>
        </is>
      </c>
      <c r="B658" s="7" t="n">
        <v>5</v>
      </c>
      <c r="C658" s="7" t="n">
        <v>0</v>
      </c>
      <c r="D658" s="7" t="n">
        <v>0</v>
      </c>
      <c r="E658" s="7" t="n">
        <v>0</v>
      </c>
      <c r="F658" s="8" t="inlineStr">
        <is>
          <t>Low</t>
        </is>
      </c>
      <c r="G658" s="8" t="inlineStr">
        <is>
          <t>Low</t>
        </is>
      </c>
      <c r="H658">
        <f>IF(F658=G658,"YES","NO")</f>
        <v/>
      </c>
    </row>
    <row r="659">
      <c r="A659" s="6" t="inlineStr">
        <is>
          <t>Craig Liebowitz</t>
        </is>
      </c>
      <c r="B659" s="7" t="n">
        <v>18</v>
      </c>
      <c r="C659" s="7" t="n">
        <v>0</v>
      </c>
      <c r="D659" s="7" t="n">
        <v>0</v>
      </c>
      <c r="E659" s="7" t="n">
        <v>0</v>
      </c>
      <c r="F659" s="8" t="inlineStr">
        <is>
          <t>Low</t>
        </is>
      </c>
      <c r="G659" s="8" t="inlineStr">
        <is>
          <t>Low</t>
        </is>
      </c>
      <c r="H659">
        <f>IF(F659=G659,"YES","NO")</f>
        <v/>
      </c>
    </row>
    <row r="660">
      <c r="A660" s="6" t="inlineStr">
        <is>
          <t>Craig Robinson</t>
        </is>
      </c>
      <c r="B660" s="7" t="n">
        <v>7</v>
      </c>
      <c r="C660" s="7" t="n">
        <v>0</v>
      </c>
      <c r="D660" s="7" t="n">
        <v>0</v>
      </c>
      <c r="E660" s="7" t="n">
        <v>0</v>
      </c>
      <c r="F660" s="8" t="inlineStr">
        <is>
          <t>Low</t>
        </is>
      </c>
      <c r="G660" s="8" t="inlineStr">
        <is>
          <t>Low</t>
        </is>
      </c>
      <c r="H660">
        <f>IF(F660=G660,"YES","NO")</f>
        <v/>
      </c>
    </row>
    <row r="661">
      <c r="A661" s="6" t="inlineStr">
        <is>
          <t>Curtis Stratton</t>
        </is>
      </c>
      <c r="B661" s="7" t="n">
        <v>4</v>
      </c>
      <c r="C661" s="7" t="n">
        <v>0</v>
      </c>
      <c r="D661" s="7" t="n">
        <v>0</v>
      </c>
      <c r="E661" s="7" t="n">
        <v>0</v>
      </c>
      <c r="F661" s="8" t="inlineStr">
        <is>
          <t>Low</t>
        </is>
      </c>
      <c r="G661" s="8" t="inlineStr">
        <is>
          <t>Low</t>
        </is>
      </c>
      <c r="H661">
        <f>IF(F661=G661,"YES","NO")</f>
        <v/>
      </c>
    </row>
    <row r="662">
      <c r="A662" s="6" t="inlineStr">
        <is>
          <t>Cy Jager</t>
        </is>
      </c>
      <c r="B662" s="7" t="n">
        <v>61</v>
      </c>
      <c r="C662" s="7" t="n">
        <v>0</v>
      </c>
      <c r="D662" s="7" t="n">
        <v>0</v>
      </c>
      <c r="E662" s="7" t="n">
        <v>0</v>
      </c>
      <c r="F662" s="8" t="inlineStr">
        <is>
          <t>Low</t>
        </is>
      </c>
      <c r="G662" s="8" t="inlineStr">
        <is>
          <t>Low</t>
        </is>
      </c>
      <c r="H662">
        <f>IF(F662=G662,"YES","NO")</f>
        <v/>
      </c>
    </row>
    <row r="663">
      <c r="A663" s="6" t="inlineStr">
        <is>
          <t>Cyndee Hughes</t>
        </is>
      </c>
      <c r="B663" s="7" t="n">
        <v>128</v>
      </c>
      <c r="C663" s="7" t="n">
        <v>1</v>
      </c>
      <c r="D663" s="7" t="n">
        <v>0.0078</v>
      </c>
      <c r="E663" s="7" t="n">
        <v>0.0014</v>
      </c>
      <c r="F663" s="8" t="inlineStr">
        <is>
          <t>Low</t>
        </is>
      </c>
      <c r="G663" s="8" t="inlineStr">
        <is>
          <t>Low</t>
        </is>
      </c>
      <c r="H663">
        <f>IF(F663=G663,"YES","NO")</f>
        <v/>
      </c>
    </row>
    <row r="664">
      <c r="A664" s="6" t="inlineStr">
        <is>
          <t>Cynthia Jackson</t>
        </is>
      </c>
      <c r="B664" s="7" t="n">
        <v>215</v>
      </c>
      <c r="C664" s="7" t="n">
        <v>15</v>
      </c>
      <c r="D664" s="7" t="n">
        <v>0.0698</v>
      </c>
      <c r="E664" s="7" t="n">
        <v>0.0427</v>
      </c>
      <c r="F664" s="8" t="inlineStr">
        <is>
          <t>Low</t>
        </is>
      </c>
      <c r="G664" s="8" t="inlineStr">
        <is>
          <t>Low</t>
        </is>
      </c>
      <c r="H664">
        <f>IF(F664=G664,"YES","NO")</f>
        <v/>
      </c>
    </row>
    <row r="665">
      <c r="A665" s="6" t="inlineStr">
        <is>
          <t>DAVID BARROWS</t>
        </is>
      </c>
      <c r="B665" s="7" t="n">
        <v>93</v>
      </c>
      <c r="C665" s="7" t="n">
        <v>6</v>
      </c>
      <c r="D665" s="7" t="n">
        <v>0.0645</v>
      </c>
      <c r="E665" s="7" t="n">
        <v>0.0299</v>
      </c>
      <c r="F665" s="8" t="inlineStr">
        <is>
          <t>Low</t>
        </is>
      </c>
      <c r="G665" s="8" t="inlineStr">
        <is>
          <t>Low</t>
        </is>
      </c>
      <c r="H665">
        <f>IF(F665=G665,"YES","NO")</f>
        <v/>
      </c>
    </row>
    <row r="666">
      <c r="A666" s="6" t="inlineStr">
        <is>
          <t>DAVID SURLS</t>
        </is>
      </c>
      <c r="B666" s="7" t="n">
        <v>1</v>
      </c>
      <c r="C666" s="7" t="n">
        <v>0</v>
      </c>
      <c r="D666" s="7" t="n">
        <v>0</v>
      </c>
      <c r="E666" s="7" t="n">
        <v>0</v>
      </c>
      <c r="F666" s="8" t="inlineStr">
        <is>
          <t>Low</t>
        </is>
      </c>
      <c r="G666" s="8" t="inlineStr">
        <is>
          <t>Low</t>
        </is>
      </c>
      <c r="H666">
        <f>IF(F666=G666,"YES","NO")</f>
        <v/>
      </c>
    </row>
    <row r="667">
      <c r="A667" s="6" t="inlineStr">
        <is>
          <t>DONALD DAVIS</t>
        </is>
      </c>
      <c r="B667" s="7" t="n">
        <v>10</v>
      </c>
      <c r="C667" s="7" t="n">
        <v>1</v>
      </c>
      <c r="D667" s="7" t="n">
        <v>0.1</v>
      </c>
      <c r="E667" s="7" t="n">
        <v>0.0179</v>
      </c>
      <c r="F667" s="8" t="inlineStr">
        <is>
          <t>Low</t>
        </is>
      </c>
      <c r="G667" s="8" t="inlineStr">
        <is>
          <t>Medium</t>
        </is>
      </c>
      <c r="H667">
        <f>IF(F667=G667,"YES","NO")</f>
        <v/>
      </c>
    </row>
    <row r="668">
      <c r="A668" s="6" t="inlineStr">
        <is>
          <t>Dae  Chung</t>
        </is>
      </c>
      <c r="B668" s="7" t="n">
        <v>11</v>
      </c>
      <c r="C668" s="7" t="n">
        <v>0</v>
      </c>
      <c r="D668" s="7" t="n">
        <v>0</v>
      </c>
      <c r="E668" s="7" t="n">
        <v>0</v>
      </c>
      <c r="F668" s="8" t="inlineStr">
        <is>
          <t>Low</t>
        </is>
      </c>
      <c r="G668" s="8" t="inlineStr">
        <is>
          <t>Low</t>
        </is>
      </c>
      <c r="H668">
        <f>IF(F668=G668,"YES","NO")</f>
        <v/>
      </c>
    </row>
    <row r="669">
      <c r="A669" s="6" t="inlineStr">
        <is>
          <t>Daejon Davis</t>
        </is>
      </c>
      <c r="B669" s="7" t="n">
        <v>12</v>
      </c>
      <c r="C669" s="7" t="n">
        <v>0</v>
      </c>
      <c r="D669" s="7" t="n">
        <v>0</v>
      </c>
      <c r="E669" s="7" t="n">
        <v>0</v>
      </c>
      <c r="F669" s="8" t="inlineStr">
        <is>
          <t>Low</t>
        </is>
      </c>
      <c r="G669" s="8" t="inlineStr">
        <is>
          <t>Low</t>
        </is>
      </c>
      <c r="H669">
        <f>IF(F669=G669,"YES","NO")</f>
        <v/>
      </c>
    </row>
    <row r="670">
      <c r="A670" s="6" t="inlineStr">
        <is>
          <t>Dale Bielek</t>
        </is>
      </c>
      <c r="B670" s="7" t="n">
        <v>134</v>
      </c>
      <c r="C670" s="7" t="n">
        <v>1</v>
      </c>
      <c r="D670" s="7" t="n">
        <v>0.0075</v>
      </c>
      <c r="E670" s="7" t="n">
        <v>0.0013</v>
      </c>
      <c r="F670" s="8" t="inlineStr">
        <is>
          <t>Low</t>
        </is>
      </c>
      <c r="G670" s="8" t="inlineStr">
        <is>
          <t>Low</t>
        </is>
      </c>
      <c r="H670">
        <f>IF(F670=G670,"YES","NO")</f>
        <v/>
      </c>
    </row>
    <row r="671">
      <c r="A671" s="6" t="inlineStr">
        <is>
          <t>Dalon Wesner</t>
        </is>
      </c>
      <c r="B671" s="7" t="n">
        <v>32</v>
      </c>
      <c r="C671" s="7" t="n">
        <v>0</v>
      </c>
      <c r="D671" s="7" t="n">
        <v>0</v>
      </c>
      <c r="E671" s="7" t="n">
        <v>0</v>
      </c>
      <c r="F671" s="8" t="inlineStr">
        <is>
          <t>Low</t>
        </is>
      </c>
      <c r="G671" s="8" t="inlineStr">
        <is>
          <t>Low</t>
        </is>
      </c>
      <c r="H671">
        <f>IF(F671=G671,"YES","NO")</f>
        <v/>
      </c>
    </row>
    <row r="672">
      <c r="A672" s="6" t="inlineStr">
        <is>
          <t>Dan  Danis</t>
        </is>
      </c>
      <c r="B672" s="7" t="n">
        <v>49</v>
      </c>
      <c r="C672" s="7" t="n">
        <v>4</v>
      </c>
      <c r="D672" s="7" t="n">
        <v>0.08160000000000001</v>
      </c>
      <c r="E672" s="7" t="n">
        <v>0.0322</v>
      </c>
      <c r="F672" s="8" t="inlineStr">
        <is>
          <t>Low</t>
        </is>
      </c>
      <c r="G672" s="8" t="inlineStr">
        <is>
          <t>Low</t>
        </is>
      </c>
      <c r="H672">
        <f>IF(F672=G672,"YES","NO")</f>
        <v/>
      </c>
    </row>
    <row r="673">
      <c r="A673" s="6" t="inlineStr">
        <is>
          <t>Dan Brodnik</t>
        </is>
      </c>
      <c r="B673" s="7" t="n">
        <v>6</v>
      </c>
      <c r="C673" s="7" t="n">
        <v>0</v>
      </c>
      <c r="D673" s="7" t="n">
        <v>0</v>
      </c>
      <c r="E673" s="7" t="n">
        <v>0</v>
      </c>
      <c r="F673" s="8" t="inlineStr">
        <is>
          <t>Low</t>
        </is>
      </c>
      <c r="G673" s="8" t="inlineStr">
        <is>
          <t>Low</t>
        </is>
      </c>
      <c r="H673">
        <f>IF(F673=G673,"YES","NO")</f>
        <v/>
      </c>
    </row>
    <row r="674">
      <c r="A674" s="6" t="inlineStr">
        <is>
          <t>Dan DeMaria</t>
        </is>
      </c>
      <c r="B674" s="7" t="n">
        <v>22</v>
      </c>
      <c r="C674" s="7" t="n">
        <v>0</v>
      </c>
      <c r="D674" s="7" t="n">
        <v>0</v>
      </c>
      <c r="E674" s="7" t="n">
        <v>0</v>
      </c>
      <c r="F674" s="8" t="inlineStr">
        <is>
          <t>Low</t>
        </is>
      </c>
      <c r="G674" s="8" t="inlineStr">
        <is>
          <t>Low</t>
        </is>
      </c>
      <c r="H674">
        <f>IF(F674=G674,"YES","NO")</f>
        <v/>
      </c>
    </row>
    <row r="675">
      <c r="A675" s="6" t="inlineStr">
        <is>
          <t>Dan Gallion</t>
        </is>
      </c>
      <c r="B675" s="7" t="n">
        <v>38</v>
      </c>
      <c r="C675" s="7" t="n">
        <v>0</v>
      </c>
      <c r="D675" s="7" t="n">
        <v>0</v>
      </c>
      <c r="E675" s="7" t="n">
        <v>0</v>
      </c>
      <c r="F675" s="8" t="inlineStr">
        <is>
          <t>Low</t>
        </is>
      </c>
      <c r="G675" s="8" t="inlineStr">
        <is>
          <t>Low</t>
        </is>
      </c>
      <c r="H675">
        <f>IF(F675=G675,"YES","NO")</f>
        <v/>
      </c>
    </row>
    <row r="676">
      <c r="A676" s="6" t="inlineStr">
        <is>
          <t>Dan Hollembaek</t>
        </is>
      </c>
      <c r="B676" s="7" t="n">
        <v>2</v>
      </c>
      <c r="C676" s="7" t="n">
        <v>0</v>
      </c>
      <c r="D676" s="7" t="n">
        <v>0</v>
      </c>
      <c r="E676" s="7" t="n">
        <v>0</v>
      </c>
      <c r="F676" s="8" t="inlineStr">
        <is>
          <t>Low</t>
        </is>
      </c>
      <c r="G676" s="8" t="inlineStr">
        <is>
          <t>Low</t>
        </is>
      </c>
      <c r="H676">
        <f>IF(F676=G676,"YES","NO")</f>
        <v/>
      </c>
    </row>
    <row r="677">
      <c r="A677" s="6" t="inlineStr">
        <is>
          <t>Dan Jacoby</t>
        </is>
      </c>
      <c r="B677" s="7" t="n">
        <v>45</v>
      </c>
      <c r="C677" s="7" t="n">
        <v>0</v>
      </c>
      <c r="D677" s="7" t="n">
        <v>0</v>
      </c>
      <c r="E677" s="7" t="n">
        <v>0</v>
      </c>
      <c r="F677" s="8" t="inlineStr">
        <is>
          <t>Low</t>
        </is>
      </c>
      <c r="G677" s="8" t="inlineStr">
        <is>
          <t>Low</t>
        </is>
      </c>
      <c r="H677">
        <f>IF(F677=G677,"YES","NO")</f>
        <v/>
      </c>
    </row>
    <row r="678">
      <c r="A678" s="6" t="inlineStr">
        <is>
          <t>Dan Jerore</t>
        </is>
      </c>
      <c r="B678" s="7" t="n">
        <v>69</v>
      </c>
      <c r="C678" s="7" t="n">
        <v>4</v>
      </c>
      <c r="D678" s="7" t="n">
        <v>0.058</v>
      </c>
      <c r="E678" s="7" t="n">
        <v>0.0228</v>
      </c>
      <c r="F678" s="8" t="inlineStr">
        <is>
          <t>Low</t>
        </is>
      </c>
      <c r="G678" s="8" t="inlineStr">
        <is>
          <t>Low</t>
        </is>
      </c>
      <c r="H678">
        <f>IF(F678=G678,"YES","NO")</f>
        <v/>
      </c>
    </row>
    <row r="679">
      <c r="A679" s="6" t="inlineStr">
        <is>
          <t>Dan Marchetti</t>
        </is>
      </c>
      <c r="B679" s="7" t="n">
        <v>6</v>
      </c>
      <c r="C679" s="7" t="n">
        <v>0</v>
      </c>
      <c r="D679" s="7" t="n">
        <v>0</v>
      </c>
      <c r="E679" s="7" t="n">
        <v>0</v>
      </c>
      <c r="F679" s="8" t="inlineStr">
        <is>
          <t>Low</t>
        </is>
      </c>
      <c r="G679" s="8" t="inlineStr">
        <is>
          <t>Low</t>
        </is>
      </c>
      <c r="H679">
        <f>IF(F679=G679,"YES","NO")</f>
        <v/>
      </c>
    </row>
    <row r="680">
      <c r="A680" s="6" t="inlineStr">
        <is>
          <t>Dan Markiewicz</t>
        </is>
      </c>
      <c r="B680" s="7" t="n">
        <v>8</v>
      </c>
      <c r="C680" s="7" t="n">
        <v>0</v>
      </c>
      <c r="D680" s="7" t="n">
        <v>0</v>
      </c>
      <c r="E680" s="7" t="n">
        <v>0</v>
      </c>
      <c r="F680" s="8" t="inlineStr">
        <is>
          <t>Low</t>
        </is>
      </c>
      <c r="G680" s="8" t="inlineStr">
        <is>
          <t>Low</t>
        </is>
      </c>
      <c r="H680">
        <f>IF(F680=G680,"YES","NO")</f>
        <v/>
      </c>
    </row>
    <row r="681">
      <c r="A681" s="6" t="inlineStr">
        <is>
          <t>Dan Perko</t>
        </is>
      </c>
      <c r="B681" s="7" t="n">
        <v>32</v>
      </c>
      <c r="C681" s="7" t="n">
        <v>1</v>
      </c>
      <c r="D681" s="7" t="n">
        <v>0.0312</v>
      </c>
      <c r="E681" s="7" t="n">
        <v>0.0055</v>
      </c>
      <c r="F681" s="8" t="inlineStr">
        <is>
          <t>Low</t>
        </is>
      </c>
      <c r="G681" s="8" t="inlineStr">
        <is>
          <t>Low</t>
        </is>
      </c>
      <c r="H681">
        <f>IF(F681=G681,"YES","NO")</f>
        <v/>
      </c>
    </row>
    <row r="682">
      <c r="A682" s="6" t="inlineStr">
        <is>
          <t>Dan Potvin</t>
        </is>
      </c>
      <c r="B682" s="7" t="n">
        <v>23</v>
      </c>
      <c r="C682" s="7" t="n">
        <v>0</v>
      </c>
      <c r="D682" s="7" t="n">
        <v>0</v>
      </c>
      <c r="E682" s="7" t="n">
        <v>0</v>
      </c>
      <c r="F682" s="8" t="inlineStr">
        <is>
          <t>Low</t>
        </is>
      </c>
      <c r="G682" s="8" t="inlineStr">
        <is>
          <t>Low</t>
        </is>
      </c>
      <c r="H682">
        <f>IF(F682=G682,"YES","NO")</f>
        <v/>
      </c>
    </row>
    <row r="683">
      <c r="A683" s="6" t="inlineStr">
        <is>
          <t>Dan Schindler</t>
        </is>
      </c>
      <c r="B683" s="7" t="n">
        <v>3</v>
      </c>
      <c r="C683" s="7" t="n">
        <v>0</v>
      </c>
      <c r="D683" s="7" t="n">
        <v>0</v>
      </c>
      <c r="E683" s="7" t="n">
        <v>0</v>
      </c>
      <c r="F683" s="8" t="inlineStr">
        <is>
          <t>Low</t>
        </is>
      </c>
      <c r="G683" s="8" t="inlineStr">
        <is>
          <t>Low</t>
        </is>
      </c>
      <c r="H683">
        <f>IF(F683=G683,"YES","NO")</f>
        <v/>
      </c>
    </row>
    <row r="684">
      <c r="A684" s="6" t="inlineStr">
        <is>
          <t>Dan Thomas</t>
        </is>
      </c>
      <c r="B684" s="7" t="n">
        <v>35</v>
      </c>
      <c r="C684" s="7" t="n">
        <v>0</v>
      </c>
      <c r="D684" s="7" t="n">
        <v>0</v>
      </c>
      <c r="E684" s="7" t="n">
        <v>0</v>
      </c>
      <c r="F684" s="8" t="inlineStr">
        <is>
          <t>Low</t>
        </is>
      </c>
      <c r="G684" s="8" t="inlineStr">
        <is>
          <t>Low</t>
        </is>
      </c>
      <c r="H684">
        <f>IF(F684=G684,"YES","NO")</f>
        <v/>
      </c>
    </row>
    <row r="685">
      <c r="A685" s="6" t="inlineStr">
        <is>
          <t>Dan Watson</t>
        </is>
      </c>
      <c r="B685" s="7" t="n">
        <v>79</v>
      </c>
      <c r="C685" s="7" t="n">
        <v>0</v>
      </c>
      <c r="D685" s="7" t="n">
        <v>0</v>
      </c>
      <c r="E685" s="7" t="n">
        <v>0</v>
      </c>
      <c r="F685" s="8" t="inlineStr">
        <is>
          <t>Low</t>
        </is>
      </c>
      <c r="G685" s="8" t="inlineStr">
        <is>
          <t>Low</t>
        </is>
      </c>
      <c r="H685">
        <f>IF(F685=G685,"YES","NO")</f>
        <v/>
      </c>
    </row>
    <row r="686">
      <c r="A686" s="6" t="inlineStr">
        <is>
          <t>Dan Welch</t>
        </is>
      </c>
      <c r="B686" s="7" t="n">
        <v>323</v>
      </c>
      <c r="C686" s="7" t="n">
        <v>2</v>
      </c>
      <c r="D686" s="7" t="n">
        <v>0.0062</v>
      </c>
      <c r="E686" s="7" t="n">
        <v>0.0017</v>
      </c>
      <c r="F686" s="8" t="inlineStr">
        <is>
          <t>Low</t>
        </is>
      </c>
      <c r="G686" s="8" t="inlineStr">
        <is>
          <t>Low</t>
        </is>
      </c>
      <c r="H686">
        <f>IF(F686=G686,"YES","NO")</f>
        <v/>
      </c>
    </row>
    <row r="687">
      <c r="A687" s="6" t="inlineStr">
        <is>
          <t>Dana Borza</t>
        </is>
      </c>
      <c r="B687" s="7" t="n">
        <v>1</v>
      </c>
      <c r="C687" s="7" t="n">
        <v>0</v>
      </c>
      <c r="D687" s="7" t="n">
        <v>0</v>
      </c>
      <c r="E687" s="7" t="n">
        <v>0</v>
      </c>
      <c r="F687" s="8" t="inlineStr">
        <is>
          <t>Low</t>
        </is>
      </c>
      <c r="G687" s="8" t="inlineStr">
        <is>
          <t>High</t>
        </is>
      </c>
      <c r="H687">
        <f>IF(F687=G687,"YES","NO")</f>
        <v/>
      </c>
    </row>
    <row r="688">
      <c r="A688" s="6" t="inlineStr">
        <is>
          <t>Dana Eckart</t>
        </is>
      </c>
      <c r="B688" s="7" t="n">
        <v>9</v>
      </c>
      <c r="C688" s="7" t="n">
        <v>0</v>
      </c>
      <c r="D688" s="7" t="n">
        <v>0</v>
      </c>
      <c r="E688" s="7" t="n">
        <v>0</v>
      </c>
      <c r="F688" s="8" t="inlineStr">
        <is>
          <t>Low</t>
        </is>
      </c>
      <c r="G688" s="8" t="inlineStr">
        <is>
          <t>Low</t>
        </is>
      </c>
      <c r="H688">
        <f>IF(F688=G688,"YES","NO")</f>
        <v/>
      </c>
    </row>
    <row r="689">
      <c r="A689" s="6" t="inlineStr">
        <is>
          <t>Daniel Anger</t>
        </is>
      </c>
      <c r="B689" s="7" t="n">
        <v>13</v>
      </c>
      <c r="C689" s="7" t="n">
        <v>0</v>
      </c>
      <c r="D689" s="7" t="n">
        <v>0</v>
      </c>
      <c r="E689" s="7" t="n">
        <v>0</v>
      </c>
      <c r="F689" s="8" t="inlineStr">
        <is>
          <t>Low</t>
        </is>
      </c>
      <c r="G689" s="8" t="inlineStr">
        <is>
          <t>Low</t>
        </is>
      </c>
      <c r="H689">
        <f>IF(F689=G689,"YES","NO")</f>
        <v/>
      </c>
    </row>
    <row r="690">
      <c r="A690" s="6" t="inlineStr">
        <is>
          <t>Daniel DaPra</t>
        </is>
      </c>
      <c r="B690" s="7" t="n">
        <v>49</v>
      </c>
      <c r="C690" s="7" t="n">
        <v>3</v>
      </c>
      <c r="D690" s="7" t="n">
        <v>0.0612</v>
      </c>
      <c r="E690" s="7" t="n">
        <v>0.021</v>
      </c>
      <c r="F690" s="8" t="inlineStr">
        <is>
          <t>Low</t>
        </is>
      </c>
      <c r="G690" s="8" t="inlineStr">
        <is>
          <t>High</t>
        </is>
      </c>
      <c r="H690">
        <f>IF(F690=G690,"YES","NO")</f>
        <v/>
      </c>
    </row>
    <row r="691">
      <c r="A691" s="6" t="inlineStr">
        <is>
          <t>Daniel Davis</t>
        </is>
      </c>
      <c r="B691" s="7" t="n">
        <v>2</v>
      </c>
      <c r="C691" s="7" t="n">
        <v>0</v>
      </c>
      <c r="D691" s="7" t="n">
        <v>0</v>
      </c>
      <c r="E691" s="7" t="n">
        <v>0</v>
      </c>
      <c r="F691" s="8" t="inlineStr">
        <is>
          <t>Low</t>
        </is>
      </c>
      <c r="G691" s="8" t="inlineStr">
        <is>
          <t>Low</t>
        </is>
      </c>
      <c r="H691">
        <f>IF(F691=G691,"YES","NO")</f>
        <v/>
      </c>
    </row>
    <row r="692">
      <c r="A692" s="6" t="inlineStr">
        <is>
          <t>Daniel Drapeau</t>
        </is>
      </c>
      <c r="B692" s="7" t="n">
        <v>13</v>
      </c>
      <c r="C692" s="7" t="n">
        <v>0</v>
      </c>
      <c r="D692" s="7" t="n">
        <v>0</v>
      </c>
      <c r="E692" s="7" t="n">
        <v>0</v>
      </c>
      <c r="F692" s="8" t="inlineStr">
        <is>
          <t>Low</t>
        </is>
      </c>
      <c r="G692" s="8" t="inlineStr">
        <is>
          <t>Low</t>
        </is>
      </c>
      <c r="H692">
        <f>IF(F692=G692,"YES","NO")</f>
        <v/>
      </c>
    </row>
    <row r="693">
      <c r="A693" s="6" t="inlineStr">
        <is>
          <t>Daniel Enfield</t>
        </is>
      </c>
      <c r="B693" s="7" t="n">
        <v>342</v>
      </c>
      <c r="C693" s="7" t="n">
        <v>1</v>
      </c>
      <c r="D693" s="7" t="n">
        <v>0.0029</v>
      </c>
      <c r="E693" s="7" t="n">
        <v>0.0005</v>
      </c>
      <c r="F693" s="8" t="inlineStr">
        <is>
          <t>Low</t>
        </is>
      </c>
      <c r="G693" s="8" t="inlineStr">
        <is>
          <t>Low</t>
        </is>
      </c>
      <c r="H693">
        <f>IF(F693=G693,"YES","NO")</f>
        <v/>
      </c>
    </row>
    <row r="694">
      <c r="A694" s="6" t="inlineStr">
        <is>
          <t>Daniel Hughett</t>
        </is>
      </c>
      <c r="B694" s="7" t="n">
        <v>1</v>
      </c>
      <c r="C694" s="7" t="n">
        <v>0</v>
      </c>
      <c r="D694" s="7" t="n">
        <v>0</v>
      </c>
      <c r="E694" s="7" t="n">
        <v>0</v>
      </c>
      <c r="F694" s="8" t="inlineStr">
        <is>
          <t>Low</t>
        </is>
      </c>
      <c r="G694" s="8" t="inlineStr">
        <is>
          <t>Low</t>
        </is>
      </c>
      <c r="H694">
        <f>IF(F694=G694,"YES","NO")</f>
        <v/>
      </c>
    </row>
    <row r="695">
      <c r="A695" s="6" t="inlineStr">
        <is>
          <t>Daniel Leavitt</t>
        </is>
      </c>
      <c r="B695" s="7" t="n">
        <v>5</v>
      </c>
      <c r="C695" s="7" t="n">
        <v>0</v>
      </c>
      <c r="D695" s="7" t="n">
        <v>0</v>
      </c>
      <c r="E695" s="7" t="n">
        <v>0</v>
      </c>
      <c r="F695" s="8" t="inlineStr">
        <is>
          <t>Low</t>
        </is>
      </c>
      <c r="G695" s="8" t="inlineStr">
        <is>
          <t>Low</t>
        </is>
      </c>
      <c r="H695">
        <f>IF(F695=G695,"YES","NO")</f>
        <v/>
      </c>
    </row>
    <row r="696">
      <c r="A696" s="6" t="inlineStr">
        <is>
          <t>Daniel Lombardi</t>
        </is>
      </c>
      <c r="B696" s="7" t="n">
        <v>57</v>
      </c>
      <c r="C696" s="7" t="n">
        <v>0</v>
      </c>
      <c r="D696" s="7" t="n">
        <v>0</v>
      </c>
      <c r="E696" s="7" t="n">
        <v>0</v>
      </c>
      <c r="F696" s="8" t="inlineStr">
        <is>
          <t>Low</t>
        </is>
      </c>
      <c r="G696" s="8" t="inlineStr">
        <is>
          <t>Low</t>
        </is>
      </c>
      <c r="H696">
        <f>IF(F696=G696,"YES","NO")</f>
        <v/>
      </c>
    </row>
    <row r="697">
      <c r="A697" s="6" t="inlineStr">
        <is>
          <t>Daniel Reichardt</t>
        </is>
      </c>
      <c r="B697" s="7" t="n">
        <v>5</v>
      </c>
      <c r="C697" s="7" t="n">
        <v>0</v>
      </c>
      <c r="D697" s="7" t="n">
        <v>0</v>
      </c>
      <c r="E697" s="7" t="n">
        <v>0</v>
      </c>
      <c r="F697" s="8" t="inlineStr">
        <is>
          <t>Low</t>
        </is>
      </c>
      <c r="G697" s="8" t="inlineStr">
        <is>
          <t>Low</t>
        </is>
      </c>
      <c r="H697">
        <f>IF(F697=G697,"YES","NO")</f>
        <v/>
      </c>
    </row>
    <row r="698">
      <c r="A698" s="6" t="inlineStr">
        <is>
          <t>Daniel Sheppard</t>
        </is>
      </c>
      <c r="B698" s="7" t="n">
        <v>316</v>
      </c>
      <c r="C698" s="7" t="n">
        <v>3</v>
      </c>
      <c r="D698" s="7" t="n">
        <v>0.0095</v>
      </c>
      <c r="E698" s="7" t="n">
        <v>0.0032</v>
      </c>
      <c r="F698" s="8" t="inlineStr">
        <is>
          <t>Low</t>
        </is>
      </c>
      <c r="G698" s="8" t="inlineStr">
        <is>
          <t>Low</t>
        </is>
      </c>
      <c r="H698">
        <f>IF(F698=G698,"YES","NO")</f>
        <v/>
      </c>
    </row>
    <row r="699">
      <c r="A699" s="6" t="inlineStr">
        <is>
          <t>Danielle Eyer</t>
        </is>
      </c>
      <c r="B699" s="7" t="n">
        <v>6</v>
      </c>
      <c r="C699" s="7" t="n">
        <v>0</v>
      </c>
      <c r="D699" s="7" t="n">
        <v>0</v>
      </c>
      <c r="E699" s="7" t="n">
        <v>0</v>
      </c>
      <c r="F699" s="8" t="inlineStr">
        <is>
          <t>Low</t>
        </is>
      </c>
      <c r="G699" s="8" t="inlineStr">
        <is>
          <t>Low</t>
        </is>
      </c>
      <c r="H699">
        <f>IF(F699=G699,"YES","NO")</f>
        <v/>
      </c>
    </row>
    <row r="700">
      <c r="A700" s="6" t="inlineStr">
        <is>
          <t>Danielle Hobeika</t>
        </is>
      </c>
      <c r="B700" s="7" t="n">
        <v>11</v>
      </c>
      <c r="C700" s="7" t="n">
        <v>0</v>
      </c>
      <c r="D700" s="7" t="n">
        <v>0</v>
      </c>
      <c r="E700" s="7" t="n">
        <v>0</v>
      </c>
      <c r="F700" s="8" t="inlineStr">
        <is>
          <t>Low</t>
        </is>
      </c>
      <c r="G700" s="8" t="inlineStr">
        <is>
          <t>Low</t>
        </is>
      </c>
      <c r="H700">
        <f>IF(F700=G700,"YES","NO")</f>
        <v/>
      </c>
    </row>
    <row r="701">
      <c r="A701" s="6" t="inlineStr">
        <is>
          <t>Danielle Jakubcin</t>
        </is>
      </c>
      <c r="B701" s="7" t="n">
        <v>217</v>
      </c>
      <c r="C701" s="7" t="n">
        <v>1</v>
      </c>
      <c r="D701" s="7" t="n">
        <v>0.0046</v>
      </c>
      <c r="E701" s="7" t="n">
        <v>0.0008</v>
      </c>
      <c r="F701" s="8" t="inlineStr">
        <is>
          <t>Low</t>
        </is>
      </c>
      <c r="G701" s="8" t="inlineStr">
        <is>
          <t>Low</t>
        </is>
      </c>
      <c r="H701">
        <f>IF(F701=G701,"YES","NO")</f>
        <v/>
      </c>
    </row>
    <row r="702">
      <c r="A702" s="6" t="inlineStr">
        <is>
          <t>Danielle Moore</t>
        </is>
      </c>
      <c r="B702" s="7" t="n">
        <v>100</v>
      </c>
      <c r="C702" s="7" t="n">
        <v>1</v>
      </c>
      <c r="D702" s="7" t="n">
        <v>0.01</v>
      </c>
      <c r="E702" s="7" t="n">
        <v>0.0018</v>
      </c>
      <c r="F702" s="8" t="inlineStr">
        <is>
          <t>Low</t>
        </is>
      </c>
      <c r="G702" s="8" t="inlineStr">
        <is>
          <t>Low</t>
        </is>
      </c>
      <c r="H702">
        <f>IF(F702=G702,"YES","NO")</f>
        <v/>
      </c>
    </row>
    <row r="703">
      <c r="A703" s="6" t="inlineStr">
        <is>
          <t>Danny Wayne</t>
        </is>
      </c>
      <c r="B703" s="7" t="n">
        <v>16</v>
      </c>
      <c r="C703" s="7" t="n">
        <v>2</v>
      </c>
      <c r="D703" s="7" t="n">
        <v>0.125</v>
      </c>
      <c r="E703" s="7" t="n">
        <v>0.035</v>
      </c>
      <c r="F703" s="8" t="inlineStr">
        <is>
          <t>Low</t>
        </is>
      </c>
      <c r="G703" s="8" t="inlineStr">
        <is>
          <t>Medium</t>
        </is>
      </c>
      <c r="H703">
        <f>IF(F703=G703,"YES","NO")</f>
        <v/>
      </c>
    </row>
    <row r="704">
      <c r="A704" s="6" t="inlineStr">
        <is>
          <t>Darin Mai</t>
        </is>
      </c>
      <c r="B704" s="7" t="n">
        <v>2</v>
      </c>
      <c r="C704" s="7" t="n">
        <v>0</v>
      </c>
      <c r="D704" s="7" t="n">
        <v>0</v>
      </c>
      <c r="E704" s="7" t="n">
        <v>0</v>
      </c>
      <c r="F704" s="8" t="inlineStr">
        <is>
          <t>Low</t>
        </is>
      </c>
      <c r="G704" s="8" t="inlineStr">
        <is>
          <t>Low</t>
        </is>
      </c>
      <c r="H704">
        <f>IF(F704=G704,"YES","NO")</f>
        <v/>
      </c>
    </row>
    <row r="705">
      <c r="A705" s="6" t="inlineStr">
        <is>
          <t>Darrell Croson</t>
        </is>
      </c>
      <c r="B705" s="7" t="n">
        <v>48</v>
      </c>
      <c r="C705" s="7" t="n">
        <v>1</v>
      </c>
      <c r="D705" s="7" t="n">
        <v>0.0208</v>
      </c>
      <c r="E705" s="7" t="n">
        <v>0.0037</v>
      </c>
      <c r="F705" s="8" t="inlineStr">
        <is>
          <t>Low</t>
        </is>
      </c>
      <c r="G705" s="8" t="inlineStr">
        <is>
          <t>Low</t>
        </is>
      </c>
      <c r="H705">
        <f>IF(F705=G705,"YES","NO")</f>
        <v/>
      </c>
    </row>
    <row r="706">
      <c r="A706" s="6" t="inlineStr">
        <is>
          <t>Darren Bruhns</t>
        </is>
      </c>
      <c r="B706" s="7" t="n">
        <v>61</v>
      </c>
      <c r="C706" s="7" t="n">
        <v>6</v>
      </c>
      <c r="D706" s="7" t="n">
        <v>0.0984</v>
      </c>
      <c r="E706" s="7" t="n">
        <v>0.0459</v>
      </c>
      <c r="F706" s="8" t="inlineStr">
        <is>
          <t>Low</t>
        </is>
      </c>
      <c r="G706" s="8" t="inlineStr">
        <is>
          <t>Low</t>
        </is>
      </c>
      <c r="H706">
        <f>IF(F706=G706,"YES","NO")</f>
        <v/>
      </c>
    </row>
    <row r="707">
      <c r="A707" s="6" t="inlineStr">
        <is>
          <t>Darren Kappes</t>
        </is>
      </c>
      <c r="B707" s="7" t="n">
        <v>2</v>
      </c>
      <c r="C707" s="7" t="n">
        <v>0</v>
      </c>
      <c r="D707" s="7" t="n">
        <v>0</v>
      </c>
      <c r="E707" s="7" t="n">
        <v>0</v>
      </c>
      <c r="F707" s="8" t="inlineStr">
        <is>
          <t>Low</t>
        </is>
      </c>
      <c r="G707" s="8" t="inlineStr">
        <is>
          <t>Low</t>
        </is>
      </c>
      <c r="H707">
        <f>IF(F707=G707,"YES","NO")</f>
        <v/>
      </c>
    </row>
    <row r="708">
      <c r="A708" s="6" t="inlineStr">
        <is>
          <t>Darren Lucas</t>
        </is>
      </c>
      <c r="B708" s="7" t="n">
        <v>228</v>
      </c>
      <c r="C708" s="7" t="n">
        <v>3</v>
      </c>
      <c r="D708" s="7" t="n">
        <v>0.0132</v>
      </c>
      <c r="E708" s="7" t="n">
        <v>0.0045</v>
      </c>
      <c r="F708" s="8" t="inlineStr">
        <is>
          <t>Low</t>
        </is>
      </c>
      <c r="G708" s="8" t="inlineStr">
        <is>
          <t>Low</t>
        </is>
      </c>
      <c r="H708">
        <f>IF(F708=G708,"YES","NO")</f>
        <v/>
      </c>
    </row>
    <row r="709">
      <c r="A709" s="6" t="inlineStr">
        <is>
          <t>Darren McCarver</t>
        </is>
      </c>
      <c r="B709" s="7" t="n">
        <v>171</v>
      </c>
      <c r="C709" s="7" t="n">
        <v>0</v>
      </c>
      <c r="D709" s="7" t="n">
        <v>0</v>
      </c>
      <c r="E709" s="7" t="n">
        <v>0</v>
      </c>
      <c r="F709" s="8" t="inlineStr">
        <is>
          <t>Low</t>
        </is>
      </c>
      <c r="G709" s="8" t="inlineStr">
        <is>
          <t>Low</t>
        </is>
      </c>
      <c r="H709">
        <f>IF(F709=G709,"YES","NO")</f>
        <v/>
      </c>
    </row>
    <row r="710">
      <c r="A710" s="6" t="inlineStr">
        <is>
          <t>Darren Talbot</t>
        </is>
      </c>
      <c r="B710" s="7" t="n">
        <v>33</v>
      </c>
      <c r="C710" s="7" t="n">
        <v>0</v>
      </c>
      <c r="D710" s="7" t="n">
        <v>0</v>
      </c>
      <c r="E710" s="7" t="n">
        <v>0</v>
      </c>
      <c r="F710" s="8" t="inlineStr">
        <is>
          <t>Low</t>
        </is>
      </c>
      <c r="G710" s="8" t="inlineStr">
        <is>
          <t>Low</t>
        </is>
      </c>
      <c r="H710">
        <f>IF(F710=G710,"YES","NO")</f>
        <v/>
      </c>
    </row>
    <row r="711">
      <c r="A711" s="6" t="inlineStr">
        <is>
          <t>Daryl Sincere</t>
        </is>
      </c>
      <c r="B711" s="7" t="n">
        <v>13</v>
      </c>
      <c r="C711" s="7" t="n">
        <v>0</v>
      </c>
      <c r="D711" s="7" t="n">
        <v>0</v>
      </c>
      <c r="E711" s="7" t="n">
        <v>0</v>
      </c>
      <c r="F711" s="8" t="inlineStr">
        <is>
          <t>Low</t>
        </is>
      </c>
      <c r="G711" s="8" t="inlineStr">
        <is>
          <t>Low</t>
        </is>
      </c>
      <c r="H711">
        <f>IF(F711=G711,"YES","NO")</f>
        <v/>
      </c>
    </row>
    <row r="712">
      <c r="A712" s="6" t="inlineStr">
        <is>
          <t>Dave Crabtree</t>
        </is>
      </c>
      <c r="B712" s="7" t="n">
        <v>7</v>
      </c>
      <c r="C712" s="7" t="n">
        <v>0</v>
      </c>
      <c r="D712" s="7" t="n">
        <v>0</v>
      </c>
      <c r="E712" s="7" t="n">
        <v>0</v>
      </c>
      <c r="F712" s="8" t="inlineStr">
        <is>
          <t>Low</t>
        </is>
      </c>
      <c r="G712" s="8" t="inlineStr">
        <is>
          <t>Low</t>
        </is>
      </c>
      <c r="H712">
        <f>IF(F712=G712,"YES","NO")</f>
        <v/>
      </c>
    </row>
    <row r="713">
      <c r="A713" s="6" t="inlineStr">
        <is>
          <t>Dave Feighn</t>
        </is>
      </c>
      <c r="B713" s="7" t="n">
        <v>53</v>
      </c>
      <c r="C713" s="7" t="n">
        <v>0</v>
      </c>
      <c r="D713" s="7" t="n">
        <v>0</v>
      </c>
      <c r="E713" s="7" t="n">
        <v>0</v>
      </c>
      <c r="F713" s="8" t="inlineStr">
        <is>
          <t>Low</t>
        </is>
      </c>
      <c r="G713" s="8" t="inlineStr">
        <is>
          <t>Low</t>
        </is>
      </c>
      <c r="H713">
        <f>IF(F713=G713,"YES","NO")</f>
        <v/>
      </c>
    </row>
    <row r="714">
      <c r="A714" s="6" t="inlineStr">
        <is>
          <t>Dave Humphreys</t>
        </is>
      </c>
      <c r="B714" s="7" t="n">
        <v>12</v>
      </c>
      <c r="C714" s="7" t="n">
        <v>0</v>
      </c>
      <c r="D714" s="7" t="n">
        <v>0</v>
      </c>
      <c r="E714" s="7" t="n">
        <v>0</v>
      </c>
      <c r="F714" s="8" t="inlineStr">
        <is>
          <t>Low</t>
        </is>
      </c>
      <c r="G714" s="8" t="inlineStr">
        <is>
          <t>Low</t>
        </is>
      </c>
      <c r="H714">
        <f>IF(F714=G714,"YES","NO")</f>
        <v/>
      </c>
    </row>
    <row r="715">
      <c r="A715" s="6" t="inlineStr">
        <is>
          <t>Dave Luyando</t>
        </is>
      </c>
      <c r="B715" s="7" t="n">
        <v>6</v>
      </c>
      <c r="C715" s="7" t="n">
        <v>1</v>
      </c>
      <c r="D715" s="7" t="n">
        <v>0.1667</v>
      </c>
      <c r="E715" s="7" t="n">
        <v>0.0301</v>
      </c>
      <c r="F715" s="8" t="inlineStr">
        <is>
          <t>Low</t>
        </is>
      </c>
      <c r="G715" s="8" t="inlineStr">
        <is>
          <t>Low</t>
        </is>
      </c>
      <c r="H715">
        <f>IF(F715=G715,"YES","NO")</f>
        <v/>
      </c>
    </row>
    <row r="716">
      <c r="A716" s="6" t="inlineStr">
        <is>
          <t>David Archer</t>
        </is>
      </c>
      <c r="B716" s="7" t="n">
        <v>103</v>
      </c>
      <c r="C716" s="7" t="n">
        <v>1</v>
      </c>
      <c r="D716" s="7" t="n">
        <v>0.0097</v>
      </c>
      <c r="E716" s="7" t="n">
        <v>0.0017</v>
      </c>
      <c r="F716" s="8" t="inlineStr">
        <is>
          <t>Low</t>
        </is>
      </c>
      <c r="G716" s="8" t="inlineStr">
        <is>
          <t>Low</t>
        </is>
      </c>
      <c r="H716">
        <f>IF(F716=G716,"YES","NO")</f>
        <v/>
      </c>
    </row>
    <row r="717">
      <c r="A717" s="6" t="inlineStr">
        <is>
          <t>David Christy</t>
        </is>
      </c>
      <c r="B717" s="7" t="n">
        <v>1</v>
      </c>
      <c r="C717" s="7" t="n">
        <v>0</v>
      </c>
      <c r="D717" s="7" t="n">
        <v>0</v>
      </c>
      <c r="E717" s="7" t="n">
        <v>0</v>
      </c>
      <c r="F717" s="8" t="inlineStr">
        <is>
          <t>Low</t>
        </is>
      </c>
      <c r="G717" s="8" t="inlineStr">
        <is>
          <t>Low</t>
        </is>
      </c>
      <c r="H717">
        <f>IF(F717=G717,"YES","NO")</f>
        <v/>
      </c>
    </row>
    <row r="718">
      <c r="A718" s="6" t="inlineStr">
        <is>
          <t>David DeMaria</t>
        </is>
      </c>
      <c r="B718" s="7" t="n">
        <v>59</v>
      </c>
      <c r="C718" s="7" t="n">
        <v>7</v>
      </c>
      <c r="D718" s="7" t="n">
        <v>0.1186</v>
      </c>
      <c r="E718" s="7" t="n">
        <v>0.0587</v>
      </c>
      <c r="F718" s="8" t="inlineStr">
        <is>
          <t>Low</t>
        </is>
      </c>
      <c r="G718" s="8" t="inlineStr">
        <is>
          <t>Low</t>
        </is>
      </c>
      <c r="H718">
        <f>IF(F718=G718,"YES","NO")</f>
        <v/>
      </c>
    </row>
    <row r="719">
      <c r="A719" s="6" t="inlineStr">
        <is>
          <t>David DeMizio</t>
        </is>
      </c>
      <c r="B719" s="7" t="n">
        <v>137</v>
      </c>
      <c r="C719" s="7" t="n">
        <v>0</v>
      </c>
      <c r="D719" s="7" t="n">
        <v>0</v>
      </c>
      <c r="E719" s="7" t="n">
        <v>0</v>
      </c>
      <c r="F719" s="8" t="inlineStr">
        <is>
          <t>Low</t>
        </is>
      </c>
      <c r="G719" s="8" t="inlineStr">
        <is>
          <t>Low</t>
        </is>
      </c>
      <c r="H719">
        <f>IF(F719=G719,"YES","NO")</f>
        <v/>
      </c>
    </row>
    <row r="720">
      <c r="A720" s="6" t="inlineStr">
        <is>
          <t>David DiGiacomo</t>
        </is>
      </c>
      <c r="B720" s="7" t="n">
        <v>8</v>
      </c>
      <c r="C720" s="7" t="n">
        <v>0</v>
      </c>
      <c r="D720" s="7" t="n">
        <v>0</v>
      </c>
      <c r="E720" s="7" t="n">
        <v>0</v>
      </c>
      <c r="F720" s="8" t="inlineStr">
        <is>
          <t>Low</t>
        </is>
      </c>
      <c r="G720" s="8" t="inlineStr">
        <is>
          <t>Low</t>
        </is>
      </c>
      <c r="H720">
        <f>IF(F720=G720,"YES","NO")</f>
        <v/>
      </c>
    </row>
    <row r="721">
      <c r="A721" s="6" t="inlineStr">
        <is>
          <t>David Hale</t>
        </is>
      </c>
      <c r="B721" s="7" t="n">
        <v>4</v>
      </c>
      <c r="C721" s="7" t="n">
        <v>0</v>
      </c>
      <c r="D721" s="7" t="n">
        <v>0</v>
      </c>
      <c r="E721" s="7" t="n">
        <v>0</v>
      </c>
      <c r="F721" s="8" t="inlineStr">
        <is>
          <t>Low</t>
        </is>
      </c>
      <c r="G721" s="8" t="inlineStr">
        <is>
          <t>Low</t>
        </is>
      </c>
      <c r="H721">
        <f>IF(F721=G721,"YES","NO")</f>
        <v/>
      </c>
    </row>
    <row r="722">
      <c r="A722" s="6" t="inlineStr">
        <is>
          <t>David Holipski</t>
        </is>
      </c>
      <c r="B722" s="7" t="n">
        <v>93</v>
      </c>
      <c r="C722" s="7" t="n">
        <v>1</v>
      </c>
      <c r="D722" s="7" t="n">
        <v>0.0108</v>
      </c>
      <c r="E722" s="7" t="n">
        <v>0.0019</v>
      </c>
      <c r="F722" s="8" t="inlineStr">
        <is>
          <t>Low</t>
        </is>
      </c>
      <c r="G722" s="8" t="inlineStr">
        <is>
          <t>Low</t>
        </is>
      </c>
      <c r="H722">
        <f>IF(F722=G722,"YES","NO")</f>
        <v/>
      </c>
    </row>
    <row r="723">
      <c r="A723" s="6" t="inlineStr">
        <is>
          <t>David Humphrey</t>
        </is>
      </c>
      <c r="B723" s="7" t="n">
        <v>592</v>
      </c>
      <c r="C723" s="7" t="n">
        <v>76</v>
      </c>
      <c r="D723" s="7" t="n">
        <v>0.1284</v>
      </c>
      <c r="E723" s="7" t="n">
        <v>0.1038</v>
      </c>
      <c r="F723" s="8" t="inlineStr">
        <is>
          <t>Low</t>
        </is>
      </c>
      <c r="G723" s="8" t="inlineStr">
        <is>
          <t>Low</t>
        </is>
      </c>
      <c r="H723">
        <f>IF(F723=G723,"YES","NO")</f>
        <v/>
      </c>
    </row>
    <row r="724">
      <c r="A724" s="6" t="inlineStr">
        <is>
          <t>David Johnson</t>
        </is>
      </c>
      <c r="B724" s="7" t="n">
        <v>6</v>
      </c>
      <c r="C724" s="7" t="n">
        <v>0</v>
      </c>
      <c r="D724" s="7" t="n">
        <v>0</v>
      </c>
      <c r="E724" s="7" t="n">
        <v>0</v>
      </c>
      <c r="F724" s="8" t="inlineStr">
        <is>
          <t>Low</t>
        </is>
      </c>
      <c r="G724" s="8" t="inlineStr">
        <is>
          <t>Low</t>
        </is>
      </c>
      <c r="H724">
        <f>IF(F724=G724,"YES","NO")</f>
        <v/>
      </c>
    </row>
    <row r="725">
      <c r="A725" s="6" t="inlineStr">
        <is>
          <t>David Karp</t>
        </is>
      </c>
      <c r="B725" s="7" t="n">
        <v>8</v>
      </c>
      <c r="C725" s="7" t="n">
        <v>0</v>
      </c>
      <c r="D725" s="7" t="n">
        <v>0</v>
      </c>
      <c r="E725" s="7" t="n">
        <v>0</v>
      </c>
      <c r="F725" s="8" t="inlineStr">
        <is>
          <t>Low</t>
        </is>
      </c>
      <c r="G725" s="8" t="inlineStr">
        <is>
          <t>Low</t>
        </is>
      </c>
      <c r="H725">
        <f>IF(F725=G725,"YES","NO")</f>
        <v/>
      </c>
    </row>
    <row r="726">
      <c r="A726" s="6" t="inlineStr">
        <is>
          <t>David Kowalski</t>
        </is>
      </c>
      <c r="B726" s="7" t="n">
        <v>26</v>
      </c>
      <c r="C726" s="7" t="n">
        <v>0</v>
      </c>
      <c r="D726" s="7" t="n">
        <v>0</v>
      </c>
      <c r="E726" s="7" t="n">
        <v>0</v>
      </c>
      <c r="F726" s="8" t="inlineStr">
        <is>
          <t>Low</t>
        </is>
      </c>
      <c r="G726" s="8" t="inlineStr">
        <is>
          <t>Low</t>
        </is>
      </c>
      <c r="H726">
        <f>IF(F726=G726,"YES","NO")</f>
        <v/>
      </c>
    </row>
    <row r="727">
      <c r="A727" s="6" t="inlineStr">
        <is>
          <t>David McNair</t>
        </is>
      </c>
      <c r="B727" s="7" t="n">
        <v>19</v>
      </c>
      <c r="C727" s="7" t="n">
        <v>0</v>
      </c>
      <c r="D727" s="7" t="n">
        <v>0</v>
      </c>
      <c r="E727" s="7" t="n">
        <v>0</v>
      </c>
      <c r="F727" s="8" t="inlineStr">
        <is>
          <t>Low</t>
        </is>
      </c>
      <c r="G727" s="8" t="inlineStr">
        <is>
          <t>Low</t>
        </is>
      </c>
      <c r="H727">
        <f>IF(F727=G727,"YES","NO")</f>
        <v/>
      </c>
    </row>
    <row r="728">
      <c r="A728" s="6" t="inlineStr">
        <is>
          <t>David Propes</t>
        </is>
      </c>
      <c r="B728" s="7" t="n">
        <v>8</v>
      </c>
      <c r="C728" s="7" t="n">
        <v>0</v>
      </c>
      <c r="D728" s="7" t="n">
        <v>0</v>
      </c>
      <c r="E728" s="7" t="n">
        <v>0</v>
      </c>
      <c r="F728" s="8" t="inlineStr">
        <is>
          <t>Low</t>
        </is>
      </c>
      <c r="G728" s="8" t="inlineStr">
        <is>
          <t>Low</t>
        </is>
      </c>
      <c r="H728">
        <f>IF(F728=G728,"YES","NO")</f>
        <v/>
      </c>
    </row>
    <row r="729">
      <c r="A729" s="6" t="inlineStr">
        <is>
          <t>David Reynolds</t>
        </is>
      </c>
      <c r="B729" s="7" t="n">
        <v>1</v>
      </c>
      <c r="C729" s="7" t="n">
        <v>0</v>
      </c>
      <c r="D729" s="7" t="n">
        <v>0</v>
      </c>
      <c r="E729" s="7" t="n">
        <v>0</v>
      </c>
      <c r="F729" s="8" t="inlineStr">
        <is>
          <t>Low</t>
        </is>
      </c>
      <c r="G729" s="8" t="inlineStr">
        <is>
          <t>Low</t>
        </is>
      </c>
      <c r="H729">
        <f>IF(F729=G729,"YES","NO")</f>
        <v/>
      </c>
    </row>
    <row r="730">
      <c r="A730" s="6" t="inlineStr">
        <is>
          <t>David Smith</t>
        </is>
      </c>
      <c r="B730" s="7" t="n">
        <v>1</v>
      </c>
      <c r="C730" s="7" t="n">
        <v>0</v>
      </c>
      <c r="D730" s="7" t="n">
        <v>0</v>
      </c>
      <c r="E730" s="7" t="n">
        <v>0</v>
      </c>
      <c r="F730" s="8" t="inlineStr">
        <is>
          <t>Low</t>
        </is>
      </c>
      <c r="G730" s="8" t="inlineStr">
        <is>
          <t>Low</t>
        </is>
      </c>
      <c r="H730">
        <f>IF(F730=G730,"YES","NO")</f>
        <v/>
      </c>
    </row>
    <row r="731">
      <c r="A731" s="6" t="inlineStr">
        <is>
          <t>David Torbert</t>
        </is>
      </c>
      <c r="B731" s="7" t="n">
        <v>253</v>
      </c>
      <c r="C731" s="7" t="n">
        <v>5</v>
      </c>
      <c r="D731" s="7" t="n">
        <v>0.0198</v>
      </c>
      <c r="E731" s="7" t="n">
        <v>0.008500000000000001</v>
      </c>
      <c r="F731" s="8" t="inlineStr">
        <is>
          <t>Low</t>
        </is>
      </c>
      <c r="G731" s="8" t="inlineStr">
        <is>
          <t>Low</t>
        </is>
      </c>
      <c r="H731">
        <f>IF(F731=G731,"YES","NO")</f>
        <v/>
      </c>
    </row>
    <row r="732">
      <c r="A732" s="6" t="inlineStr">
        <is>
          <t>David Turechek</t>
        </is>
      </c>
      <c r="B732" s="7" t="n">
        <v>110</v>
      </c>
      <c r="C732" s="7" t="n">
        <v>5</v>
      </c>
      <c r="D732" s="7" t="n">
        <v>0.0455</v>
      </c>
      <c r="E732" s="7" t="n">
        <v>0.0196</v>
      </c>
      <c r="F732" s="8" t="inlineStr">
        <is>
          <t>Low</t>
        </is>
      </c>
      <c r="G732" s="8" t="inlineStr">
        <is>
          <t>Low</t>
        </is>
      </c>
      <c r="H732">
        <f>IF(F732=G732,"YES","NO")</f>
        <v/>
      </c>
    </row>
    <row r="733">
      <c r="A733" s="6" t="inlineStr">
        <is>
          <t>David Walton</t>
        </is>
      </c>
      <c r="B733" s="7" t="n">
        <v>64</v>
      </c>
      <c r="C733" s="7" t="n">
        <v>0</v>
      </c>
      <c r="D733" s="7" t="n">
        <v>0</v>
      </c>
      <c r="E733" s="7" t="n">
        <v>0</v>
      </c>
      <c r="F733" s="8" t="inlineStr">
        <is>
          <t>Low</t>
        </is>
      </c>
      <c r="G733" s="8" t="inlineStr">
        <is>
          <t>Low</t>
        </is>
      </c>
      <c r="H733">
        <f>IF(F733=G733,"YES","NO")</f>
        <v/>
      </c>
    </row>
    <row r="734">
      <c r="A734" s="6" t="inlineStr">
        <is>
          <t>David Whitten</t>
        </is>
      </c>
      <c r="B734" s="7" t="n">
        <v>20</v>
      </c>
      <c r="C734" s="7" t="n">
        <v>0</v>
      </c>
      <c r="D734" s="7" t="n">
        <v>0</v>
      </c>
      <c r="E734" s="7" t="n">
        <v>0</v>
      </c>
      <c r="F734" s="8" t="inlineStr">
        <is>
          <t>Low</t>
        </is>
      </c>
      <c r="G734" s="8" t="inlineStr">
        <is>
          <t>Low</t>
        </is>
      </c>
      <c r="H734">
        <f>IF(F734=G734,"YES","NO")</f>
        <v/>
      </c>
    </row>
    <row r="735">
      <c r="A735" s="6" t="inlineStr">
        <is>
          <t>David Zysk</t>
        </is>
      </c>
      <c r="B735" s="7" t="n">
        <v>8</v>
      </c>
      <c r="C735" s="7" t="n">
        <v>0</v>
      </c>
      <c r="D735" s="7" t="n">
        <v>0</v>
      </c>
      <c r="E735" s="7" t="n">
        <v>0</v>
      </c>
      <c r="F735" s="8" t="inlineStr">
        <is>
          <t>Low</t>
        </is>
      </c>
      <c r="G735" s="8" t="inlineStr">
        <is>
          <t>Low</t>
        </is>
      </c>
      <c r="H735">
        <f>IF(F735=G735,"YES","NO")</f>
        <v/>
      </c>
    </row>
    <row r="736">
      <c r="A736" s="6" t="inlineStr">
        <is>
          <t>Davie Wilden</t>
        </is>
      </c>
      <c r="B736" s="7" t="n">
        <v>10</v>
      </c>
      <c r="C736" s="7" t="n">
        <v>1</v>
      </c>
      <c r="D736" s="7" t="n">
        <v>0.1</v>
      </c>
      <c r="E736" s="7" t="n">
        <v>0.0179</v>
      </c>
      <c r="F736" s="8" t="inlineStr">
        <is>
          <t>Low</t>
        </is>
      </c>
      <c r="G736" s="8" t="inlineStr">
        <is>
          <t>Low</t>
        </is>
      </c>
      <c r="H736">
        <f>IF(F736=G736,"YES","NO")</f>
        <v/>
      </c>
    </row>
    <row r="737">
      <c r="A737" s="6" t="inlineStr">
        <is>
          <t>Davis   Gordon</t>
        </is>
      </c>
      <c r="B737" s="7" t="n">
        <v>281</v>
      </c>
      <c r="C737" s="7" t="n">
        <v>1</v>
      </c>
      <c r="D737" s="7" t="n">
        <v>0.0036</v>
      </c>
      <c r="E737" s="7" t="n">
        <v>0.0005999999999999999</v>
      </c>
      <c r="F737" s="8" t="inlineStr">
        <is>
          <t>Low</t>
        </is>
      </c>
      <c r="G737" s="8" t="inlineStr">
        <is>
          <t>Low</t>
        </is>
      </c>
      <c r="H737">
        <f>IF(F737=G737,"YES","NO")</f>
        <v/>
      </c>
    </row>
    <row r="738">
      <c r="A738" s="6" t="inlineStr">
        <is>
          <t>Dawson Church</t>
        </is>
      </c>
      <c r="B738" s="7" t="n">
        <v>2</v>
      </c>
      <c r="C738" s="7" t="n">
        <v>0</v>
      </c>
      <c r="D738" s="7" t="n">
        <v>0</v>
      </c>
      <c r="E738" s="7" t="n">
        <v>0</v>
      </c>
      <c r="F738" s="8" t="inlineStr">
        <is>
          <t>Low</t>
        </is>
      </c>
      <c r="G738" s="8" t="inlineStr">
        <is>
          <t>Medium</t>
        </is>
      </c>
      <c r="H738">
        <f>IF(F738=G738,"YES","NO")</f>
        <v/>
      </c>
    </row>
    <row r="739">
      <c r="A739" s="6" t="inlineStr">
        <is>
          <t>Dayna Karron</t>
        </is>
      </c>
      <c r="B739" s="7" t="n">
        <v>97</v>
      </c>
      <c r="C739" s="7" t="n">
        <v>3</v>
      </c>
      <c r="D739" s="7" t="n">
        <v>0.0309</v>
      </c>
      <c r="E739" s="7" t="n">
        <v>0.0106</v>
      </c>
      <c r="F739" s="8" t="inlineStr">
        <is>
          <t>Low</t>
        </is>
      </c>
      <c r="G739" s="8" t="inlineStr">
        <is>
          <t>Low</t>
        </is>
      </c>
      <c r="H739">
        <f>IF(F739=G739,"YES","NO")</f>
        <v/>
      </c>
    </row>
    <row r="740">
      <c r="A740" s="6" t="inlineStr">
        <is>
          <t>Dean Achterberg</t>
        </is>
      </c>
      <c r="B740" s="7" t="n">
        <v>13</v>
      </c>
      <c r="C740" s="7" t="n">
        <v>0</v>
      </c>
      <c r="D740" s="7" t="n">
        <v>0</v>
      </c>
      <c r="E740" s="7" t="n">
        <v>0</v>
      </c>
      <c r="F740" s="8" t="inlineStr">
        <is>
          <t>Low</t>
        </is>
      </c>
      <c r="G740" s="8" t="inlineStr">
        <is>
          <t>High</t>
        </is>
      </c>
      <c r="H740">
        <f>IF(F740=G740,"YES","NO")</f>
        <v/>
      </c>
    </row>
    <row r="741">
      <c r="A741" s="6" t="inlineStr">
        <is>
          <t>Dean Swenson</t>
        </is>
      </c>
      <c r="B741" s="7" t="n">
        <v>29</v>
      </c>
      <c r="C741" s="7" t="n">
        <v>1</v>
      </c>
      <c r="D741" s="7" t="n">
        <v>0.0345</v>
      </c>
      <c r="E741" s="7" t="n">
        <v>0.0061</v>
      </c>
      <c r="F741" s="8" t="inlineStr">
        <is>
          <t>Low</t>
        </is>
      </c>
      <c r="G741" s="8" t="inlineStr">
        <is>
          <t>Low</t>
        </is>
      </c>
      <c r="H741">
        <f>IF(F741=G741,"YES","NO")</f>
        <v/>
      </c>
    </row>
    <row r="742">
      <c r="A742" s="6" t="inlineStr">
        <is>
          <t>Deb Cogan</t>
        </is>
      </c>
      <c r="B742" s="7" t="n">
        <v>103</v>
      </c>
      <c r="C742" s="7" t="n">
        <v>0</v>
      </c>
      <c r="D742" s="7" t="n">
        <v>0</v>
      </c>
      <c r="E742" s="7" t="n">
        <v>0</v>
      </c>
      <c r="F742" s="8" t="inlineStr">
        <is>
          <t>Low</t>
        </is>
      </c>
      <c r="G742" s="8" t="inlineStr">
        <is>
          <t>Low</t>
        </is>
      </c>
      <c r="H742">
        <f>IF(F742=G742,"YES","NO")</f>
        <v/>
      </c>
    </row>
    <row r="743">
      <c r="A743" s="6" t="inlineStr">
        <is>
          <t>Debbie Holly</t>
        </is>
      </c>
      <c r="B743" s="7" t="n">
        <v>138</v>
      </c>
      <c r="C743" s="7" t="n">
        <v>8</v>
      </c>
      <c r="D743" s="7" t="n">
        <v>0.058</v>
      </c>
      <c r="E743" s="7" t="n">
        <v>0.0297</v>
      </c>
      <c r="F743" s="8" t="inlineStr">
        <is>
          <t>Low</t>
        </is>
      </c>
      <c r="G743" s="8" t="inlineStr">
        <is>
          <t>Low</t>
        </is>
      </c>
      <c r="H743">
        <f>IF(F743=G743,"YES","NO")</f>
        <v/>
      </c>
    </row>
    <row r="744">
      <c r="A744" s="6" t="inlineStr">
        <is>
          <t>Debora Gregg</t>
        </is>
      </c>
      <c r="B744" s="7" t="n">
        <v>198</v>
      </c>
      <c r="C744" s="7" t="n">
        <v>5</v>
      </c>
      <c r="D744" s="7" t="n">
        <v>0.0253</v>
      </c>
      <c r="E744" s="7" t="n">
        <v>0.0108</v>
      </c>
      <c r="F744" s="8" t="inlineStr">
        <is>
          <t>Low</t>
        </is>
      </c>
      <c r="G744" s="8" t="inlineStr">
        <is>
          <t>Low</t>
        </is>
      </c>
      <c r="H744">
        <f>IF(F744=G744,"YES","NO")</f>
        <v/>
      </c>
    </row>
    <row r="745">
      <c r="A745" s="6" t="inlineStr">
        <is>
          <t>Debra Dennis</t>
        </is>
      </c>
      <c r="B745" s="7" t="n">
        <v>34</v>
      </c>
      <c r="C745" s="7" t="n">
        <v>2</v>
      </c>
      <c r="D745" s="7" t="n">
        <v>0.0588</v>
      </c>
      <c r="E745" s="7" t="n">
        <v>0.0163</v>
      </c>
      <c r="F745" s="8" t="inlineStr">
        <is>
          <t>Low</t>
        </is>
      </c>
      <c r="G745" s="8" t="inlineStr">
        <is>
          <t>Low</t>
        </is>
      </c>
      <c r="H745">
        <f>IF(F745=G745,"YES","NO")</f>
        <v/>
      </c>
    </row>
    <row r="746">
      <c r="A746" s="6" t="inlineStr">
        <is>
          <t>Debra Healey</t>
        </is>
      </c>
      <c r="B746" s="7" t="n">
        <v>93</v>
      </c>
      <c r="C746" s="7" t="n">
        <v>9</v>
      </c>
      <c r="D746" s="7" t="n">
        <v>0.0968</v>
      </c>
      <c r="E746" s="7" t="n">
        <v>0.0518</v>
      </c>
      <c r="F746" s="8" t="inlineStr">
        <is>
          <t>Low</t>
        </is>
      </c>
      <c r="G746" s="8" t="inlineStr">
        <is>
          <t>Low</t>
        </is>
      </c>
      <c r="H746">
        <f>IF(F746=G746,"YES","NO")</f>
        <v/>
      </c>
    </row>
    <row r="747">
      <c r="A747" s="6" t="inlineStr">
        <is>
          <t>Del Countess</t>
        </is>
      </c>
      <c r="B747" s="7" t="n">
        <v>324</v>
      </c>
      <c r="C747" s="7" t="n">
        <v>21</v>
      </c>
      <c r="D747" s="7" t="n">
        <v>0.0648</v>
      </c>
      <c r="E747" s="7" t="n">
        <v>0.0428</v>
      </c>
      <c r="F747" s="8" t="inlineStr">
        <is>
          <t>Low</t>
        </is>
      </c>
      <c r="G747" s="8" t="inlineStr">
        <is>
          <t>Low</t>
        </is>
      </c>
      <c r="H747">
        <f>IF(F747=G747,"YES","NO")</f>
        <v/>
      </c>
    </row>
    <row r="748">
      <c r="A748" s="6" t="inlineStr">
        <is>
          <t>Demetrius Henry</t>
        </is>
      </c>
      <c r="B748" s="7" t="n">
        <v>6</v>
      </c>
      <c r="C748" s="7" t="n">
        <v>0</v>
      </c>
      <c r="D748" s="7" t="n">
        <v>0</v>
      </c>
      <c r="E748" s="7" t="n">
        <v>0</v>
      </c>
      <c r="F748" s="8" t="inlineStr">
        <is>
          <t>Low</t>
        </is>
      </c>
      <c r="G748" s="8" t="inlineStr">
        <is>
          <t>Low</t>
        </is>
      </c>
      <c r="H748">
        <f>IF(F748=G748,"YES","NO")</f>
        <v/>
      </c>
    </row>
    <row r="749">
      <c r="A749" s="6" t="inlineStr">
        <is>
          <t>Denis Baryshnikov</t>
        </is>
      </c>
      <c r="B749" s="7" t="n">
        <v>87</v>
      </c>
      <c r="C749" s="7" t="n">
        <v>2</v>
      </c>
      <c r="D749" s="7" t="n">
        <v>0.023</v>
      </c>
      <c r="E749" s="7" t="n">
        <v>0.0063</v>
      </c>
      <c r="F749" s="8" t="inlineStr">
        <is>
          <t>Low</t>
        </is>
      </c>
      <c r="G749" s="8" t="inlineStr">
        <is>
          <t>Low</t>
        </is>
      </c>
      <c r="H749">
        <f>IF(F749=G749,"YES","NO")</f>
        <v/>
      </c>
    </row>
    <row r="750">
      <c r="A750" s="6" t="inlineStr">
        <is>
          <t>Denise Hahn</t>
        </is>
      </c>
      <c r="B750" s="7" t="n">
        <v>1</v>
      </c>
      <c r="C750" s="7" t="n">
        <v>0</v>
      </c>
      <c r="D750" s="7" t="n">
        <v>0</v>
      </c>
      <c r="E750" s="7" t="n">
        <v>0</v>
      </c>
      <c r="F750" s="8" t="inlineStr">
        <is>
          <t>Low</t>
        </is>
      </c>
      <c r="G750" s="8" t="inlineStr">
        <is>
          <t>Low</t>
        </is>
      </c>
      <c r="H750">
        <f>IF(F750=G750,"YES","NO")</f>
        <v/>
      </c>
    </row>
    <row r="751">
      <c r="A751" s="6" t="inlineStr">
        <is>
          <t>Dennis Cameron</t>
        </is>
      </c>
      <c r="B751" s="7" t="n">
        <v>87</v>
      </c>
      <c r="C751" s="7" t="n">
        <v>0</v>
      </c>
      <c r="D751" s="7" t="n">
        <v>0</v>
      </c>
      <c r="E751" s="7" t="n">
        <v>0</v>
      </c>
      <c r="F751" s="8" t="inlineStr">
        <is>
          <t>Low</t>
        </is>
      </c>
      <c r="G751" s="8" t="inlineStr">
        <is>
          <t>Low</t>
        </is>
      </c>
      <c r="H751">
        <f>IF(F751=G751,"YES","NO")</f>
        <v/>
      </c>
    </row>
    <row r="752">
      <c r="A752" s="6" t="inlineStr">
        <is>
          <t>Dennis Garrettson</t>
        </is>
      </c>
      <c r="B752" s="7" t="n">
        <v>31</v>
      </c>
      <c r="C752" s="7" t="n">
        <v>0</v>
      </c>
      <c r="D752" s="7" t="n">
        <v>0</v>
      </c>
      <c r="E752" s="7" t="n">
        <v>0</v>
      </c>
      <c r="F752" s="8" t="inlineStr">
        <is>
          <t>Low</t>
        </is>
      </c>
      <c r="G752" s="8" t="inlineStr">
        <is>
          <t>Low</t>
        </is>
      </c>
      <c r="H752">
        <f>IF(F752=G752,"YES","NO")</f>
        <v/>
      </c>
    </row>
    <row r="753">
      <c r="A753" s="6" t="inlineStr">
        <is>
          <t>Derek Curry</t>
        </is>
      </c>
      <c r="B753" s="7" t="n">
        <v>45</v>
      </c>
      <c r="C753" s="7" t="n">
        <v>0</v>
      </c>
      <c r="D753" s="7" t="n">
        <v>0</v>
      </c>
      <c r="E753" s="7" t="n">
        <v>0</v>
      </c>
      <c r="F753" s="8" t="inlineStr">
        <is>
          <t>Low</t>
        </is>
      </c>
      <c r="G753" s="8" t="inlineStr">
        <is>
          <t>Low</t>
        </is>
      </c>
      <c r="H753">
        <f>IF(F753=G753,"YES","NO")</f>
        <v/>
      </c>
    </row>
    <row r="754">
      <c r="A754" s="6" t="inlineStr">
        <is>
          <t>Derek Helenihi</t>
        </is>
      </c>
      <c r="B754" s="7" t="n">
        <v>46</v>
      </c>
      <c r="C754" s="7" t="n">
        <v>7</v>
      </c>
      <c r="D754" s="7" t="n">
        <v>0.1522</v>
      </c>
      <c r="E754" s="7" t="n">
        <v>0.0757</v>
      </c>
      <c r="F754" s="8" t="inlineStr">
        <is>
          <t>Low</t>
        </is>
      </c>
      <c r="G754" s="8" t="inlineStr">
        <is>
          <t>Low</t>
        </is>
      </c>
      <c r="H754">
        <f>IF(F754=G754,"YES","NO")</f>
        <v/>
      </c>
    </row>
    <row r="755">
      <c r="A755" s="6" t="inlineStr">
        <is>
          <t>Derek Pratt</t>
        </is>
      </c>
      <c r="B755" s="7" t="n">
        <v>9</v>
      </c>
      <c r="C755" s="7" t="n">
        <v>0</v>
      </c>
      <c r="D755" s="7" t="n">
        <v>0</v>
      </c>
      <c r="E755" s="7" t="n">
        <v>0</v>
      </c>
      <c r="F755" s="8" t="inlineStr">
        <is>
          <t>Low</t>
        </is>
      </c>
      <c r="G755" s="8" t="inlineStr">
        <is>
          <t>Low</t>
        </is>
      </c>
      <c r="H755">
        <f>IF(F755=G755,"YES","NO")</f>
        <v/>
      </c>
    </row>
    <row r="756">
      <c r="A756" s="6" t="inlineStr">
        <is>
          <t>Devon Christensen</t>
        </is>
      </c>
      <c r="B756" s="7" t="n">
        <v>8</v>
      </c>
      <c r="C756" s="7" t="n">
        <v>0</v>
      </c>
      <c r="D756" s="7" t="n">
        <v>0</v>
      </c>
      <c r="E756" s="7" t="n">
        <v>0</v>
      </c>
      <c r="F756" s="8" t="inlineStr">
        <is>
          <t>Low</t>
        </is>
      </c>
      <c r="G756" s="8" t="inlineStr">
        <is>
          <t>Low</t>
        </is>
      </c>
      <c r="H756">
        <f>IF(F756=G756,"YES","NO")</f>
        <v/>
      </c>
    </row>
    <row r="757">
      <c r="A757" s="6" t="inlineStr">
        <is>
          <t>Devon Watts</t>
        </is>
      </c>
      <c r="B757" s="7" t="n">
        <v>1</v>
      </c>
      <c r="C757" s="7" t="n">
        <v>0</v>
      </c>
      <c r="D757" s="7" t="n">
        <v>0</v>
      </c>
      <c r="E757" s="7" t="n">
        <v>0</v>
      </c>
      <c r="F757" s="8" t="inlineStr">
        <is>
          <t>Low</t>
        </is>
      </c>
      <c r="G757" s="8" t="inlineStr">
        <is>
          <t>Low</t>
        </is>
      </c>
      <c r="H757">
        <f>IF(F757=G757,"YES","NO")</f>
        <v/>
      </c>
    </row>
    <row r="758">
      <c r="A758" s="6" t="inlineStr">
        <is>
          <t>Devry  Richardson</t>
        </is>
      </c>
      <c r="B758" s="7" t="n">
        <v>154</v>
      </c>
      <c r="C758" s="7" t="n">
        <v>6</v>
      </c>
      <c r="D758" s="7" t="n">
        <v>0.039</v>
      </c>
      <c r="E758" s="7" t="n">
        <v>0.018</v>
      </c>
      <c r="F758" s="8" t="inlineStr">
        <is>
          <t>Low</t>
        </is>
      </c>
      <c r="G758" s="8" t="inlineStr">
        <is>
          <t>Low</t>
        </is>
      </c>
      <c r="H758">
        <f>IF(F758=G758,"YES","NO")</f>
        <v/>
      </c>
    </row>
    <row r="759">
      <c r="A759" s="6" t="inlineStr">
        <is>
          <t>Diego  Pulido</t>
        </is>
      </c>
      <c r="B759" s="7" t="n">
        <v>139</v>
      </c>
      <c r="C759" s="7" t="n">
        <v>21</v>
      </c>
      <c r="D759" s="7" t="n">
        <v>0.1511</v>
      </c>
      <c r="E759" s="7" t="n">
        <v>0.101</v>
      </c>
      <c r="F759" s="8" t="inlineStr">
        <is>
          <t>Low</t>
        </is>
      </c>
      <c r="G759" s="8" t="inlineStr">
        <is>
          <t>Low</t>
        </is>
      </c>
      <c r="H759">
        <f>IF(F759=G759,"YES","NO")</f>
        <v/>
      </c>
    </row>
    <row r="760">
      <c r="A760" s="6" t="inlineStr">
        <is>
          <t>Dionte Smith</t>
        </is>
      </c>
      <c r="B760" s="7" t="n">
        <v>4</v>
      </c>
      <c r="C760" s="7" t="n">
        <v>0</v>
      </c>
      <c r="D760" s="7" t="n">
        <v>0</v>
      </c>
      <c r="E760" s="7" t="n">
        <v>0</v>
      </c>
      <c r="F760" s="8" t="inlineStr">
        <is>
          <t>Low</t>
        </is>
      </c>
      <c r="G760" s="8" t="inlineStr">
        <is>
          <t>Low</t>
        </is>
      </c>
      <c r="H760">
        <f>IF(F760=G760,"YES","NO")</f>
        <v/>
      </c>
    </row>
    <row r="761">
      <c r="A761" s="6" t="inlineStr">
        <is>
          <t>Don Amyx</t>
        </is>
      </c>
      <c r="B761" s="7" t="n">
        <v>1</v>
      </c>
      <c r="C761" s="7" t="n">
        <v>0</v>
      </c>
      <c r="D761" s="7" t="n">
        <v>0</v>
      </c>
      <c r="E761" s="7" t="n">
        <v>0</v>
      </c>
      <c r="F761" s="8" t="inlineStr">
        <is>
          <t>Low</t>
        </is>
      </c>
      <c r="G761" s="8" t="inlineStr">
        <is>
          <t>Low</t>
        </is>
      </c>
      <c r="H761">
        <f>IF(F761=G761,"YES","NO")</f>
        <v/>
      </c>
    </row>
    <row r="762">
      <c r="A762" s="6" t="inlineStr">
        <is>
          <t>Don Lewis</t>
        </is>
      </c>
      <c r="B762" s="7" t="n">
        <v>75</v>
      </c>
      <c r="C762" s="7" t="n">
        <v>2</v>
      </c>
      <c r="D762" s="7" t="n">
        <v>0.0267</v>
      </c>
      <c r="E762" s="7" t="n">
        <v>0.0073</v>
      </c>
      <c r="F762" s="8" t="inlineStr">
        <is>
          <t>Low</t>
        </is>
      </c>
      <c r="G762" s="8" t="inlineStr">
        <is>
          <t>Low</t>
        </is>
      </c>
      <c r="H762">
        <f>IF(F762=G762,"YES","NO")</f>
        <v/>
      </c>
    </row>
    <row r="763">
      <c r="A763" s="6" t="inlineStr">
        <is>
          <t>Donald Fleming</t>
        </is>
      </c>
      <c r="B763" s="7" t="n">
        <v>65</v>
      </c>
      <c r="C763" s="7" t="n">
        <v>1</v>
      </c>
      <c r="D763" s="7" t="n">
        <v>0.0154</v>
      </c>
      <c r="E763" s="7" t="n">
        <v>0.0027</v>
      </c>
      <c r="F763" s="8" t="inlineStr">
        <is>
          <t>Low</t>
        </is>
      </c>
      <c r="G763" s="8" t="inlineStr">
        <is>
          <t>Low</t>
        </is>
      </c>
      <c r="H763">
        <f>IF(F763=G763,"YES","NO")</f>
        <v/>
      </c>
    </row>
    <row r="764">
      <c r="A764" s="6" t="inlineStr">
        <is>
          <t>Donald Hoxha</t>
        </is>
      </c>
      <c r="B764" s="7" t="n">
        <v>5</v>
      </c>
      <c r="C764" s="7" t="n">
        <v>0</v>
      </c>
      <c r="D764" s="7" t="n">
        <v>0</v>
      </c>
      <c r="E764" s="7" t="n">
        <v>0</v>
      </c>
      <c r="F764" s="8" t="inlineStr">
        <is>
          <t>Low</t>
        </is>
      </c>
      <c r="G764" s="8" t="inlineStr">
        <is>
          <t>Medium</t>
        </is>
      </c>
      <c r="H764">
        <f>IF(F764=G764,"YES","NO")</f>
        <v/>
      </c>
    </row>
    <row r="765">
      <c r="A765" s="6" t="inlineStr">
        <is>
          <t>Donald Mihalevich</t>
        </is>
      </c>
      <c r="B765" s="7" t="n">
        <v>47</v>
      </c>
      <c r="C765" s="7" t="n">
        <v>0</v>
      </c>
      <c r="D765" s="7" t="n">
        <v>0</v>
      </c>
      <c r="E765" s="7" t="n">
        <v>0</v>
      </c>
      <c r="F765" s="8" t="inlineStr">
        <is>
          <t>Low</t>
        </is>
      </c>
      <c r="G765" s="8" t="inlineStr">
        <is>
          <t>Low</t>
        </is>
      </c>
      <c r="H765">
        <f>IF(F765=G765,"YES","NO")</f>
        <v/>
      </c>
    </row>
    <row r="766">
      <c r="A766" s="6" t="inlineStr">
        <is>
          <t>Donn Guanzon</t>
        </is>
      </c>
      <c r="B766" s="7" t="n">
        <v>95</v>
      </c>
      <c r="C766" s="7" t="n">
        <v>11</v>
      </c>
      <c r="D766" s="7" t="n">
        <v>0.1158</v>
      </c>
      <c r="E766" s="7" t="n">
        <v>0.0659</v>
      </c>
      <c r="F766" s="8" t="inlineStr">
        <is>
          <t>Low</t>
        </is>
      </c>
      <c r="G766" s="8" t="inlineStr">
        <is>
          <t>Low</t>
        </is>
      </c>
      <c r="H766">
        <f>IF(F766=G766,"YES","NO")</f>
        <v/>
      </c>
    </row>
    <row r="767">
      <c r="A767" s="6" t="inlineStr">
        <is>
          <t>Donna Heald</t>
        </is>
      </c>
      <c r="B767" s="7" t="n">
        <v>6</v>
      </c>
      <c r="C767" s="7" t="n">
        <v>0</v>
      </c>
      <c r="D767" s="7" t="n">
        <v>0</v>
      </c>
      <c r="E767" s="7" t="n">
        <v>0</v>
      </c>
      <c r="F767" s="8" t="inlineStr">
        <is>
          <t>Low</t>
        </is>
      </c>
      <c r="G767" s="8" t="inlineStr">
        <is>
          <t>Low</t>
        </is>
      </c>
      <c r="H767">
        <f>IF(F767=G767,"YES","NO")</f>
        <v/>
      </c>
    </row>
    <row r="768">
      <c r="A768" s="6" t="inlineStr">
        <is>
          <t>Donna May</t>
        </is>
      </c>
      <c r="B768" s="7" t="n">
        <v>265</v>
      </c>
      <c r="C768" s="7" t="n">
        <v>0</v>
      </c>
      <c r="D768" s="7" t="n">
        <v>0</v>
      </c>
      <c r="E768" s="7" t="n">
        <v>0</v>
      </c>
      <c r="F768" s="8" t="inlineStr">
        <is>
          <t>Low</t>
        </is>
      </c>
      <c r="G768" s="8" t="inlineStr">
        <is>
          <t>Low</t>
        </is>
      </c>
      <c r="H768">
        <f>IF(F768=G768,"YES","NO")</f>
        <v/>
      </c>
    </row>
    <row r="769">
      <c r="A769" s="6" t="inlineStr">
        <is>
          <t>Donna Roberts</t>
        </is>
      </c>
      <c r="B769" s="7" t="n">
        <v>6</v>
      </c>
      <c r="C769" s="7" t="n">
        <v>0</v>
      </c>
      <c r="D769" s="7" t="n">
        <v>0</v>
      </c>
      <c r="E769" s="7" t="n">
        <v>0</v>
      </c>
      <c r="F769" s="8" t="inlineStr">
        <is>
          <t>Low</t>
        </is>
      </c>
      <c r="G769" s="8" t="inlineStr">
        <is>
          <t>Low</t>
        </is>
      </c>
      <c r="H769">
        <f>IF(F769=G769,"YES","NO")</f>
        <v/>
      </c>
    </row>
    <row r="770">
      <c r="A770" s="6" t="inlineStr">
        <is>
          <t>Doreen Pitt</t>
        </is>
      </c>
      <c r="B770" s="7" t="n">
        <v>53</v>
      </c>
      <c r="C770" s="7" t="n">
        <v>0</v>
      </c>
      <c r="D770" s="7" t="n">
        <v>0</v>
      </c>
      <c r="E770" s="7" t="n">
        <v>0</v>
      </c>
      <c r="F770" s="8" t="inlineStr">
        <is>
          <t>Low</t>
        </is>
      </c>
      <c r="G770" s="8" t="inlineStr">
        <is>
          <t>Low</t>
        </is>
      </c>
      <c r="H770">
        <f>IF(F770=G770,"YES","NO")</f>
        <v/>
      </c>
    </row>
    <row r="771">
      <c r="A771" s="6" t="inlineStr">
        <is>
          <t>Dorein Plummer</t>
        </is>
      </c>
      <c r="B771" s="7" t="n">
        <v>5</v>
      </c>
      <c r="C771" s="7" t="n">
        <v>0</v>
      </c>
      <c r="D771" s="7" t="n">
        <v>0</v>
      </c>
      <c r="E771" s="7" t="n">
        <v>0</v>
      </c>
      <c r="F771" s="8" t="inlineStr">
        <is>
          <t>Low</t>
        </is>
      </c>
      <c r="G771" s="8" t="inlineStr">
        <is>
          <t>High</t>
        </is>
      </c>
      <c r="H771">
        <f>IF(F771=G771,"YES","NO")</f>
        <v/>
      </c>
    </row>
    <row r="772">
      <c r="A772" s="6" t="inlineStr">
        <is>
          <t>Doug Caprio</t>
        </is>
      </c>
      <c r="B772" s="7" t="n">
        <v>64</v>
      </c>
      <c r="C772" s="7" t="n">
        <v>11</v>
      </c>
      <c r="D772" s="7" t="n">
        <v>0.1719</v>
      </c>
      <c r="E772" s="7" t="n">
        <v>0.0988</v>
      </c>
      <c r="F772" s="8" t="inlineStr">
        <is>
          <t>Low</t>
        </is>
      </c>
      <c r="G772" s="8" t="inlineStr">
        <is>
          <t>High</t>
        </is>
      </c>
      <c r="H772">
        <f>IF(F772=G772,"YES","NO")</f>
        <v/>
      </c>
    </row>
    <row r="773">
      <c r="A773" s="6" t="inlineStr">
        <is>
          <t>Doug Chrisman</t>
        </is>
      </c>
      <c r="B773" s="7" t="n">
        <v>8</v>
      </c>
      <c r="C773" s="7" t="n">
        <v>0</v>
      </c>
      <c r="D773" s="7" t="n">
        <v>0</v>
      </c>
      <c r="E773" s="7" t="n">
        <v>0</v>
      </c>
      <c r="F773" s="8" t="inlineStr">
        <is>
          <t>Low</t>
        </is>
      </c>
      <c r="G773" s="8" t="inlineStr">
        <is>
          <t>Low</t>
        </is>
      </c>
      <c r="H773">
        <f>IF(F773=G773,"YES","NO")</f>
        <v/>
      </c>
    </row>
    <row r="774">
      <c r="A774" s="6" t="inlineStr">
        <is>
          <t>Doug Dick</t>
        </is>
      </c>
      <c r="B774" s="7" t="n">
        <v>38</v>
      </c>
      <c r="C774" s="7" t="n">
        <v>0</v>
      </c>
      <c r="D774" s="7" t="n">
        <v>0</v>
      </c>
      <c r="E774" s="7" t="n">
        <v>0</v>
      </c>
      <c r="F774" s="8" t="inlineStr">
        <is>
          <t>Low</t>
        </is>
      </c>
      <c r="G774" s="8" t="inlineStr">
        <is>
          <t>Low</t>
        </is>
      </c>
      <c r="H774">
        <f>IF(F774=G774,"YES","NO")</f>
        <v/>
      </c>
    </row>
    <row r="775">
      <c r="A775" s="6" t="inlineStr">
        <is>
          <t>Doug Farrell</t>
        </is>
      </c>
      <c r="B775" s="7" t="n">
        <v>1</v>
      </c>
      <c r="C775" s="7" t="n">
        <v>0</v>
      </c>
      <c r="D775" s="7" t="n">
        <v>0</v>
      </c>
      <c r="E775" s="7" t="n">
        <v>0</v>
      </c>
      <c r="F775" s="8" t="inlineStr">
        <is>
          <t>Low</t>
        </is>
      </c>
      <c r="G775" s="8" t="inlineStr">
        <is>
          <t>Low</t>
        </is>
      </c>
      <c r="H775">
        <f>IF(F775=G775,"YES","NO")</f>
        <v/>
      </c>
    </row>
    <row r="776">
      <c r="A776" s="6" t="inlineStr">
        <is>
          <t>Doug McDaniel</t>
        </is>
      </c>
      <c r="B776" s="7" t="n">
        <v>153</v>
      </c>
      <c r="C776" s="7" t="n">
        <v>7</v>
      </c>
      <c r="D776" s="7" t="n">
        <v>0.0458</v>
      </c>
      <c r="E776" s="7" t="n">
        <v>0.0223</v>
      </c>
      <c r="F776" s="8" t="inlineStr">
        <is>
          <t>Low</t>
        </is>
      </c>
      <c r="G776" s="8" t="inlineStr">
        <is>
          <t>Low</t>
        </is>
      </c>
      <c r="H776">
        <f>IF(F776=G776,"YES","NO")</f>
        <v/>
      </c>
    </row>
    <row r="777">
      <c r="A777" s="6" t="inlineStr">
        <is>
          <t>Doug Moore</t>
        </is>
      </c>
      <c r="B777" s="7" t="n">
        <v>3</v>
      </c>
      <c r="C777" s="7" t="n">
        <v>0</v>
      </c>
      <c r="D777" s="7" t="n">
        <v>0</v>
      </c>
      <c r="E777" s="7" t="n">
        <v>0</v>
      </c>
      <c r="F777" s="8" t="inlineStr">
        <is>
          <t>Low</t>
        </is>
      </c>
      <c r="G777" s="8" t="inlineStr">
        <is>
          <t>Medium</t>
        </is>
      </c>
      <c r="H777">
        <f>IF(F777=G777,"YES","NO")</f>
        <v/>
      </c>
    </row>
    <row r="778">
      <c r="A778" s="6" t="inlineStr">
        <is>
          <t>Doug Scott</t>
        </is>
      </c>
      <c r="B778" s="7" t="n">
        <v>115</v>
      </c>
      <c r="C778" s="7" t="n">
        <v>4</v>
      </c>
      <c r="D778" s="7" t="n">
        <v>0.0348</v>
      </c>
      <c r="E778" s="7" t="n">
        <v>0.0136</v>
      </c>
      <c r="F778" s="8" t="inlineStr">
        <is>
          <t>Low</t>
        </is>
      </c>
      <c r="G778" s="8" t="inlineStr">
        <is>
          <t>Low</t>
        </is>
      </c>
      <c r="H778">
        <f>IF(F778=G778,"YES","NO")</f>
        <v/>
      </c>
    </row>
    <row r="779">
      <c r="A779" s="6" t="inlineStr">
        <is>
          <t>Doug Wiseman</t>
        </is>
      </c>
      <c r="B779" s="7" t="n">
        <v>93</v>
      </c>
      <c r="C779" s="7" t="n">
        <v>0</v>
      </c>
      <c r="D779" s="7" t="n">
        <v>0</v>
      </c>
      <c r="E779" s="7" t="n">
        <v>0</v>
      </c>
      <c r="F779" s="8" t="inlineStr">
        <is>
          <t>Low</t>
        </is>
      </c>
      <c r="G779" s="8" t="inlineStr">
        <is>
          <t>Low</t>
        </is>
      </c>
      <c r="H779">
        <f>IF(F779=G779,"YES","NO")</f>
        <v/>
      </c>
    </row>
    <row r="780">
      <c r="A780" s="6" t="inlineStr">
        <is>
          <t>Douglas Tiffany</t>
        </is>
      </c>
      <c r="B780" s="7" t="n">
        <v>2</v>
      </c>
      <c r="C780" s="7" t="n">
        <v>0</v>
      </c>
      <c r="D780" s="7" t="n">
        <v>0</v>
      </c>
      <c r="E780" s="7" t="n">
        <v>0</v>
      </c>
      <c r="F780" s="8" t="inlineStr">
        <is>
          <t>Low</t>
        </is>
      </c>
      <c r="G780" s="8" t="inlineStr">
        <is>
          <t>Low</t>
        </is>
      </c>
      <c r="H780">
        <f>IF(F780=G780,"YES","NO")</f>
        <v/>
      </c>
    </row>
    <row r="781">
      <c r="A781" s="6" t="inlineStr">
        <is>
          <t>Douglas Woodside</t>
        </is>
      </c>
      <c r="B781" s="7" t="n">
        <v>21</v>
      </c>
      <c r="C781" s="7" t="n">
        <v>0</v>
      </c>
      <c r="D781" s="7" t="n">
        <v>0</v>
      </c>
      <c r="E781" s="7" t="n">
        <v>0</v>
      </c>
      <c r="F781" s="8" t="inlineStr">
        <is>
          <t>Low</t>
        </is>
      </c>
      <c r="G781" s="8" t="inlineStr">
        <is>
          <t>Low</t>
        </is>
      </c>
      <c r="H781">
        <f>IF(F781=G781,"YES","NO")</f>
        <v/>
      </c>
    </row>
    <row r="782">
      <c r="A782" s="6" t="inlineStr">
        <is>
          <t>Drew Meyer</t>
        </is>
      </c>
      <c r="B782" s="7" t="n">
        <v>17</v>
      </c>
      <c r="C782" s="7" t="n">
        <v>0</v>
      </c>
      <c r="D782" s="7" t="n">
        <v>0</v>
      </c>
      <c r="E782" s="7" t="n">
        <v>0</v>
      </c>
      <c r="F782" s="8" t="inlineStr">
        <is>
          <t>Low</t>
        </is>
      </c>
      <c r="G782" s="8" t="inlineStr">
        <is>
          <t>Low</t>
        </is>
      </c>
      <c r="H782">
        <f>IF(F782=G782,"YES","NO")</f>
        <v/>
      </c>
    </row>
    <row r="783">
      <c r="A783" s="6" t="inlineStr">
        <is>
          <t>Drew Pearson</t>
        </is>
      </c>
      <c r="B783" s="7" t="n">
        <v>1</v>
      </c>
      <c r="C783" s="7" t="n">
        <v>0</v>
      </c>
      <c r="D783" s="7" t="n">
        <v>0</v>
      </c>
      <c r="E783" s="7" t="n">
        <v>0</v>
      </c>
      <c r="F783" s="8" t="inlineStr">
        <is>
          <t>Low</t>
        </is>
      </c>
      <c r="G783" s="8" t="inlineStr">
        <is>
          <t>Low</t>
        </is>
      </c>
      <c r="H783">
        <f>IF(F783=G783,"YES","NO")</f>
        <v/>
      </c>
    </row>
    <row r="784">
      <c r="A784" s="6" t="inlineStr">
        <is>
          <t>Duffy  L'Huillier</t>
        </is>
      </c>
      <c r="B784" s="7" t="n">
        <v>6</v>
      </c>
      <c r="C784" s="7" t="n">
        <v>1</v>
      </c>
      <c r="D784" s="7" t="n">
        <v>0.1667</v>
      </c>
      <c r="E784" s="7" t="n">
        <v>0.0301</v>
      </c>
      <c r="F784" s="8" t="inlineStr">
        <is>
          <t>Low</t>
        </is>
      </c>
      <c r="G784" s="8" t="inlineStr">
        <is>
          <t>Low</t>
        </is>
      </c>
      <c r="H784">
        <f>IF(F784=G784,"YES","NO")</f>
        <v/>
      </c>
    </row>
    <row r="785">
      <c r="A785" s="6" t="inlineStr">
        <is>
          <t>Dustin Brown</t>
        </is>
      </c>
      <c r="B785" s="7" t="n">
        <v>2</v>
      </c>
      <c r="C785" s="7" t="n">
        <v>0</v>
      </c>
      <c r="D785" s="7" t="n">
        <v>0</v>
      </c>
      <c r="E785" s="7" t="n">
        <v>0</v>
      </c>
      <c r="F785" s="8" t="inlineStr">
        <is>
          <t>Low</t>
        </is>
      </c>
      <c r="G785" s="8" t="inlineStr">
        <is>
          <t>Low</t>
        </is>
      </c>
      <c r="H785">
        <f>IF(F785=G785,"YES","NO")</f>
        <v/>
      </c>
    </row>
    <row r="786">
      <c r="A786" s="6" t="inlineStr">
        <is>
          <t>Dustin O'Donnell</t>
        </is>
      </c>
      <c r="B786" s="7" t="n">
        <v>90</v>
      </c>
      <c r="C786" s="7" t="n">
        <v>0</v>
      </c>
      <c r="D786" s="7" t="n">
        <v>0</v>
      </c>
      <c r="E786" s="7" t="n">
        <v>0</v>
      </c>
      <c r="F786" s="8" t="inlineStr">
        <is>
          <t>Low</t>
        </is>
      </c>
      <c r="G786" s="8" t="inlineStr">
        <is>
          <t>Low</t>
        </is>
      </c>
      <c r="H786">
        <f>IF(F786=G786,"YES","NO")</f>
        <v/>
      </c>
    </row>
    <row r="787">
      <c r="A787" s="6" t="inlineStr">
        <is>
          <t>Dustin Odelson</t>
        </is>
      </c>
      <c r="B787" s="7" t="n">
        <v>23</v>
      </c>
      <c r="C787" s="7" t="n">
        <v>0</v>
      </c>
      <c r="D787" s="7" t="n">
        <v>0</v>
      </c>
      <c r="E787" s="7" t="n">
        <v>0</v>
      </c>
      <c r="F787" s="8" t="inlineStr">
        <is>
          <t>Low</t>
        </is>
      </c>
      <c r="G787" s="8" t="inlineStr">
        <is>
          <t>Medium</t>
        </is>
      </c>
      <c r="H787">
        <f>IF(F787=G787,"YES","NO")</f>
        <v/>
      </c>
    </row>
    <row r="788">
      <c r="A788" s="6" t="inlineStr">
        <is>
          <t>Dustin Pursley</t>
        </is>
      </c>
      <c r="B788" s="7" t="n">
        <v>18</v>
      </c>
      <c r="C788" s="7" t="n">
        <v>1</v>
      </c>
      <c r="D788" s="7" t="n">
        <v>0.0556</v>
      </c>
      <c r="E788" s="7" t="n">
        <v>0.009900000000000001</v>
      </c>
      <c r="F788" s="8" t="inlineStr">
        <is>
          <t>Low</t>
        </is>
      </c>
      <c r="G788" s="8" t="inlineStr">
        <is>
          <t>Low</t>
        </is>
      </c>
      <c r="H788">
        <f>IF(F788=G788,"YES","NO")</f>
        <v/>
      </c>
    </row>
    <row r="789">
      <c r="A789" s="6" t="inlineStr">
        <is>
          <t>Dustin Schenker</t>
        </is>
      </c>
      <c r="B789" s="7" t="n">
        <v>1</v>
      </c>
      <c r="C789" s="7" t="n">
        <v>0</v>
      </c>
      <c r="D789" s="7" t="n">
        <v>0</v>
      </c>
      <c r="E789" s="7" t="n">
        <v>0</v>
      </c>
      <c r="F789" s="8" t="inlineStr">
        <is>
          <t>Low</t>
        </is>
      </c>
      <c r="G789" s="8" t="inlineStr">
        <is>
          <t>Low</t>
        </is>
      </c>
      <c r="H789">
        <f>IF(F789=G789,"YES","NO")</f>
        <v/>
      </c>
    </row>
    <row r="790">
      <c r="A790" s="6" t="inlineStr">
        <is>
          <t>Dylan  Bonneau</t>
        </is>
      </c>
      <c r="B790" s="7" t="n">
        <v>111</v>
      </c>
      <c r="C790" s="7" t="n">
        <v>0</v>
      </c>
      <c r="D790" s="7" t="n">
        <v>0</v>
      </c>
      <c r="E790" s="7" t="n">
        <v>0</v>
      </c>
      <c r="F790" s="8" t="inlineStr">
        <is>
          <t>Low</t>
        </is>
      </c>
      <c r="G790" s="8" t="inlineStr">
        <is>
          <t>Low</t>
        </is>
      </c>
      <c r="H790">
        <f>IF(F790=G790,"YES","NO")</f>
        <v/>
      </c>
    </row>
    <row r="791">
      <c r="A791" s="6" t="inlineStr">
        <is>
          <t>Dylan Adhikari</t>
        </is>
      </c>
      <c r="B791" s="7" t="n">
        <v>1</v>
      </c>
      <c r="C791" s="7" t="n">
        <v>0</v>
      </c>
      <c r="D791" s="7" t="n">
        <v>0</v>
      </c>
      <c r="E791" s="7" t="n">
        <v>0</v>
      </c>
      <c r="F791" s="8" t="inlineStr">
        <is>
          <t>Low</t>
        </is>
      </c>
      <c r="G791" s="8" t="inlineStr">
        <is>
          <t>Low</t>
        </is>
      </c>
      <c r="H791">
        <f>IF(F791=G791,"YES","NO")</f>
        <v/>
      </c>
    </row>
    <row r="792">
      <c r="A792" s="6" t="inlineStr">
        <is>
          <t>Dylan Denning</t>
        </is>
      </c>
      <c r="B792" s="7" t="n">
        <v>21</v>
      </c>
      <c r="C792" s="7" t="n">
        <v>2</v>
      </c>
      <c r="D792" s="7" t="n">
        <v>0.09520000000000001</v>
      </c>
      <c r="E792" s="7" t="n">
        <v>0.0265</v>
      </c>
      <c r="F792" s="8" t="inlineStr">
        <is>
          <t>Low</t>
        </is>
      </c>
      <c r="G792" s="8" t="inlineStr">
        <is>
          <t>Low</t>
        </is>
      </c>
      <c r="H792">
        <f>IF(F792=G792,"YES","NO")</f>
        <v/>
      </c>
    </row>
    <row r="793">
      <c r="A793" s="6" t="inlineStr">
        <is>
          <t>Dylan McGowan</t>
        </is>
      </c>
      <c r="B793" s="7" t="n">
        <v>13</v>
      </c>
      <c r="C793" s="7" t="n">
        <v>0</v>
      </c>
      <c r="D793" s="7" t="n">
        <v>0</v>
      </c>
      <c r="E793" s="7" t="n">
        <v>0</v>
      </c>
      <c r="F793" s="8" t="inlineStr">
        <is>
          <t>Low</t>
        </is>
      </c>
      <c r="G793" s="8" t="inlineStr">
        <is>
          <t>Low</t>
        </is>
      </c>
      <c r="H793">
        <f>IF(F793=G793,"YES","NO")</f>
        <v/>
      </c>
    </row>
    <row r="794">
      <c r="A794" s="6" t="inlineStr">
        <is>
          <t>Dyson Redden</t>
        </is>
      </c>
      <c r="B794" s="7" t="n">
        <v>3</v>
      </c>
      <c r="C794" s="7" t="n">
        <v>0</v>
      </c>
      <c r="D794" s="7" t="n">
        <v>0</v>
      </c>
      <c r="E794" s="7" t="n">
        <v>0</v>
      </c>
      <c r="F794" s="8" t="inlineStr">
        <is>
          <t>Low</t>
        </is>
      </c>
      <c r="G794" s="8" t="inlineStr">
        <is>
          <t>Low</t>
        </is>
      </c>
      <c r="H794">
        <f>IF(F794=G794,"YES","NO")</f>
        <v/>
      </c>
    </row>
    <row r="795">
      <c r="A795" s="6" t="inlineStr">
        <is>
          <t>Ed Cassidy</t>
        </is>
      </c>
      <c r="B795" s="7" t="n">
        <v>91</v>
      </c>
      <c r="C795" s="7" t="n">
        <v>0</v>
      </c>
      <c r="D795" s="7" t="n">
        <v>0</v>
      </c>
      <c r="E795" s="7" t="n">
        <v>0</v>
      </c>
      <c r="F795" s="8" t="inlineStr">
        <is>
          <t>Low</t>
        </is>
      </c>
      <c r="G795" s="8" t="inlineStr">
        <is>
          <t>Low</t>
        </is>
      </c>
      <c r="H795">
        <f>IF(F795=G795,"YES","NO")</f>
        <v/>
      </c>
    </row>
    <row r="796">
      <c r="A796" s="6" t="inlineStr">
        <is>
          <t>Eddie Jones</t>
        </is>
      </c>
      <c r="B796" s="7" t="n">
        <v>80</v>
      </c>
      <c r="C796" s="7" t="n">
        <v>2</v>
      </c>
      <c r="D796" s="7" t="n">
        <v>0.025</v>
      </c>
      <c r="E796" s="7" t="n">
        <v>0.0069</v>
      </c>
      <c r="F796" s="8" t="inlineStr">
        <is>
          <t>Low</t>
        </is>
      </c>
      <c r="G796" s="8" t="inlineStr">
        <is>
          <t>Low</t>
        </is>
      </c>
      <c r="H796">
        <f>IF(F796=G796,"YES","NO")</f>
        <v/>
      </c>
    </row>
    <row r="797">
      <c r="A797" s="6" t="inlineStr">
        <is>
          <t>Elena Talley</t>
        </is>
      </c>
      <c r="B797" s="7" t="n">
        <v>9</v>
      </c>
      <c r="C797" s="7" t="n">
        <v>0</v>
      </c>
      <c r="D797" s="7" t="n">
        <v>0</v>
      </c>
      <c r="E797" s="7" t="n">
        <v>0</v>
      </c>
      <c r="F797" s="8" t="inlineStr">
        <is>
          <t>Low</t>
        </is>
      </c>
      <c r="G797" s="8" t="inlineStr">
        <is>
          <t>Low</t>
        </is>
      </c>
      <c r="H797">
        <f>IF(F797=G797,"YES","NO")</f>
        <v/>
      </c>
    </row>
    <row r="798">
      <c r="A798" s="6" t="inlineStr">
        <is>
          <t>Eli McDanel</t>
        </is>
      </c>
      <c r="B798" s="7" t="n">
        <v>3</v>
      </c>
      <c r="C798" s="7" t="n">
        <v>0</v>
      </c>
      <c r="D798" s="7" t="n">
        <v>0</v>
      </c>
      <c r="E798" s="7" t="n">
        <v>0</v>
      </c>
      <c r="F798" s="8" t="inlineStr">
        <is>
          <t>Low</t>
        </is>
      </c>
      <c r="G798" s="8" t="inlineStr">
        <is>
          <t>Low</t>
        </is>
      </c>
      <c r="H798">
        <f>IF(F798=G798,"YES","NO")</f>
        <v/>
      </c>
    </row>
    <row r="799">
      <c r="A799" s="6" t="inlineStr">
        <is>
          <t>Elie Amar</t>
        </is>
      </c>
      <c r="B799" s="7" t="n">
        <v>157</v>
      </c>
      <c r="C799" s="7" t="n">
        <v>6</v>
      </c>
      <c r="D799" s="7" t="n">
        <v>0.0382</v>
      </c>
      <c r="E799" s="7" t="n">
        <v>0.0176</v>
      </c>
      <c r="F799" s="8" t="inlineStr">
        <is>
          <t>Low</t>
        </is>
      </c>
      <c r="G799" s="8" t="inlineStr">
        <is>
          <t>Low</t>
        </is>
      </c>
      <c r="H799">
        <f>IF(F799=G799,"YES","NO")</f>
        <v/>
      </c>
    </row>
    <row r="800">
      <c r="A800" s="6" t="inlineStr">
        <is>
          <t>Elise Loeb</t>
        </is>
      </c>
      <c r="B800" s="7" t="n">
        <v>2</v>
      </c>
      <c r="C800" s="7" t="n">
        <v>0</v>
      </c>
      <c r="D800" s="7" t="n">
        <v>0</v>
      </c>
      <c r="E800" s="7" t="n">
        <v>0</v>
      </c>
      <c r="F800" s="8" t="inlineStr">
        <is>
          <t>Low</t>
        </is>
      </c>
      <c r="G800" s="8" t="inlineStr">
        <is>
          <t>Low</t>
        </is>
      </c>
      <c r="H800">
        <f>IF(F800=G800,"YES","NO")</f>
        <v/>
      </c>
    </row>
    <row r="801">
      <c r="A801" s="6" t="inlineStr">
        <is>
          <t>Elissa McGillivray</t>
        </is>
      </c>
      <c r="B801" s="7" t="n">
        <v>222</v>
      </c>
      <c r="C801" s="7" t="n">
        <v>23</v>
      </c>
      <c r="D801" s="7" t="n">
        <v>0.1036</v>
      </c>
      <c r="E801" s="7" t="n">
        <v>0.07000000000000001</v>
      </c>
      <c r="F801" s="8" t="inlineStr">
        <is>
          <t>Low</t>
        </is>
      </c>
      <c r="G801" s="8" t="inlineStr">
        <is>
          <t>Low</t>
        </is>
      </c>
      <c r="H801">
        <f>IF(F801=G801,"YES","NO")</f>
        <v/>
      </c>
    </row>
    <row r="802">
      <c r="A802" s="6" t="inlineStr">
        <is>
          <t>Ellen Kilkenny</t>
        </is>
      </c>
      <c r="B802" s="7" t="n">
        <v>1</v>
      </c>
      <c r="C802" s="7" t="n">
        <v>0</v>
      </c>
      <c r="D802" s="7" t="n">
        <v>0</v>
      </c>
      <c r="E802" s="7" t="n">
        <v>0</v>
      </c>
      <c r="F802" s="8" t="inlineStr">
        <is>
          <t>Low</t>
        </is>
      </c>
      <c r="G802" s="8" t="inlineStr">
        <is>
          <t>Low</t>
        </is>
      </c>
      <c r="H802">
        <f>IF(F802=G802,"YES","NO")</f>
        <v/>
      </c>
    </row>
    <row r="803">
      <c r="A803" s="6" t="inlineStr">
        <is>
          <t>Elliot Easterly</t>
        </is>
      </c>
      <c r="B803" s="7" t="n">
        <v>14</v>
      </c>
      <c r="C803" s="7" t="n">
        <v>0</v>
      </c>
      <c r="D803" s="7" t="n">
        <v>0</v>
      </c>
      <c r="E803" s="7" t="n">
        <v>0</v>
      </c>
      <c r="F803" s="8" t="inlineStr">
        <is>
          <t>Low</t>
        </is>
      </c>
      <c r="G803" s="8" t="inlineStr">
        <is>
          <t>Low</t>
        </is>
      </c>
      <c r="H803">
        <f>IF(F803=G803,"YES","NO")</f>
        <v/>
      </c>
    </row>
    <row r="804">
      <c r="A804" s="6" t="inlineStr">
        <is>
          <t>Elliot Misic</t>
        </is>
      </c>
      <c r="B804" s="7" t="n">
        <v>3</v>
      </c>
      <c r="C804" s="7" t="n">
        <v>0</v>
      </c>
      <c r="D804" s="7" t="n">
        <v>0</v>
      </c>
      <c r="E804" s="7" t="n">
        <v>0</v>
      </c>
      <c r="F804" s="8" t="inlineStr">
        <is>
          <t>Low</t>
        </is>
      </c>
      <c r="G804" s="8" t="inlineStr">
        <is>
          <t>Low</t>
        </is>
      </c>
      <c r="H804">
        <f>IF(F804=G804,"YES","NO")</f>
        <v/>
      </c>
    </row>
    <row r="805">
      <c r="A805" s="6" t="inlineStr">
        <is>
          <t>Emerson Wolfe</t>
        </is>
      </c>
      <c r="B805" s="7" t="n">
        <v>33</v>
      </c>
      <c r="C805" s="7" t="n">
        <v>2</v>
      </c>
      <c r="D805" s="7" t="n">
        <v>0.0606</v>
      </c>
      <c r="E805" s="7" t="n">
        <v>0.0168</v>
      </c>
      <c r="F805" s="8" t="inlineStr">
        <is>
          <t>Low</t>
        </is>
      </c>
      <c r="G805" s="8" t="inlineStr">
        <is>
          <t>Low</t>
        </is>
      </c>
      <c r="H805">
        <f>IF(F805=G805,"YES","NO")</f>
        <v/>
      </c>
    </row>
    <row r="806">
      <c r="A806" s="6" t="inlineStr">
        <is>
          <t>Emma Busig</t>
        </is>
      </c>
      <c r="B806" s="7" t="n">
        <v>137</v>
      </c>
      <c r="C806" s="7" t="n">
        <v>11</v>
      </c>
      <c r="D806" s="7" t="n">
        <v>0.0803</v>
      </c>
      <c r="E806" s="7" t="n">
        <v>0.0454</v>
      </c>
      <c r="F806" s="8" t="inlineStr">
        <is>
          <t>Low</t>
        </is>
      </c>
      <c r="G806" s="8" t="inlineStr">
        <is>
          <t>Low</t>
        </is>
      </c>
      <c r="H806">
        <f>IF(F806=G806,"YES","NO")</f>
        <v/>
      </c>
    </row>
    <row r="807">
      <c r="A807" s="6" t="inlineStr">
        <is>
          <t>Emma Spurlock</t>
        </is>
      </c>
      <c r="B807" s="7" t="n">
        <v>11</v>
      </c>
      <c r="C807" s="7" t="n">
        <v>0</v>
      </c>
      <c r="D807" s="7" t="n">
        <v>0</v>
      </c>
      <c r="E807" s="7" t="n">
        <v>0</v>
      </c>
      <c r="F807" s="8" t="inlineStr">
        <is>
          <t>Low</t>
        </is>
      </c>
      <c r="G807" s="8" t="inlineStr">
        <is>
          <t>Low</t>
        </is>
      </c>
      <c r="H807">
        <f>IF(F807=G807,"YES","NO")</f>
        <v/>
      </c>
    </row>
    <row r="808">
      <c r="A808" s="6" t="inlineStr">
        <is>
          <t>Eric Bird</t>
        </is>
      </c>
      <c r="B808" s="7" t="n">
        <v>6</v>
      </c>
      <c r="C808" s="7" t="n">
        <v>1</v>
      </c>
      <c r="D808" s="7" t="n">
        <v>0.1667</v>
      </c>
      <c r="E808" s="7" t="n">
        <v>0.0301</v>
      </c>
      <c r="F808" s="8" t="inlineStr">
        <is>
          <t>Low</t>
        </is>
      </c>
      <c r="G808" s="8" t="inlineStr">
        <is>
          <t>Low</t>
        </is>
      </c>
      <c r="H808">
        <f>IF(F808=G808,"YES","NO")</f>
        <v/>
      </c>
    </row>
    <row r="809">
      <c r="A809" s="6" t="inlineStr">
        <is>
          <t>Eric Harbrecht</t>
        </is>
      </c>
      <c r="B809" s="7" t="n">
        <v>2</v>
      </c>
      <c r="C809" s="7" t="n">
        <v>0</v>
      </c>
      <c r="D809" s="7" t="n">
        <v>0</v>
      </c>
      <c r="E809" s="7" t="n">
        <v>0</v>
      </c>
      <c r="F809" s="8" t="inlineStr">
        <is>
          <t>Low</t>
        </is>
      </c>
      <c r="G809" s="8" t="inlineStr">
        <is>
          <t>Low</t>
        </is>
      </c>
      <c r="H809">
        <f>IF(F809=G809,"YES","NO")</f>
        <v/>
      </c>
    </row>
    <row r="810">
      <c r="A810" s="6" t="inlineStr">
        <is>
          <t>Eric Juillerat</t>
        </is>
      </c>
      <c r="B810" s="7" t="n">
        <v>1</v>
      </c>
      <c r="C810" s="7" t="n">
        <v>0</v>
      </c>
      <c r="D810" s="7" t="n">
        <v>0</v>
      </c>
      <c r="E810" s="7" t="n">
        <v>0</v>
      </c>
      <c r="F810" s="8" t="inlineStr">
        <is>
          <t>Low</t>
        </is>
      </c>
      <c r="G810" s="8" t="inlineStr">
        <is>
          <t>Low</t>
        </is>
      </c>
      <c r="H810">
        <f>IF(F810=G810,"YES","NO")</f>
        <v/>
      </c>
    </row>
    <row r="811">
      <c r="A811" s="6" t="inlineStr">
        <is>
          <t>Eric Logan</t>
        </is>
      </c>
      <c r="B811" s="7" t="n">
        <v>6</v>
      </c>
      <c r="C811" s="7" t="n">
        <v>0</v>
      </c>
      <c r="D811" s="7" t="n">
        <v>0</v>
      </c>
      <c r="E811" s="7" t="n">
        <v>0</v>
      </c>
      <c r="F811" s="8" t="inlineStr">
        <is>
          <t>Low</t>
        </is>
      </c>
      <c r="G811" s="8" t="inlineStr">
        <is>
          <t>Low</t>
        </is>
      </c>
      <c r="H811">
        <f>IF(F811=G811,"YES","NO")</f>
        <v/>
      </c>
    </row>
    <row r="812">
      <c r="A812" s="6" t="inlineStr">
        <is>
          <t>Eric Obispo</t>
        </is>
      </c>
      <c r="B812" s="7" t="n">
        <v>1</v>
      </c>
      <c r="C812" s="7" t="n">
        <v>0</v>
      </c>
      <c r="D812" s="7" t="n">
        <v>0</v>
      </c>
      <c r="E812" s="7" t="n">
        <v>0</v>
      </c>
      <c r="F812" s="8" t="inlineStr">
        <is>
          <t>Low</t>
        </is>
      </c>
      <c r="G812" s="8" t="inlineStr">
        <is>
          <t>Low</t>
        </is>
      </c>
      <c r="H812">
        <f>IF(F812=G812,"YES","NO")</f>
        <v/>
      </c>
    </row>
    <row r="813">
      <c r="A813" s="6" t="inlineStr">
        <is>
          <t>Eric Strange</t>
        </is>
      </c>
      <c r="B813" s="7" t="n">
        <v>2</v>
      </c>
      <c r="C813" s="7" t="n">
        <v>0</v>
      </c>
      <c r="D813" s="7" t="n">
        <v>0</v>
      </c>
      <c r="E813" s="7" t="n">
        <v>0</v>
      </c>
      <c r="F813" s="8" t="inlineStr">
        <is>
          <t>Low</t>
        </is>
      </c>
      <c r="G813" s="8" t="inlineStr">
        <is>
          <t>Low</t>
        </is>
      </c>
      <c r="H813">
        <f>IF(F813=G813,"YES","NO")</f>
        <v/>
      </c>
    </row>
    <row r="814">
      <c r="A814" s="6" t="inlineStr">
        <is>
          <t>Erik Komurek</t>
        </is>
      </c>
      <c r="B814" s="7" t="n">
        <v>2</v>
      </c>
      <c r="C814" s="7" t="n">
        <v>0</v>
      </c>
      <c r="D814" s="7" t="n">
        <v>0</v>
      </c>
      <c r="E814" s="7" t="n">
        <v>0</v>
      </c>
      <c r="F814" s="8" t="inlineStr">
        <is>
          <t>Low</t>
        </is>
      </c>
      <c r="G814" s="8" t="inlineStr">
        <is>
          <t>Low</t>
        </is>
      </c>
      <c r="H814">
        <f>IF(F814=G814,"YES","NO")</f>
        <v/>
      </c>
    </row>
    <row r="815">
      <c r="A815" s="6" t="inlineStr">
        <is>
          <t>Erik Vinge</t>
        </is>
      </c>
      <c r="B815" s="7" t="n">
        <v>14</v>
      </c>
      <c r="C815" s="7" t="n">
        <v>0</v>
      </c>
      <c r="D815" s="7" t="n">
        <v>0</v>
      </c>
      <c r="E815" s="7" t="n">
        <v>0</v>
      </c>
      <c r="F815" s="8" t="inlineStr">
        <is>
          <t>Low</t>
        </is>
      </c>
      <c r="G815" s="8" t="inlineStr">
        <is>
          <t>Low</t>
        </is>
      </c>
      <c r="H815">
        <f>IF(F815=G815,"YES","NO")</f>
        <v/>
      </c>
    </row>
    <row r="816">
      <c r="A816" s="6" t="inlineStr">
        <is>
          <t>Erika Fennimore</t>
        </is>
      </c>
      <c r="B816" s="7" t="n">
        <v>434</v>
      </c>
      <c r="C816" s="7" t="n">
        <v>23</v>
      </c>
      <c r="D816" s="7" t="n">
        <v>0.053</v>
      </c>
      <c r="E816" s="7" t="n">
        <v>0.0356</v>
      </c>
      <c r="F816" s="8" t="inlineStr">
        <is>
          <t>Low</t>
        </is>
      </c>
      <c r="G816" s="8" t="inlineStr">
        <is>
          <t>Low</t>
        </is>
      </c>
      <c r="H816">
        <f>IF(F816=G816,"YES","NO")</f>
        <v/>
      </c>
    </row>
    <row r="817">
      <c r="A817" s="6" t="inlineStr">
        <is>
          <t>Erin Snarski</t>
        </is>
      </c>
      <c r="B817" s="7" t="n">
        <v>18</v>
      </c>
      <c r="C817" s="7" t="n">
        <v>0</v>
      </c>
      <c r="D817" s="7" t="n">
        <v>0</v>
      </c>
      <c r="E817" s="7" t="n">
        <v>0</v>
      </c>
      <c r="F817" s="8" t="inlineStr">
        <is>
          <t>Low</t>
        </is>
      </c>
      <c r="G817" s="8" t="inlineStr">
        <is>
          <t>High</t>
        </is>
      </c>
      <c r="H817">
        <f>IF(F817=G817,"YES","NO")</f>
        <v/>
      </c>
    </row>
    <row r="818">
      <c r="A818" s="6" t="inlineStr">
        <is>
          <t>Erin Young</t>
        </is>
      </c>
      <c r="B818" s="7" t="n">
        <v>3</v>
      </c>
      <c r="C818" s="7" t="n">
        <v>0</v>
      </c>
      <c r="D818" s="7" t="n">
        <v>0</v>
      </c>
      <c r="E818" s="7" t="n">
        <v>0</v>
      </c>
      <c r="F818" s="8" t="inlineStr">
        <is>
          <t>Low</t>
        </is>
      </c>
      <c r="G818" s="8" t="inlineStr">
        <is>
          <t>Low</t>
        </is>
      </c>
      <c r="H818">
        <f>IF(F818=G818,"YES","NO")</f>
        <v/>
      </c>
    </row>
    <row r="819">
      <c r="A819" s="6" t="inlineStr">
        <is>
          <t>Ernie Reguera</t>
        </is>
      </c>
      <c r="B819" s="7" t="n">
        <v>1</v>
      </c>
      <c r="C819" s="7" t="n">
        <v>0</v>
      </c>
      <c r="D819" s="7" t="n">
        <v>0</v>
      </c>
      <c r="E819" s="7" t="n">
        <v>0</v>
      </c>
      <c r="F819" s="8" t="inlineStr">
        <is>
          <t>Low</t>
        </is>
      </c>
      <c r="G819" s="8" t="inlineStr">
        <is>
          <t>Low</t>
        </is>
      </c>
      <c r="H819">
        <f>IF(F819=G819,"YES","NO")</f>
        <v/>
      </c>
    </row>
    <row r="820">
      <c r="A820" s="6" t="inlineStr">
        <is>
          <t>Ethan Drew</t>
        </is>
      </c>
      <c r="B820" s="7" t="n">
        <v>36</v>
      </c>
      <c r="C820" s="7" t="n">
        <v>0</v>
      </c>
      <c r="D820" s="7" t="n">
        <v>0</v>
      </c>
      <c r="E820" s="7" t="n">
        <v>0</v>
      </c>
      <c r="F820" s="8" t="inlineStr">
        <is>
          <t>Low</t>
        </is>
      </c>
      <c r="G820" s="8" t="inlineStr">
        <is>
          <t>Low</t>
        </is>
      </c>
      <c r="H820">
        <f>IF(F820=G820,"YES","NO")</f>
        <v/>
      </c>
    </row>
    <row r="821">
      <c r="A821" s="6" t="inlineStr">
        <is>
          <t>Ethan Faust</t>
        </is>
      </c>
      <c r="B821" s="7" t="n">
        <v>150</v>
      </c>
      <c r="C821" s="7" t="n">
        <v>21</v>
      </c>
      <c r="D821" s="7" t="n">
        <v>0.14</v>
      </c>
      <c r="E821" s="7" t="n">
        <v>0.0934</v>
      </c>
      <c r="F821" s="8" t="inlineStr">
        <is>
          <t>Low</t>
        </is>
      </c>
      <c r="G821" s="8" t="inlineStr">
        <is>
          <t>Low</t>
        </is>
      </c>
      <c r="H821">
        <f>IF(F821=G821,"YES","NO")</f>
        <v/>
      </c>
    </row>
    <row r="822">
      <c r="A822" s="6" t="inlineStr">
        <is>
          <t>Ethan Huntzinger</t>
        </is>
      </c>
      <c r="B822" s="7" t="n">
        <v>6</v>
      </c>
      <c r="C822" s="7" t="n">
        <v>0</v>
      </c>
      <c r="D822" s="7" t="n">
        <v>0</v>
      </c>
      <c r="E822" s="7" t="n">
        <v>0</v>
      </c>
      <c r="F822" s="8" t="inlineStr">
        <is>
          <t>Low</t>
        </is>
      </c>
      <c r="G822" s="8" t="inlineStr">
        <is>
          <t>High</t>
        </is>
      </c>
      <c r="H822">
        <f>IF(F822=G822,"YES","NO")</f>
        <v/>
      </c>
    </row>
    <row r="823">
      <c r="A823" s="6" t="inlineStr">
        <is>
          <t>Ethan Umlang</t>
        </is>
      </c>
      <c r="B823" s="7" t="n">
        <v>1</v>
      </c>
      <c r="C823" s="7" t="n">
        <v>0</v>
      </c>
      <c r="D823" s="7" t="n">
        <v>0</v>
      </c>
      <c r="E823" s="7" t="n">
        <v>0</v>
      </c>
      <c r="F823" s="8" t="inlineStr">
        <is>
          <t>Low</t>
        </is>
      </c>
      <c r="G823" s="8" t="inlineStr">
        <is>
          <t>Low</t>
        </is>
      </c>
      <c r="H823">
        <f>IF(F823=G823,"YES","NO")</f>
        <v/>
      </c>
    </row>
    <row r="824">
      <c r="A824" s="6" t="inlineStr">
        <is>
          <t>Ethan Wittenburg</t>
        </is>
      </c>
      <c r="B824" s="7" t="n">
        <v>89</v>
      </c>
      <c r="C824" s="7" t="n">
        <v>0</v>
      </c>
      <c r="D824" s="7" t="n">
        <v>0</v>
      </c>
      <c r="E824" s="7" t="n">
        <v>0</v>
      </c>
      <c r="F824" s="8" t="inlineStr">
        <is>
          <t>Low</t>
        </is>
      </c>
      <c r="G824" s="8" t="inlineStr">
        <is>
          <t>Low</t>
        </is>
      </c>
      <c r="H824">
        <f>IF(F824=G824,"YES","NO")</f>
        <v/>
      </c>
    </row>
    <row r="825">
      <c r="A825" s="6" t="inlineStr">
        <is>
          <t>Ethon Sandman</t>
        </is>
      </c>
      <c r="B825" s="7" t="n">
        <v>62</v>
      </c>
      <c r="C825" s="7" t="n">
        <v>1</v>
      </c>
      <c r="D825" s="7" t="n">
        <v>0.0161</v>
      </c>
      <c r="E825" s="7" t="n">
        <v>0.0029</v>
      </c>
      <c r="F825" s="8" t="inlineStr">
        <is>
          <t>Low</t>
        </is>
      </c>
      <c r="G825" s="8" t="inlineStr">
        <is>
          <t>Low</t>
        </is>
      </c>
      <c r="H825">
        <f>IF(F825=G825,"YES","NO")</f>
        <v/>
      </c>
    </row>
    <row r="826">
      <c r="A826" s="6" t="inlineStr">
        <is>
          <t>Eugene Daych</t>
        </is>
      </c>
      <c r="B826" s="7" t="n">
        <v>47</v>
      </c>
      <c r="C826" s="7" t="n">
        <v>0</v>
      </c>
      <c r="D826" s="7" t="n">
        <v>0</v>
      </c>
      <c r="E826" s="7" t="n">
        <v>0</v>
      </c>
      <c r="F826" s="8" t="inlineStr">
        <is>
          <t>Low</t>
        </is>
      </c>
      <c r="G826" s="8" t="inlineStr">
        <is>
          <t>Low</t>
        </is>
      </c>
      <c r="H826">
        <f>IF(F826=G826,"YES","NO")</f>
        <v/>
      </c>
    </row>
    <row r="827">
      <c r="A827" s="6" t="inlineStr">
        <is>
          <t>Eugene Golla</t>
        </is>
      </c>
      <c r="B827" s="7" t="n">
        <v>4</v>
      </c>
      <c r="C827" s="7" t="n">
        <v>0</v>
      </c>
      <c r="D827" s="7" t="n">
        <v>0</v>
      </c>
      <c r="E827" s="7" t="n">
        <v>0</v>
      </c>
      <c r="F827" s="8" t="inlineStr">
        <is>
          <t>Low</t>
        </is>
      </c>
      <c r="G827" s="8" t="inlineStr">
        <is>
          <t>Low</t>
        </is>
      </c>
      <c r="H827">
        <f>IF(F827=G827,"YES","NO")</f>
        <v/>
      </c>
    </row>
    <row r="828">
      <c r="A828" s="6" t="inlineStr">
        <is>
          <t>Eva Knoll</t>
        </is>
      </c>
      <c r="B828" s="7" t="n">
        <v>52</v>
      </c>
      <c r="C828" s="7" t="n">
        <v>0</v>
      </c>
      <c r="D828" s="7" t="n">
        <v>0</v>
      </c>
      <c r="E828" s="7" t="n">
        <v>0</v>
      </c>
      <c r="F828" s="8" t="inlineStr">
        <is>
          <t>Low</t>
        </is>
      </c>
      <c r="G828" s="8" t="inlineStr">
        <is>
          <t>Low</t>
        </is>
      </c>
      <c r="H828">
        <f>IF(F828=G828,"YES","NO")</f>
        <v/>
      </c>
    </row>
    <row r="829">
      <c r="A829" s="6" t="inlineStr">
        <is>
          <t>Evan Margelos</t>
        </is>
      </c>
      <c r="B829" s="7" t="n">
        <v>3</v>
      </c>
      <c r="C829" s="7" t="n">
        <v>0</v>
      </c>
      <c r="D829" s="7" t="n">
        <v>0</v>
      </c>
      <c r="E829" s="7" t="n">
        <v>0</v>
      </c>
      <c r="F829" s="8" t="inlineStr">
        <is>
          <t>Low</t>
        </is>
      </c>
      <c r="G829" s="8" t="inlineStr">
        <is>
          <t>Low</t>
        </is>
      </c>
      <c r="H829">
        <f>IF(F829=G829,"YES","NO")</f>
        <v/>
      </c>
    </row>
    <row r="830">
      <c r="A830" s="6" t="inlineStr">
        <is>
          <t>Farid Zadeh</t>
        </is>
      </c>
      <c r="B830" s="7" t="n">
        <v>30</v>
      </c>
      <c r="C830" s="7" t="n">
        <v>1</v>
      </c>
      <c r="D830" s="7" t="n">
        <v>0.0333</v>
      </c>
      <c r="E830" s="7" t="n">
        <v>0.0059</v>
      </c>
      <c r="F830" s="8" t="inlineStr">
        <is>
          <t>Low</t>
        </is>
      </c>
      <c r="G830" s="8" t="inlineStr">
        <is>
          <t>Low</t>
        </is>
      </c>
      <c r="H830">
        <f>IF(F830=G830,"YES","NO")</f>
        <v/>
      </c>
    </row>
    <row r="831">
      <c r="A831" s="6" t="inlineStr">
        <is>
          <t>Fernanda Hawkins</t>
        </is>
      </c>
      <c r="B831" s="7" t="n">
        <v>7</v>
      </c>
      <c r="C831" s="7" t="n">
        <v>0</v>
      </c>
      <c r="D831" s="7" t="n">
        <v>0</v>
      </c>
      <c r="E831" s="7" t="n">
        <v>0</v>
      </c>
      <c r="F831" s="8" t="inlineStr">
        <is>
          <t>Low</t>
        </is>
      </c>
      <c r="G831" s="8" t="inlineStr">
        <is>
          <t>Low</t>
        </is>
      </c>
      <c r="H831">
        <f>IF(F831=G831,"YES","NO")</f>
        <v/>
      </c>
    </row>
    <row r="832">
      <c r="A832" s="6" t="inlineStr">
        <is>
          <t>Flave Carpenter</t>
        </is>
      </c>
      <c r="B832" s="7" t="n">
        <v>13</v>
      </c>
      <c r="C832" s="7" t="n">
        <v>0</v>
      </c>
      <c r="D832" s="7" t="n">
        <v>0</v>
      </c>
      <c r="E832" s="7" t="n">
        <v>0</v>
      </c>
      <c r="F832" s="8" t="inlineStr">
        <is>
          <t>Low</t>
        </is>
      </c>
      <c r="G832" s="8" t="inlineStr">
        <is>
          <t>Low</t>
        </is>
      </c>
      <c r="H832">
        <f>IF(F832=G832,"YES","NO")</f>
        <v/>
      </c>
    </row>
    <row r="833">
      <c r="A833" s="6" t="inlineStr">
        <is>
          <t>Francisco Gausachs</t>
        </is>
      </c>
      <c r="B833" s="7" t="n">
        <v>14</v>
      </c>
      <c r="C833" s="7" t="n">
        <v>0</v>
      </c>
      <c r="D833" s="7" t="n">
        <v>0</v>
      </c>
      <c r="E833" s="7" t="n">
        <v>0</v>
      </c>
      <c r="F833" s="8" t="inlineStr">
        <is>
          <t>Low</t>
        </is>
      </c>
      <c r="G833" s="8" t="inlineStr">
        <is>
          <t>Low</t>
        </is>
      </c>
      <c r="H833">
        <f>IF(F833=G833,"YES","NO")</f>
        <v/>
      </c>
    </row>
    <row r="834">
      <c r="A834" s="6" t="inlineStr">
        <is>
          <t>Frank Gonzalez</t>
        </is>
      </c>
      <c r="B834" s="7" t="n">
        <v>2</v>
      </c>
      <c r="C834" s="7" t="n">
        <v>0</v>
      </c>
      <c r="D834" s="7" t="n">
        <v>0</v>
      </c>
      <c r="E834" s="7" t="n">
        <v>0</v>
      </c>
      <c r="F834" s="8" t="inlineStr">
        <is>
          <t>Low</t>
        </is>
      </c>
      <c r="G834" s="8" t="inlineStr">
        <is>
          <t>Low</t>
        </is>
      </c>
      <c r="H834">
        <f>IF(F834=G834,"YES","NO")</f>
        <v/>
      </c>
    </row>
    <row r="835">
      <c r="A835" s="6" t="inlineStr">
        <is>
          <t>Frank Kill</t>
        </is>
      </c>
      <c r="B835" s="7" t="n">
        <v>144</v>
      </c>
      <c r="C835" s="7" t="n">
        <v>3</v>
      </c>
      <c r="D835" s="7" t="n">
        <v>0.0208</v>
      </c>
      <c r="E835" s="7" t="n">
        <v>0.0071</v>
      </c>
      <c r="F835" s="8" t="inlineStr">
        <is>
          <t>Low</t>
        </is>
      </c>
      <c r="G835" s="8" t="inlineStr">
        <is>
          <t>Low</t>
        </is>
      </c>
      <c r="H835">
        <f>IF(F835=G835,"YES","NO")</f>
        <v/>
      </c>
    </row>
    <row r="836">
      <c r="A836" s="6" t="inlineStr">
        <is>
          <t>Frank Micela</t>
        </is>
      </c>
      <c r="B836" s="7" t="n">
        <v>1</v>
      </c>
      <c r="C836" s="7" t="n">
        <v>0</v>
      </c>
      <c r="D836" s="7" t="n">
        <v>0</v>
      </c>
      <c r="E836" s="7" t="n">
        <v>0</v>
      </c>
      <c r="F836" s="8" t="inlineStr">
        <is>
          <t>Low</t>
        </is>
      </c>
      <c r="G836" s="8" t="inlineStr">
        <is>
          <t>Low</t>
        </is>
      </c>
      <c r="H836">
        <f>IF(F836=G836,"YES","NO")</f>
        <v/>
      </c>
    </row>
    <row r="837">
      <c r="A837" s="6" t="inlineStr">
        <is>
          <t>Frank Somma</t>
        </is>
      </c>
      <c r="B837" s="7" t="n">
        <v>6</v>
      </c>
      <c r="C837" s="7" t="n">
        <v>0</v>
      </c>
      <c r="D837" s="7" t="n">
        <v>0</v>
      </c>
      <c r="E837" s="7" t="n">
        <v>0</v>
      </c>
      <c r="F837" s="8" t="inlineStr">
        <is>
          <t>Low</t>
        </is>
      </c>
      <c r="G837" s="8" t="inlineStr">
        <is>
          <t>Low</t>
        </is>
      </c>
      <c r="H837">
        <f>IF(F837=G837,"YES","NO")</f>
        <v/>
      </c>
    </row>
    <row r="838">
      <c r="A838" s="6" t="inlineStr">
        <is>
          <t>Fred Harlan</t>
        </is>
      </c>
      <c r="B838" s="7" t="n">
        <v>41</v>
      </c>
      <c r="C838" s="7" t="n">
        <v>2</v>
      </c>
      <c r="D838" s="7" t="n">
        <v>0.0488</v>
      </c>
      <c r="E838" s="7" t="n">
        <v>0.0135</v>
      </c>
      <c r="F838" s="8" t="inlineStr">
        <is>
          <t>Low</t>
        </is>
      </c>
      <c r="G838" s="8" t="inlineStr">
        <is>
          <t>Low</t>
        </is>
      </c>
      <c r="H838">
        <f>IF(F838=G838,"YES","NO")</f>
        <v/>
      </c>
    </row>
    <row r="839">
      <c r="A839" s="6" t="inlineStr">
        <is>
          <t>Fredy Noguera</t>
        </is>
      </c>
      <c r="B839" s="7" t="n">
        <v>1</v>
      </c>
      <c r="C839" s="7" t="n">
        <v>0</v>
      </c>
      <c r="D839" s="7" t="n">
        <v>0</v>
      </c>
      <c r="E839" s="7" t="n">
        <v>0</v>
      </c>
      <c r="F839" s="8" t="inlineStr">
        <is>
          <t>Low</t>
        </is>
      </c>
      <c r="G839" s="8" t="inlineStr">
        <is>
          <t>Low</t>
        </is>
      </c>
      <c r="H839">
        <f>IF(F839=G839,"YES","NO")</f>
        <v/>
      </c>
    </row>
    <row r="840">
      <c r="A840" s="6" t="inlineStr">
        <is>
          <t>Gabe Barkley</t>
        </is>
      </c>
      <c r="B840" s="7" t="n">
        <v>51</v>
      </c>
      <c r="C840" s="7" t="n">
        <v>6</v>
      </c>
      <c r="D840" s="7" t="n">
        <v>0.1176</v>
      </c>
      <c r="E840" s="7" t="n">
        <v>0.055</v>
      </c>
      <c r="F840" s="8" t="inlineStr">
        <is>
          <t>Low</t>
        </is>
      </c>
      <c r="G840" s="8" t="inlineStr">
        <is>
          <t>Low</t>
        </is>
      </c>
      <c r="H840">
        <f>IF(F840=G840,"YES","NO")</f>
        <v/>
      </c>
    </row>
    <row r="841">
      <c r="A841" s="6" t="inlineStr">
        <is>
          <t>Gabe Fritz</t>
        </is>
      </c>
      <c r="B841" s="7" t="n">
        <v>8</v>
      </c>
      <c r="C841" s="7" t="n">
        <v>1</v>
      </c>
      <c r="D841" s="7" t="n">
        <v>0.125</v>
      </c>
      <c r="E841" s="7" t="n">
        <v>0.0224</v>
      </c>
      <c r="F841" s="8" t="inlineStr">
        <is>
          <t>Low</t>
        </is>
      </c>
      <c r="G841" s="8" t="inlineStr">
        <is>
          <t>Low</t>
        </is>
      </c>
      <c r="H841">
        <f>IF(F841=G841,"YES","NO")</f>
        <v/>
      </c>
    </row>
    <row r="842">
      <c r="A842" s="6" t="inlineStr">
        <is>
          <t>Gage Edwards</t>
        </is>
      </c>
      <c r="B842" s="7" t="n">
        <v>243</v>
      </c>
      <c r="C842" s="7" t="n">
        <v>5</v>
      </c>
      <c r="D842" s="7" t="n">
        <v>0.0206</v>
      </c>
      <c r="E842" s="7" t="n">
        <v>0.008800000000000001</v>
      </c>
      <c r="F842" s="8" t="inlineStr">
        <is>
          <t>Low</t>
        </is>
      </c>
      <c r="G842" s="8" t="inlineStr">
        <is>
          <t>Low</t>
        </is>
      </c>
      <c r="H842">
        <f>IF(F842=G842,"YES","NO")</f>
        <v/>
      </c>
    </row>
    <row r="843">
      <c r="A843" s="6" t="inlineStr">
        <is>
          <t>Gage Gibson</t>
        </is>
      </c>
      <c r="B843" s="7" t="n">
        <v>1</v>
      </c>
      <c r="C843" s="7" t="n">
        <v>0</v>
      </c>
      <c r="D843" s="7" t="n">
        <v>0</v>
      </c>
      <c r="E843" s="7" t="n">
        <v>0</v>
      </c>
      <c r="F843" s="8" t="inlineStr">
        <is>
          <t>Low</t>
        </is>
      </c>
      <c r="G843" s="8" t="inlineStr">
        <is>
          <t>Low</t>
        </is>
      </c>
      <c r="H843">
        <f>IF(F843=G843,"YES","NO")</f>
        <v/>
      </c>
    </row>
    <row r="844">
      <c r="A844" s="6" t="inlineStr">
        <is>
          <t>Galen Bailey</t>
        </is>
      </c>
      <c r="B844" s="7" t="n">
        <v>74</v>
      </c>
      <c r="C844" s="7" t="n">
        <v>3</v>
      </c>
      <c r="D844" s="7" t="n">
        <v>0.0405</v>
      </c>
      <c r="E844" s="7" t="n">
        <v>0.0139</v>
      </c>
      <c r="F844" s="8" t="inlineStr">
        <is>
          <t>Low</t>
        </is>
      </c>
      <c r="G844" s="8" t="inlineStr">
        <is>
          <t>Low</t>
        </is>
      </c>
      <c r="H844">
        <f>IF(F844=G844,"YES","NO")</f>
        <v/>
      </c>
    </row>
    <row r="845">
      <c r="A845" s="6" t="inlineStr">
        <is>
          <t>Galen Fast</t>
        </is>
      </c>
      <c r="B845" s="7" t="n">
        <v>7</v>
      </c>
      <c r="C845" s="7" t="n">
        <v>0</v>
      </c>
      <c r="D845" s="7" t="n">
        <v>0</v>
      </c>
      <c r="E845" s="7" t="n">
        <v>0</v>
      </c>
      <c r="F845" s="8" t="inlineStr">
        <is>
          <t>Low</t>
        </is>
      </c>
      <c r="G845" s="8" t="inlineStr">
        <is>
          <t>Low</t>
        </is>
      </c>
      <c r="H845">
        <f>IF(F845=G845,"YES","NO")</f>
        <v/>
      </c>
    </row>
    <row r="846">
      <c r="A846" s="6" t="inlineStr">
        <is>
          <t>Garet Gordon</t>
        </is>
      </c>
      <c r="B846" s="7" t="n">
        <v>794</v>
      </c>
      <c r="C846" s="7" t="n">
        <v>49</v>
      </c>
      <c r="D846" s="7" t="n">
        <v>0.0617</v>
      </c>
      <c r="E846" s="7" t="n">
        <v>0.047</v>
      </c>
      <c r="F846" s="8" t="inlineStr">
        <is>
          <t>Low</t>
        </is>
      </c>
      <c r="G846" s="8" t="inlineStr">
        <is>
          <t>Low</t>
        </is>
      </c>
      <c r="H846">
        <f>IF(F846=G846,"YES","NO")</f>
        <v/>
      </c>
    </row>
    <row r="847">
      <c r="A847" s="6" t="inlineStr">
        <is>
          <t>Garrett Deemer</t>
        </is>
      </c>
      <c r="B847" s="7" t="n">
        <v>59</v>
      </c>
      <c r="C847" s="7" t="n">
        <v>5</v>
      </c>
      <c r="D847" s="7" t="n">
        <v>0.0847</v>
      </c>
      <c r="E847" s="7" t="n">
        <v>0.0367</v>
      </c>
      <c r="F847" s="8" t="inlineStr">
        <is>
          <t>Low</t>
        </is>
      </c>
      <c r="G847" s="8" t="inlineStr">
        <is>
          <t>Low</t>
        </is>
      </c>
      <c r="H847">
        <f>IF(F847=G847,"YES","NO")</f>
        <v/>
      </c>
    </row>
    <row r="848">
      <c r="A848" s="6" t="inlineStr">
        <is>
          <t>Garrett Fernandez</t>
        </is>
      </c>
      <c r="B848" s="7" t="n">
        <v>12</v>
      </c>
      <c r="C848" s="7" t="n">
        <v>2</v>
      </c>
      <c r="D848" s="7" t="n">
        <v>0.1667</v>
      </c>
      <c r="E848" s="7" t="n">
        <v>0.047</v>
      </c>
      <c r="F848" s="8" t="inlineStr">
        <is>
          <t>Low</t>
        </is>
      </c>
      <c r="G848" s="8" t="inlineStr">
        <is>
          <t>Medium</t>
        </is>
      </c>
      <c r="H848">
        <f>IF(F848=G848,"YES","NO")</f>
        <v/>
      </c>
    </row>
    <row r="849">
      <c r="A849" s="6" t="inlineStr">
        <is>
          <t>Garrett Judah</t>
        </is>
      </c>
      <c r="B849" s="7" t="n">
        <v>87</v>
      </c>
      <c r="C849" s="7" t="n">
        <v>0</v>
      </c>
      <c r="D849" s="7" t="n">
        <v>0</v>
      </c>
      <c r="E849" s="7" t="n">
        <v>0</v>
      </c>
      <c r="F849" s="8" t="inlineStr">
        <is>
          <t>Low</t>
        </is>
      </c>
      <c r="G849" s="8" t="inlineStr">
        <is>
          <t>Low</t>
        </is>
      </c>
      <c r="H849">
        <f>IF(F849=G849,"YES","NO")</f>
        <v/>
      </c>
    </row>
    <row r="850">
      <c r="A850" s="6" t="inlineStr">
        <is>
          <t>Gary Begg</t>
        </is>
      </c>
      <c r="B850" s="7" t="n">
        <v>51</v>
      </c>
      <c r="C850" s="7" t="n">
        <v>4</v>
      </c>
      <c r="D850" s="7" t="n">
        <v>0.0784</v>
      </c>
      <c r="E850" s="7" t="n">
        <v>0.0309</v>
      </c>
      <c r="F850" s="8" t="inlineStr">
        <is>
          <t>Low</t>
        </is>
      </c>
      <c r="G850" s="8" t="inlineStr">
        <is>
          <t>Low</t>
        </is>
      </c>
      <c r="H850">
        <f>IF(F850=G850,"YES","NO")</f>
        <v/>
      </c>
    </row>
    <row r="851">
      <c r="A851" s="6" t="inlineStr">
        <is>
          <t>Gary Cotugno</t>
        </is>
      </c>
      <c r="B851" s="7" t="n">
        <v>6</v>
      </c>
      <c r="C851" s="7" t="n">
        <v>0</v>
      </c>
      <c r="D851" s="7" t="n">
        <v>0</v>
      </c>
      <c r="E851" s="7" t="n">
        <v>0</v>
      </c>
      <c r="F851" s="8" t="inlineStr">
        <is>
          <t>Low</t>
        </is>
      </c>
      <c r="G851" s="8" t="inlineStr">
        <is>
          <t>Low</t>
        </is>
      </c>
      <c r="H851">
        <f>IF(F851=G851,"YES","NO")</f>
        <v/>
      </c>
    </row>
    <row r="852">
      <c r="A852" s="6" t="inlineStr">
        <is>
          <t>Gary Gomez</t>
        </is>
      </c>
      <c r="B852" s="7" t="n">
        <v>300</v>
      </c>
      <c r="C852" s="7" t="n">
        <v>9</v>
      </c>
      <c r="D852" s="7" t="n">
        <v>0.03</v>
      </c>
      <c r="E852" s="7" t="n">
        <v>0.0159</v>
      </c>
      <c r="F852" s="8" t="inlineStr">
        <is>
          <t>Low</t>
        </is>
      </c>
      <c r="G852" s="8" t="inlineStr">
        <is>
          <t>Low</t>
        </is>
      </c>
      <c r="H852">
        <f>IF(F852=G852,"YES","NO")</f>
        <v/>
      </c>
    </row>
    <row r="853">
      <c r="A853" s="6" t="inlineStr">
        <is>
          <t>Gary Gryski</t>
        </is>
      </c>
      <c r="B853" s="7" t="n">
        <v>225</v>
      </c>
      <c r="C853" s="7" t="n">
        <v>5</v>
      </c>
      <c r="D853" s="7" t="n">
        <v>0.0222</v>
      </c>
      <c r="E853" s="7" t="n">
        <v>0.0095</v>
      </c>
      <c r="F853" s="8" t="inlineStr">
        <is>
          <t>Low</t>
        </is>
      </c>
      <c r="G853" s="8" t="inlineStr">
        <is>
          <t>Low</t>
        </is>
      </c>
      <c r="H853">
        <f>IF(F853=G853,"YES","NO")</f>
        <v/>
      </c>
    </row>
    <row r="854">
      <c r="A854" s="6" t="inlineStr">
        <is>
          <t>Gary Hovind</t>
        </is>
      </c>
      <c r="B854" s="7" t="n">
        <v>2</v>
      </c>
      <c r="C854" s="7" t="n">
        <v>0</v>
      </c>
      <c r="D854" s="7" t="n">
        <v>0</v>
      </c>
      <c r="E854" s="7" t="n">
        <v>0</v>
      </c>
      <c r="F854" s="8" t="inlineStr">
        <is>
          <t>Low</t>
        </is>
      </c>
      <c r="G854" s="8" t="inlineStr">
        <is>
          <t>Low</t>
        </is>
      </c>
      <c r="H854">
        <f>IF(F854=G854,"YES","NO")</f>
        <v/>
      </c>
    </row>
    <row r="855">
      <c r="A855" s="6" t="inlineStr">
        <is>
          <t>Gary Thompson</t>
        </is>
      </c>
      <c r="B855" s="7" t="n">
        <v>5</v>
      </c>
      <c r="C855" s="7" t="n">
        <v>0</v>
      </c>
      <c r="D855" s="7" t="n">
        <v>0</v>
      </c>
      <c r="E855" s="7" t="n">
        <v>0</v>
      </c>
      <c r="F855" s="8" t="inlineStr">
        <is>
          <t>Low</t>
        </is>
      </c>
      <c r="G855" s="8" t="inlineStr">
        <is>
          <t>Low</t>
        </is>
      </c>
      <c r="H855">
        <f>IF(F855=G855,"YES","NO")</f>
        <v/>
      </c>
    </row>
    <row r="856">
      <c r="A856" s="6" t="inlineStr">
        <is>
          <t>Gavin Fenton</t>
        </is>
      </c>
      <c r="B856" s="7" t="n">
        <v>72</v>
      </c>
      <c r="C856" s="7" t="n">
        <v>0</v>
      </c>
      <c r="D856" s="7" t="n">
        <v>0</v>
      </c>
      <c r="E856" s="7" t="n">
        <v>0</v>
      </c>
      <c r="F856" s="8" t="inlineStr">
        <is>
          <t>Low</t>
        </is>
      </c>
      <c r="G856" s="8" t="inlineStr">
        <is>
          <t>Low</t>
        </is>
      </c>
      <c r="H856">
        <f>IF(F856=G856,"YES","NO")</f>
        <v/>
      </c>
    </row>
    <row r="857">
      <c r="A857" s="6" t="inlineStr">
        <is>
          <t>Gaye Carroll</t>
        </is>
      </c>
      <c r="B857" s="7" t="n">
        <v>2</v>
      </c>
      <c r="C857" s="7" t="n">
        <v>0</v>
      </c>
      <c r="D857" s="7" t="n">
        <v>0</v>
      </c>
      <c r="E857" s="7" t="n">
        <v>0</v>
      </c>
      <c r="F857" s="8" t="inlineStr">
        <is>
          <t>Low</t>
        </is>
      </c>
      <c r="G857" s="8" t="inlineStr">
        <is>
          <t>Low</t>
        </is>
      </c>
      <c r="H857">
        <f>IF(F857=G857,"YES","NO")</f>
        <v/>
      </c>
    </row>
    <row r="858">
      <c r="A858" s="6" t="inlineStr">
        <is>
          <t>Gene Claxton</t>
        </is>
      </c>
      <c r="B858" s="7" t="n">
        <v>196</v>
      </c>
      <c r="C858" s="7" t="n">
        <v>0</v>
      </c>
      <c r="D858" s="7" t="n">
        <v>0</v>
      </c>
      <c r="E858" s="7" t="n">
        <v>0</v>
      </c>
      <c r="F858" s="8" t="inlineStr">
        <is>
          <t>Low</t>
        </is>
      </c>
      <c r="G858" s="8" t="inlineStr">
        <is>
          <t>Low</t>
        </is>
      </c>
      <c r="H858">
        <f>IF(F858=G858,"YES","NO")</f>
        <v/>
      </c>
    </row>
    <row r="859">
      <c r="A859" s="6" t="inlineStr">
        <is>
          <t>Genesis Stevenson</t>
        </is>
      </c>
      <c r="B859" s="7" t="n">
        <v>5</v>
      </c>
      <c r="C859" s="7" t="n">
        <v>1</v>
      </c>
      <c r="D859" s="7" t="n">
        <v>0.2</v>
      </c>
      <c r="E859" s="7" t="n">
        <v>0.0362</v>
      </c>
      <c r="F859" s="8" t="inlineStr">
        <is>
          <t>Low</t>
        </is>
      </c>
      <c r="G859" s="8" t="inlineStr">
        <is>
          <t>Medium</t>
        </is>
      </c>
      <c r="H859">
        <f>IF(F859=G859,"YES","NO")</f>
        <v/>
      </c>
    </row>
    <row r="860">
      <c r="A860" s="6" t="inlineStr">
        <is>
          <t>Geoff McMillin</t>
        </is>
      </c>
      <c r="B860" s="7" t="n">
        <v>19</v>
      </c>
      <c r="C860" s="7" t="n">
        <v>1</v>
      </c>
      <c r="D860" s="7" t="n">
        <v>0.0526</v>
      </c>
      <c r="E860" s="7" t="n">
        <v>0.0094</v>
      </c>
      <c r="F860" s="8" t="inlineStr">
        <is>
          <t>Low</t>
        </is>
      </c>
      <c r="G860" s="8" t="inlineStr">
        <is>
          <t>Low</t>
        </is>
      </c>
      <c r="H860">
        <f>IF(F860=G860,"YES","NO")</f>
        <v/>
      </c>
    </row>
    <row r="861">
      <c r="A861" s="6" t="inlineStr">
        <is>
          <t>Geoffrey Pierson</t>
        </is>
      </c>
      <c r="B861" s="7" t="n">
        <v>60</v>
      </c>
      <c r="C861" s="7" t="n">
        <v>2</v>
      </c>
      <c r="D861" s="7" t="n">
        <v>0.0333</v>
      </c>
      <c r="E861" s="7" t="n">
        <v>0.0092</v>
      </c>
      <c r="F861" s="8" t="inlineStr">
        <is>
          <t>Low</t>
        </is>
      </c>
      <c r="G861" s="8" t="inlineStr">
        <is>
          <t>Low</t>
        </is>
      </c>
      <c r="H861">
        <f>IF(F861=G861,"YES","NO")</f>
        <v/>
      </c>
    </row>
    <row r="862">
      <c r="A862" s="6" t="inlineStr">
        <is>
          <t>Georganne Muse</t>
        </is>
      </c>
      <c r="B862" s="7" t="n">
        <v>124</v>
      </c>
      <c r="C862" s="7" t="n">
        <v>1</v>
      </c>
      <c r="D862" s="7" t="n">
        <v>0.0081</v>
      </c>
      <c r="E862" s="7" t="n">
        <v>0.0014</v>
      </c>
      <c r="F862" s="8" t="inlineStr">
        <is>
          <t>Low</t>
        </is>
      </c>
      <c r="G862" s="8" t="inlineStr">
        <is>
          <t>Low</t>
        </is>
      </c>
      <c r="H862">
        <f>IF(F862=G862,"YES","NO")</f>
        <v/>
      </c>
    </row>
    <row r="863">
      <c r="A863" s="6" t="inlineStr">
        <is>
          <t>George Barkett</t>
        </is>
      </c>
      <c r="B863" s="7" t="n">
        <v>516</v>
      </c>
      <c r="C863" s="7" t="n">
        <v>14</v>
      </c>
      <c r="D863" s="7" t="n">
        <v>0.0271</v>
      </c>
      <c r="E863" s="7" t="n">
        <v>0.0162</v>
      </c>
      <c r="F863" s="8" t="inlineStr">
        <is>
          <t>Low</t>
        </is>
      </c>
      <c r="G863" s="8" t="inlineStr">
        <is>
          <t>Low</t>
        </is>
      </c>
      <c r="H863">
        <f>IF(F863=G863,"YES","NO")</f>
        <v/>
      </c>
    </row>
    <row r="864">
      <c r="A864" s="6" t="inlineStr">
        <is>
          <t>George Dowling</t>
        </is>
      </c>
      <c r="B864" s="7" t="n">
        <v>242</v>
      </c>
      <c r="C864" s="7" t="n">
        <v>34</v>
      </c>
      <c r="D864" s="7" t="n">
        <v>0.1405</v>
      </c>
      <c r="E864" s="7" t="n">
        <v>0.1023</v>
      </c>
      <c r="F864" s="8" t="inlineStr">
        <is>
          <t>Low</t>
        </is>
      </c>
      <c r="G864" s="8" t="inlineStr">
        <is>
          <t>High</t>
        </is>
      </c>
      <c r="H864">
        <f>IF(F864=G864,"YES","NO")</f>
        <v/>
      </c>
    </row>
    <row r="865">
      <c r="A865" s="6" t="inlineStr">
        <is>
          <t>George Friedman</t>
        </is>
      </c>
      <c r="B865" s="7" t="n">
        <v>73</v>
      </c>
      <c r="C865" s="7" t="n">
        <v>2</v>
      </c>
      <c r="D865" s="7" t="n">
        <v>0.0274</v>
      </c>
      <c r="E865" s="7" t="n">
        <v>0.0075</v>
      </c>
      <c r="F865" s="8" t="inlineStr">
        <is>
          <t>Low</t>
        </is>
      </c>
      <c r="G865" s="8" t="inlineStr">
        <is>
          <t>Low</t>
        </is>
      </c>
      <c r="H865">
        <f>IF(F865=G865,"YES","NO")</f>
        <v/>
      </c>
    </row>
    <row r="866">
      <c r="A866" s="6" t="inlineStr">
        <is>
          <t>George Gastelo</t>
        </is>
      </c>
      <c r="B866" s="7" t="n">
        <v>77</v>
      </c>
      <c r="C866" s="7" t="n">
        <v>6</v>
      </c>
      <c r="D866" s="7" t="n">
        <v>0.0779</v>
      </c>
      <c r="E866" s="7" t="n">
        <v>0.0362</v>
      </c>
      <c r="F866" s="8" t="inlineStr">
        <is>
          <t>Low</t>
        </is>
      </c>
      <c r="G866" s="8" t="inlineStr">
        <is>
          <t>Low</t>
        </is>
      </c>
      <c r="H866">
        <f>IF(F866=G866,"YES","NO")</f>
        <v/>
      </c>
    </row>
    <row r="867">
      <c r="A867" s="6" t="inlineStr">
        <is>
          <t>George McClenahan</t>
        </is>
      </c>
      <c r="B867" s="7" t="n">
        <v>228</v>
      </c>
      <c r="C867" s="7" t="n">
        <v>0</v>
      </c>
      <c r="D867" s="7" t="n">
        <v>0</v>
      </c>
      <c r="E867" s="7" t="n">
        <v>0</v>
      </c>
      <c r="F867" s="8" t="inlineStr">
        <is>
          <t>Low</t>
        </is>
      </c>
      <c r="G867" s="8" t="inlineStr">
        <is>
          <t>Low</t>
        </is>
      </c>
      <c r="H867">
        <f>IF(F867=G867,"YES","NO")</f>
        <v/>
      </c>
    </row>
    <row r="868">
      <c r="A868" s="6" t="inlineStr">
        <is>
          <t>George Tarlas</t>
        </is>
      </c>
      <c r="B868" s="7" t="n">
        <v>24</v>
      </c>
      <c r="C868" s="7" t="n">
        <v>0</v>
      </c>
      <c r="D868" s="7" t="n">
        <v>0</v>
      </c>
      <c r="E868" s="7" t="n">
        <v>0</v>
      </c>
      <c r="F868" s="8" t="inlineStr">
        <is>
          <t>Low</t>
        </is>
      </c>
      <c r="G868" s="8" t="inlineStr">
        <is>
          <t>Low</t>
        </is>
      </c>
      <c r="H868">
        <f>IF(F868=G868,"YES","NO")</f>
        <v/>
      </c>
    </row>
    <row r="869">
      <c r="A869" s="6" t="inlineStr">
        <is>
          <t>George Venturella</t>
        </is>
      </c>
      <c r="B869" s="7" t="n">
        <v>171</v>
      </c>
      <c r="C869" s="7" t="n">
        <v>0</v>
      </c>
      <c r="D869" s="7" t="n">
        <v>0</v>
      </c>
      <c r="E869" s="7" t="n">
        <v>0</v>
      </c>
      <c r="F869" s="8" t="inlineStr">
        <is>
          <t>Low</t>
        </is>
      </c>
      <c r="G869" s="8" t="inlineStr">
        <is>
          <t>Low</t>
        </is>
      </c>
      <c r="H869">
        <f>IF(F869=G869,"YES","NO")</f>
        <v/>
      </c>
    </row>
    <row r="870">
      <c r="A870" s="6" t="inlineStr">
        <is>
          <t>Gilroy Cutinha</t>
        </is>
      </c>
      <c r="B870" s="7" t="n">
        <v>8</v>
      </c>
      <c r="C870" s="7" t="n">
        <v>0</v>
      </c>
      <c r="D870" s="7" t="n">
        <v>0</v>
      </c>
      <c r="E870" s="7" t="n">
        <v>0</v>
      </c>
      <c r="F870" s="8" t="inlineStr">
        <is>
          <t>Low</t>
        </is>
      </c>
      <c r="G870" s="8" t="inlineStr">
        <is>
          <t>Low</t>
        </is>
      </c>
      <c r="H870">
        <f>IF(F870=G870,"YES","NO")</f>
        <v/>
      </c>
    </row>
    <row r="871">
      <c r="A871" s="6" t="inlineStr">
        <is>
          <t>Ginny Aycock</t>
        </is>
      </c>
      <c r="B871" s="7" t="n">
        <v>2</v>
      </c>
      <c r="C871" s="7" t="n">
        <v>0</v>
      </c>
      <c r="D871" s="7" t="n">
        <v>0</v>
      </c>
      <c r="E871" s="7" t="n">
        <v>0</v>
      </c>
      <c r="F871" s="8" t="inlineStr">
        <is>
          <t>Low</t>
        </is>
      </c>
      <c r="G871" s="8" t="inlineStr">
        <is>
          <t>Low</t>
        </is>
      </c>
      <c r="H871">
        <f>IF(F871=G871,"YES","NO")</f>
        <v/>
      </c>
    </row>
    <row r="872">
      <c r="A872" s="6" t="inlineStr">
        <is>
          <t>Grady Condill</t>
        </is>
      </c>
      <c r="B872" s="7" t="n">
        <v>14</v>
      </c>
      <c r="C872" s="7" t="n">
        <v>0</v>
      </c>
      <c r="D872" s="7" t="n">
        <v>0</v>
      </c>
      <c r="E872" s="7" t="n">
        <v>0</v>
      </c>
      <c r="F872" s="8" t="inlineStr">
        <is>
          <t>Low</t>
        </is>
      </c>
      <c r="G872" s="8" t="inlineStr">
        <is>
          <t>Low</t>
        </is>
      </c>
      <c r="H872">
        <f>IF(F872=G872,"YES","NO")</f>
        <v/>
      </c>
    </row>
    <row r="873">
      <c r="A873" s="6" t="inlineStr">
        <is>
          <t>Grant Castle</t>
        </is>
      </c>
      <c r="B873" s="7" t="n">
        <v>4</v>
      </c>
      <c r="C873" s="7" t="n">
        <v>0</v>
      </c>
      <c r="D873" s="7" t="n">
        <v>0</v>
      </c>
      <c r="E873" s="7" t="n">
        <v>0</v>
      </c>
      <c r="F873" s="8" t="inlineStr">
        <is>
          <t>Low</t>
        </is>
      </c>
      <c r="G873" s="8" t="inlineStr">
        <is>
          <t>Low</t>
        </is>
      </c>
      <c r="H873">
        <f>IF(F873=G873,"YES","NO")</f>
        <v/>
      </c>
    </row>
    <row r="874">
      <c r="A874" s="6" t="inlineStr">
        <is>
          <t>Grant Crowell</t>
        </is>
      </c>
      <c r="B874" s="7" t="n">
        <v>1</v>
      </c>
      <c r="C874" s="7" t="n">
        <v>0</v>
      </c>
      <c r="D874" s="7" t="n">
        <v>0</v>
      </c>
      <c r="E874" s="7" t="n">
        <v>0</v>
      </c>
      <c r="F874" s="8" t="inlineStr">
        <is>
          <t>Low</t>
        </is>
      </c>
      <c r="G874" s="8" t="inlineStr">
        <is>
          <t>Low</t>
        </is>
      </c>
      <c r="H874">
        <f>IF(F874=G874,"YES","NO")</f>
        <v/>
      </c>
    </row>
    <row r="875">
      <c r="A875" s="6" t="inlineStr">
        <is>
          <t>Grant Simpson</t>
        </is>
      </c>
      <c r="B875" s="7" t="n">
        <v>26</v>
      </c>
      <c r="C875" s="7" t="n">
        <v>2</v>
      </c>
      <c r="D875" s="7" t="n">
        <v>0.0769</v>
      </c>
      <c r="E875" s="7" t="n">
        <v>0.0214</v>
      </c>
      <c r="F875" s="8" t="inlineStr">
        <is>
          <t>Low</t>
        </is>
      </c>
      <c r="G875" s="8" t="inlineStr">
        <is>
          <t>Low</t>
        </is>
      </c>
      <c r="H875">
        <f>IF(F875=G875,"YES","NO")</f>
        <v/>
      </c>
    </row>
    <row r="876">
      <c r="A876" s="6" t="inlineStr">
        <is>
          <t>Grant Ward</t>
        </is>
      </c>
      <c r="B876" s="7" t="n">
        <v>4</v>
      </c>
      <c r="C876" s="7" t="n">
        <v>0</v>
      </c>
      <c r="D876" s="7" t="n">
        <v>0</v>
      </c>
      <c r="E876" s="7" t="n">
        <v>0</v>
      </c>
      <c r="F876" s="8" t="inlineStr">
        <is>
          <t>Low</t>
        </is>
      </c>
      <c r="G876" s="8" t="inlineStr">
        <is>
          <t>Low</t>
        </is>
      </c>
      <c r="H876">
        <f>IF(F876=G876,"YES","NO")</f>
        <v/>
      </c>
    </row>
    <row r="877">
      <c r="A877" s="6" t="inlineStr">
        <is>
          <t>Greg Filardo</t>
        </is>
      </c>
      <c r="B877" s="7" t="n">
        <v>68</v>
      </c>
      <c r="C877" s="7" t="n">
        <v>0</v>
      </c>
      <c r="D877" s="7" t="n">
        <v>0</v>
      </c>
      <c r="E877" s="7" t="n">
        <v>0</v>
      </c>
      <c r="F877" s="8" t="inlineStr">
        <is>
          <t>Low</t>
        </is>
      </c>
      <c r="G877" s="8" t="inlineStr">
        <is>
          <t>Low</t>
        </is>
      </c>
      <c r="H877">
        <f>IF(F877=G877,"YES","NO")</f>
        <v/>
      </c>
    </row>
    <row r="878">
      <c r="A878" s="6" t="inlineStr">
        <is>
          <t>Greg Gisler</t>
        </is>
      </c>
      <c r="B878" s="7" t="n">
        <v>8</v>
      </c>
      <c r="C878" s="7" t="n">
        <v>0</v>
      </c>
      <c r="D878" s="7" t="n">
        <v>0</v>
      </c>
      <c r="E878" s="7" t="n">
        <v>0</v>
      </c>
      <c r="F878" s="8" t="inlineStr">
        <is>
          <t>Low</t>
        </is>
      </c>
      <c r="G878" s="8" t="inlineStr">
        <is>
          <t>Medium</t>
        </is>
      </c>
      <c r="H878">
        <f>IF(F878=G878,"YES","NO")</f>
        <v/>
      </c>
    </row>
    <row r="879">
      <c r="A879" s="6" t="inlineStr">
        <is>
          <t>Greg Gold</t>
        </is>
      </c>
      <c r="B879" s="7" t="n">
        <v>62</v>
      </c>
      <c r="C879" s="7" t="n">
        <v>0</v>
      </c>
      <c r="D879" s="7" t="n">
        <v>0</v>
      </c>
      <c r="E879" s="7" t="n">
        <v>0</v>
      </c>
      <c r="F879" s="8" t="inlineStr">
        <is>
          <t>Low</t>
        </is>
      </c>
      <c r="G879" s="8" t="inlineStr">
        <is>
          <t>Low</t>
        </is>
      </c>
      <c r="H879">
        <f>IF(F879=G879,"YES","NO")</f>
        <v/>
      </c>
    </row>
    <row r="880">
      <c r="A880" s="6" t="inlineStr">
        <is>
          <t>Greg Hunt</t>
        </is>
      </c>
      <c r="B880" s="7" t="n">
        <v>26</v>
      </c>
      <c r="C880" s="7" t="n">
        <v>0</v>
      </c>
      <c r="D880" s="7" t="n">
        <v>0</v>
      </c>
      <c r="E880" s="7" t="n">
        <v>0</v>
      </c>
      <c r="F880" s="8" t="inlineStr">
        <is>
          <t>Low</t>
        </is>
      </c>
      <c r="G880" s="8" t="inlineStr">
        <is>
          <t>Low</t>
        </is>
      </c>
      <c r="H880">
        <f>IF(F880=G880,"YES","NO")</f>
        <v/>
      </c>
    </row>
    <row r="881">
      <c r="A881" s="6" t="inlineStr">
        <is>
          <t>Greg LaVallee</t>
        </is>
      </c>
      <c r="B881" s="7" t="n">
        <v>9</v>
      </c>
      <c r="C881" s="7" t="n">
        <v>0</v>
      </c>
      <c r="D881" s="7" t="n">
        <v>0</v>
      </c>
      <c r="E881" s="7" t="n">
        <v>0</v>
      </c>
      <c r="F881" s="8" t="inlineStr">
        <is>
          <t>Low</t>
        </is>
      </c>
      <c r="G881" s="8" t="inlineStr">
        <is>
          <t>Low</t>
        </is>
      </c>
      <c r="H881">
        <f>IF(F881=G881,"YES","NO")</f>
        <v/>
      </c>
    </row>
    <row r="882">
      <c r="A882" s="6" t="inlineStr">
        <is>
          <t>Greg Mahle</t>
        </is>
      </c>
      <c r="B882" s="7" t="n">
        <v>236</v>
      </c>
      <c r="C882" s="7" t="n">
        <v>29</v>
      </c>
      <c r="D882" s="7" t="n">
        <v>0.1229</v>
      </c>
      <c r="E882" s="7" t="n">
        <v>0.08690000000000001</v>
      </c>
      <c r="F882" s="8" t="inlineStr">
        <is>
          <t>Low</t>
        </is>
      </c>
      <c r="G882" s="8" t="inlineStr">
        <is>
          <t>Low</t>
        </is>
      </c>
      <c r="H882">
        <f>IF(F882=G882,"YES","NO")</f>
        <v/>
      </c>
    </row>
    <row r="883">
      <c r="A883" s="6" t="inlineStr">
        <is>
          <t>Greg Moates</t>
        </is>
      </c>
      <c r="B883" s="7" t="n">
        <v>67</v>
      </c>
      <c r="C883" s="7" t="n">
        <v>0</v>
      </c>
      <c r="D883" s="7" t="n">
        <v>0</v>
      </c>
      <c r="E883" s="7" t="n">
        <v>0</v>
      </c>
      <c r="F883" s="8" t="inlineStr">
        <is>
          <t>Low</t>
        </is>
      </c>
      <c r="G883" s="8" t="inlineStr">
        <is>
          <t>Medium</t>
        </is>
      </c>
      <c r="H883">
        <f>IF(F883=G883,"YES","NO")</f>
        <v/>
      </c>
    </row>
    <row r="884">
      <c r="A884" s="6" t="inlineStr">
        <is>
          <t>Greg VanVelzor</t>
        </is>
      </c>
      <c r="B884" s="7" t="n">
        <v>91</v>
      </c>
      <c r="C884" s="7" t="n">
        <v>0</v>
      </c>
      <c r="D884" s="7" t="n">
        <v>0</v>
      </c>
      <c r="E884" s="7" t="n">
        <v>0</v>
      </c>
      <c r="F884" s="8" t="inlineStr">
        <is>
          <t>Low</t>
        </is>
      </c>
      <c r="G884" s="8" t="inlineStr">
        <is>
          <t>Low</t>
        </is>
      </c>
      <c r="H884">
        <f>IF(F884=G884,"YES","NO")</f>
        <v/>
      </c>
    </row>
    <row r="885">
      <c r="A885" s="6" t="inlineStr">
        <is>
          <t>Gregg Eastin</t>
        </is>
      </c>
      <c r="B885" s="7" t="n">
        <v>3</v>
      </c>
      <c r="C885" s="7" t="n">
        <v>0</v>
      </c>
      <c r="D885" s="7" t="n">
        <v>0</v>
      </c>
      <c r="E885" s="7" t="n">
        <v>0</v>
      </c>
      <c r="F885" s="8" t="inlineStr">
        <is>
          <t>Low</t>
        </is>
      </c>
      <c r="G885" s="8" t="inlineStr">
        <is>
          <t>Low</t>
        </is>
      </c>
      <c r="H885">
        <f>IF(F885=G885,"YES","NO")</f>
        <v/>
      </c>
    </row>
    <row r="886">
      <c r="A886" s="6" t="inlineStr">
        <is>
          <t>Gregory Mason</t>
        </is>
      </c>
      <c r="B886" s="7" t="n">
        <v>1</v>
      </c>
      <c r="C886" s="7" t="n">
        <v>0</v>
      </c>
      <c r="D886" s="7" t="n">
        <v>0</v>
      </c>
      <c r="E886" s="7" t="n">
        <v>0</v>
      </c>
      <c r="F886" s="8" t="inlineStr">
        <is>
          <t>Low</t>
        </is>
      </c>
      <c r="G886" s="8" t="inlineStr">
        <is>
          <t>Low</t>
        </is>
      </c>
      <c r="H886">
        <f>IF(F886=G886,"YES","NO")</f>
        <v/>
      </c>
    </row>
    <row r="887">
      <c r="A887" s="6" t="inlineStr">
        <is>
          <t>Gregory McGowan</t>
        </is>
      </c>
      <c r="B887" s="7" t="n">
        <v>1</v>
      </c>
      <c r="C887" s="7" t="n">
        <v>0</v>
      </c>
      <c r="D887" s="7" t="n">
        <v>0</v>
      </c>
      <c r="E887" s="7" t="n">
        <v>0</v>
      </c>
      <c r="F887" s="8" t="inlineStr">
        <is>
          <t>Low</t>
        </is>
      </c>
      <c r="G887" s="8" t="inlineStr">
        <is>
          <t>Low</t>
        </is>
      </c>
      <c r="H887">
        <f>IF(F887=G887,"YES","NO")</f>
        <v/>
      </c>
    </row>
    <row r="888">
      <c r="A888" s="6" t="inlineStr">
        <is>
          <t>Grey Wilkerson</t>
        </is>
      </c>
      <c r="B888" s="7" t="n">
        <v>4</v>
      </c>
      <c r="C888" s="7" t="n">
        <v>0</v>
      </c>
      <c r="D888" s="7" t="n">
        <v>0</v>
      </c>
      <c r="E888" s="7" t="n">
        <v>0</v>
      </c>
      <c r="F888" s="8" t="inlineStr">
        <is>
          <t>Low</t>
        </is>
      </c>
      <c r="G888" s="8" t="inlineStr">
        <is>
          <t>Low</t>
        </is>
      </c>
      <c r="H888">
        <f>IF(F888=G888,"YES","NO")</f>
        <v/>
      </c>
    </row>
    <row r="889">
      <c r="A889" s="6" t="inlineStr">
        <is>
          <t>Griffin Pleschourt</t>
        </is>
      </c>
      <c r="B889" s="7" t="n">
        <v>10</v>
      </c>
      <c r="C889" s="7" t="n">
        <v>0</v>
      </c>
      <c r="D889" s="7" t="n">
        <v>0</v>
      </c>
      <c r="E889" s="7" t="n">
        <v>0</v>
      </c>
      <c r="F889" s="8" t="inlineStr">
        <is>
          <t>Low</t>
        </is>
      </c>
      <c r="G889" s="8" t="inlineStr">
        <is>
          <t>Low</t>
        </is>
      </c>
      <c r="H889">
        <f>IF(F889=G889,"YES","NO")</f>
        <v/>
      </c>
    </row>
    <row r="890">
      <c r="A890" s="6" t="inlineStr">
        <is>
          <t>Guillermo Plascencia</t>
        </is>
      </c>
      <c r="B890" s="7" t="n">
        <v>89</v>
      </c>
      <c r="C890" s="7" t="n">
        <v>3</v>
      </c>
      <c r="D890" s="7" t="n">
        <v>0.0337</v>
      </c>
      <c r="E890" s="7" t="n">
        <v>0.0115</v>
      </c>
      <c r="F890" s="8" t="inlineStr">
        <is>
          <t>Low</t>
        </is>
      </c>
      <c r="G890" s="8" t="inlineStr">
        <is>
          <t>Low</t>
        </is>
      </c>
      <c r="H890">
        <f>IF(F890=G890,"YES","NO")</f>
        <v/>
      </c>
    </row>
    <row r="891">
      <c r="A891" s="6" t="inlineStr">
        <is>
          <t>Gunnar Gillespie</t>
        </is>
      </c>
      <c r="B891" s="7" t="n">
        <v>42</v>
      </c>
      <c r="C891" s="7" t="n">
        <v>0</v>
      </c>
      <c r="D891" s="7" t="n">
        <v>0</v>
      </c>
      <c r="E891" s="7" t="n">
        <v>0</v>
      </c>
      <c r="F891" s="8" t="inlineStr">
        <is>
          <t>Low</t>
        </is>
      </c>
      <c r="G891" s="8" t="inlineStr">
        <is>
          <t>Low</t>
        </is>
      </c>
      <c r="H891">
        <f>IF(F891=G891,"YES","NO")</f>
        <v/>
      </c>
    </row>
    <row r="892">
      <c r="A892" s="6" t="inlineStr">
        <is>
          <t>Guy Gray</t>
        </is>
      </c>
      <c r="B892" s="7" t="n">
        <v>2</v>
      </c>
      <c r="C892" s="7" t="n">
        <v>0</v>
      </c>
      <c r="D892" s="7" t="n">
        <v>0</v>
      </c>
      <c r="E892" s="7" t="n">
        <v>0</v>
      </c>
      <c r="F892" s="8" t="inlineStr">
        <is>
          <t>Low</t>
        </is>
      </c>
      <c r="G892" s="8" t="inlineStr">
        <is>
          <t>Low</t>
        </is>
      </c>
      <c r="H892">
        <f>IF(F892=G892,"YES","NO")</f>
        <v/>
      </c>
    </row>
    <row r="893">
      <c r="A893" s="6" t="inlineStr">
        <is>
          <t>Hakan Sutluoglu</t>
        </is>
      </c>
      <c r="B893" s="7" t="n">
        <v>4</v>
      </c>
      <c r="C893" s="7" t="n">
        <v>0</v>
      </c>
      <c r="D893" s="7" t="n">
        <v>0</v>
      </c>
      <c r="E893" s="7" t="n">
        <v>0</v>
      </c>
      <c r="F893" s="8" t="inlineStr">
        <is>
          <t>Low</t>
        </is>
      </c>
      <c r="G893" s="8" t="inlineStr">
        <is>
          <t>Low</t>
        </is>
      </c>
      <c r="H893">
        <f>IF(F893=G893,"YES","NO")</f>
        <v/>
      </c>
    </row>
    <row r="894">
      <c r="A894" s="6" t="inlineStr">
        <is>
          <t>Hannah Winans</t>
        </is>
      </c>
      <c r="B894" s="7" t="n">
        <v>21</v>
      </c>
      <c r="C894" s="7" t="n">
        <v>0</v>
      </c>
      <c r="D894" s="7" t="n">
        <v>0</v>
      </c>
      <c r="E894" s="7" t="n">
        <v>0</v>
      </c>
      <c r="F894" s="8" t="inlineStr">
        <is>
          <t>Low</t>
        </is>
      </c>
      <c r="G894" s="8" t="inlineStr">
        <is>
          <t>Low</t>
        </is>
      </c>
      <c r="H894">
        <f>IF(F894=G894,"YES","NO")</f>
        <v/>
      </c>
    </row>
    <row r="895">
      <c r="A895" s="6" t="inlineStr">
        <is>
          <t>Harold Free</t>
        </is>
      </c>
      <c r="B895" s="7" t="n">
        <v>17</v>
      </c>
      <c r="C895" s="7" t="n">
        <v>2</v>
      </c>
      <c r="D895" s="7" t="n">
        <v>0.1176</v>
      </c>
      <c r="E895" s="7" t="n">
        <v>0.0329</v>
      </c>
      <c r="F895" s="8" t="inlineStr">
        <is>
          <t>Low</t>
        </is>
      </c>
      <c r="G895" s="8" t="inlineStr">
        <is>
          <t>Low</t>
        </is>
      </c>
      <c r="H895">
        <f>IF(F895=G895,"YES","NO")</f>
        <v/>
      </c>
    </row>
    <row r="896">
      <c r="A896" s="6" t="inlineStr">
        <is>
          <t>Harrison Fichtel</t>
        </is>
      </c>
      <c r="B896" s="7" t="n">
        <v>35</v>
      </c>
      <c r="C896" s="7" t="n">
        <v>1</v>
      </c>
      <c r="D896" s="7" t="n">
        <v>0.0286</v>
      </c>
      <c r="E896" s="7" t="n">
        <v>0.0051</v>
      </c>
      <c r="F896" s="8" t="inlineStr">
        <is>
          <t>Low</t>
        </is>
      </c>
      <c r="G896" s="8" t="inlineStr">
        <is>
          <t>Low</t>
        </is>
      </c>
      <c r="H896">
        <f>IF(F896=G896,"YES","NO")</f>
        <v/>
      </c>
    </row>
    <row r="897">
      <c r="A897" s="6" t="inlineStr">
        <is>
          <t>Harrison Lee</t>
        </is>
      </c>
      <c r="B897" s="7" t="n">
        <v>51</v>
      </c>
      <c r="C897" s="7" t="n">
        <v>0</v>
      </c>
      <c r="D897" s="7" t="n">
        <v>0</v>
      </c>
      <c r="E897" s="7" t="n">
        <v>0</v>
      </c>
      <c r="F897" s="8" t="inlineStr">
        <is>
          <t>Low</t>
        </is>
      </c>
      <c r="G897" s="8" t="inlineStr">
        <is>
          <t>Low</t>
        </is>
      </c>
      <c r="H897">
        <f>IF(F897=G897,"YES","NO")</f>
        <v/>
      </c>
    </row>
    <row r="898">
      <c r="A898" s="6" t="inlineStr">
        <is>
          <t>Hayden Ruth</t>
        </is>
      </c>
      <c r="B898" s="7" t="n">
        <v>183</v>
      </c>
      <c r="C898" s="7" t="n">
        <v>0</v>
      </c>
      <c r="D898" s="7" t="n">
        <v>0</v>
      </c>
      <c r="E898" s="7" t="n">
        <v>0</v>
      </c>
      <c r="F898" s="8" t="inlineStr">
        <is>
          <t>Low</t>
        </is>
      </c>
      <c r="G898" s="8" t="inlineStr">
        <is>
          <t>Low</t>
        </is>
      </c>
      <c r="H898">
        <f>IF(F898=G898,"YES","NO")</f>
        <v/>
      </c>
    </row>
    <row r="899">
      <c r="A899" s="6" t="inlineStr">
        <is>
          <t>Hayley Wood</t>
        </is>
      </c>
      <c r="B899" s="7" t="n">
        <v>24</v>
      </c>
      <c r="C899" s="7" t="n">
        <v>0</v>
      </c>
      <c r="D899" s="7" t="n">
        <v>0</v>
      </c>
      <c r="E899" s="7" t="n">
        <v>0</v>
      </c>
      <c r="F899" s="8" t="inlineStr">
        <is>
          <t>Low</t>
        </is>
      </c>
      <c r="G899" s="8" t="inlineStr">
        <is>
          <t>Low</t>
        </is>
      </c>
      <c r="H899">
        <f>IF(F899=G899,"YES","NO")</f>
        <v/>
      </c>
    </row>
    <row r="900">
      <c r="A900" s="6" t="inlineStr">
        <is>
          <t>Heather  Brown</t>
        </is>
      </c>
      <c r="B900" s="7" t="n">
        <v>148</v>
      </c>
      <c r="C900" s="7" t="n">
        <v>8</v>
      </c>
      <c r="D900" s="7" t="n">
        <v>0.0541</v>
      </c>
      <c r="E900" s="7" t="n">
        <v>0.0276</v>
      </c>
      <c r="F900" s="8" t="inlineStr">
        <is>
          <t>Low</t>
        </is>
      </c>
      <c r="G900" s="8" t="inlineStr">
        <is>
          <t>Low</t>
        </is>
      </c>
      <c r="H900">
        <f>IF(F900=G900,"YES","NO")</f>
        <v/>
      </c>
    </row>
    <row r="901">
      <c r="A901" s="6" t="inlineStr">
        <is>
          <t>Heather Driver</t>
        </is>
      </c>
      <c r="B901" s="7" t="n">
        <v>104</v>
      </c>
      <c r="C901" s="7" t="n">
        <v>0</v>
      </c>
      <c r="D901" s="7" t="n">
        <v>0</v>
      </c>
      <c r="E901" s="7" t="n">
        <v>0</v>
      </c>
      <c r="F901" s="8" t="inlineStr">
        <is>
          <t>Low</t>
        </is>
      </c>
      <c r="G901" s="8" t="inlineStr">
        <is>
          <t>Low</t>
        </is>
      </c>
      <c r="H901">
        <f>IF(F901=G901,"YES","NO")</f>
        <v/>
      </c>
    </row>
    <row r="902">
      <c r="A902" s="6" t="inlineStr">
        <is>
          <t>Heather Luchte</t>
        </is>
      </c>
      <c r="B902" s="7" t="n">
        <v>45</v>
      </c>
      <c r="C902" s="7" t="n">
        <v>0</v>
      </c>
      <c r="D902" s="7" t="n">
        <v>0</v>
      </c>
      <c r="E902" s="7" t="n">
        <v>0</v>
      </c>
      <c r="F902" s="8" t="inlineStr">
        <is>
          <t>Low</t>
        </is>
      </c>
      <c r="G902" s="8" t="inlineStr">
        <is>
          <t>Low</t>
        </is>
      </c>
      <c r="H902">
        <f>IF(F902=G902,"YES","NO")</f>
        <v/>
      </c>
    </row>
    <row r="903">
      <c r="A903" s="6" t="inlineStr">
        <is>
          <t>Heather VanGalder</t>
        </is>
      </c>
      <c r="B903" s="7" t="n">
        <v>10</v>
      </c>
      <c r="C903" s="7" t="n">
        <v>0</v>
      </c>
      <c r="D903" s="7" t="n">
        <v>0</v>
      </c>
      <c r="E903" s="7" t="n">
        <v>0</v>
      </c>
      <c r="F903" s="8" t="inlineStr">
        <is>
          <t>Low</t>
        </is>
      </c>
      <c r="G903" s="8" t="inlineStr">
        <is>
          <t>Low</t>
        </is>
      </c>
      <c r="H903">
        <f>IF(F903=G903,"YES","NO")</f>
        <v/>
      </c>
    </row>
    <row r="904">
      <c r="A904" s="6" t="inlineStr">
        <is>
          <t>Hillary Maddox</t>
        </is>
      </c>
      <c r="B904" s="7" t="n">
        <v>48</v>
      </c>
      <c r="C904" s="7" t="n">
        <v>0</v>
      </c>
      <c r="D904" s="7" t="n">
        <v>0</v>
      </c>
      <c r="E904" s="7" t="n">
        <v>0</v>
      </c>
      <c r="F904" s="8" t="inlineStr">
        <is>
          <t>Low</t>
        </is>
      </c>
      <c r="G904" s="8" t="inlineStr">
        <is>
          <t>Low</t>
        </is>
      </c>
      <c r="H904">
        <f>IF(F904=G904,"YES","NO")</f>
        <v/>
      </c>
    </row>
    <row r="905">
      <c r="A905" s="6" t="inlineStr">
        <is>
          <t>Holden Courington</t>
        </is>
      </c>
      <c r="B905" s="7" t="n">
        <v>9</v>
      </c>
      <c r="C905" s="7" t="n">
        <v>0</v>
      </c>
      <c r="D905" s="7" t="n">
        <v>0</v>
      </c>
      <c r="E905" s="7" t="n">
        <v>0</v>
      </c>
      <c r="F905" s="8" t="inlineStr">
        <is>
          <t>Low</t>
        </is>
      </c>
      <c r="G905" s="8" t="inlineStr">
        <is>
          <t>Low</t>
        </is>
      </c>
      <c r="H905">
        <f>IF(F905=G905,"YES","NO")</f>
        <v/>
      </c>
    </row>
    <row r="906">
      <c r="A906" s="6" t="inlineStr">
        <is>
          <t>Hollund Bailey</t>
        </is>
      </c>
      <c r="B906" s="7" t="n">
        <v>6</v>
      </c>
      <c r="C906" s="7" t="n">
        <v>0</v>
      </c>
      <c r="D906" s="7" t="n">
        <v>0</v>
      </c>
      <c r="E906" s="7" t="n">
        <v>0</v>
      </c>
      <c r="F906" s="8" t="inlineStr">
        <is>
          <t>Low</t>
        </is>
      </c>
      <c r="G906" s="8" t="inlineStr">
        <is>
          <t>Low</t>
        </is>
      </c>
      <c r="H906">
        <f>IF(F906=G906,"YES","NO")</f>
        <v/>
      </c>
    </row>
    <row r="907">
      <c r="A907" s="6" t="inlineStr">
        <is>
          <t>Holly Haley</t>
        </is>
      </c>
      <c r="B907" s="7" t="n">
        <v>30</v>
      </c>
      <c r="C907" s="7" t="n">
        <v>1</v>
      </c>
      <c r="D907" s="7" t="n">
        <v>0.0333</v>
      </c>
      <c r="E907" s="7" t="n">
        <v>0.0059</v>
      </c>
      <c r="F907" s="8" t="inlineStr">
        <is>
          <t>Low</t>
        </is>
      </c>
      <c r="G907" s="8" t="inlineStr">
        <is>
          <t>Low</t>
        </is>
      </c>
      <c r="H907">
        <f>IF(F907=G907,"YES","NO")</f>
        <v/>
      </c>
    </row>
    <row r="908">
      <c r="A908" s="6" t="inlineStr">
        <is>
          <t>Hope Campbell</t>
        </is>
      </c>
      <c r="B908" s="7" t="n">
        <v>14</v>
      </c>
      <c r="C908" s="7" t="n">
        <v>0</v>
      </c>
      <c r="D908" s="7" t="n">
        <v>0</v>
      </c>
      <c r="E908" s="7" t="n">
        <v>0</v>
      </c>
      <c r="F908" s="8" t="inlineStr">
        <is>
          <t>Low</t>
        </is>
      </c>
      <c r="G908" s="8" t="inlineStr">
        <is>
          <t>Low</t>
        </is>
      </c>
      <c r="H908">
        <f>IF(F908=G908,"YES","NO")</f>
        <v/>
      </c>
    </row>
    <row r="909">
      <c r="A909" s="6" t="inlineStr">
        <is>
          <t>Hunter Jones</t>
        </is>
      </c>
      <c r="B909" s="7" t="n">
        <v>35</v>
      </c>
      <c r="C909" s="7" t="n">
        <v>0</v>
      </c>
      <c r="D909" s="7" t="n">
        <v>0</v>
      </c>
      <c r="E909" s="7" t="n">
        <v>0</v>
      </c>
      <c r="F909" s="8" t="inlineStr">
        <is>
          <t>Low</t>
        </is>
      </c>
      <c r="G909" s="8" t="inlineStr">
        <is>
          <t>Low</t>
        </is>
      </c>
      <c r="H909">
        <f>IF(F909=G909,"YES","NO")</f>
        <v/>
      </c>
    </row>
    <row r="910">
      <c r="A910" s="6" t="inlineStr">
        <is>
          <t>Hunter Kovacs</t>
        </is>
      </c>
      <c r="B910" s="7" t="n">
        <v>174</v>
      </c>
      <c r="C910" s="7" t="n">
        <v>27</v>
      </c>
      <c r="D910" s="7" t="n">
        <v>0.1552</v>
      </c>
      <c r="E910" s="7" t="n">
        <v>0.1089</v>
      </c>
      <c r="F910" s="8" t="inlineStr">
        <is>
          <t>Low</t>
        </is>
      </c>
      <c r="G910" s="8" t="inlineStr">
        <is>
          <t>Low</t>
        </is>
      </c>
      <c r="H910">
        <f>IF(F910=G910,"YES","NO")</f>
        <v/>
      </c>
    </row>
    <row r="911">
      <c r="A911" s="6" t="inlineStr">
        <is>
          <t>Hunter Robinson</t>
        </is>
      </c>
      <c r="B911" s="7" t="n">
        <v>1</v>
      </c>
      <c r="C911" s="7" t="n">
        <v>0</v>
      </c>
      <c r="D911" s="7" t="n">
        <v>0</v>
      </c>
      <c r="E911" s="7" t="n">
        <v>0</v>
      </c>
      <c r="F911" s="8" t="inlineStr">
        <is>
          <t>Low</t>
        </is>
      </c>
      <c r="G911" s="8" t="inlineStr">
        <is>
          <t>Low</t>
        </is>
      </c>
      <c r="H911">
        <f>IF(F911=G911,"YES","NO")</f>
        <v/>
      </c>
    </row>
    <row r="912">
      <c r="A912" s="6" t="inlineStr">
        <is>
          <t>Hunter Taylor</t>
        </is>
      </c>
      <c r="B912" s="7" t="n">
        <v>79</v>
      </c>
      <c r="C912" s="7" t="n">
        <v>2</v>
      </c>
      <c r="D912" s="7" t="n">
        <v>0.0253</v>
      </c>
      <c r="E912" s="7" t="n">
        <v>0.007</v>
      </c>
      <c r="F912" s="8" t="inlineStr">
        <is>
          <t>Low</t>
        </is>
      </c>
      <c r="G912" s="8" t="inlineStr">
        <is>
          <t>Low</t>
        </is>
      </c>
      <c r="H912">
        <f>IF(F912=G912,"YES","NO")</f>
        <v/>
      </c>
    </row>
    <row r="913">
      <c r="A913" s="6" t="inlineStr">
        <is>
          <t>Hyram Fuller</t>
        </is>
      </c>
      <c r="B913" s="7" t="n">
        <v>10</v>
      </c>
      <c r="C913" s="7" t="n">
        <v>1</v>
      </c>
      <c r="D913" s="7" t="n">
        <v>0.1</v>
      </c>
      <c r="E913" s="7" t="n">
        <v>0.0179</v>
      </c>
      <c r="F913" s="8" t="inlineStr">
        <is>
          <t>Low</t>
        </is>
      </c>
      <c r="G913" s="8" t="inlineStr">
        <is>
          <t>Low</t>
        </is>
      </c>
      <c r="H913">
        <f>IF(F913=G913,"YES","NO")</f>
        <v/>
      </c>
    </row>
    <row r="914">
      <c r="A914" s="6" t="inlineStr">
        <is>
          <t>Ian Shorthouse</t>
        </is>
      </c>
      <c r="B914" s="7" t="n">
        <v>231</v>
      </c>
      <c r="C914" s="7" t="n">
        <v>1</v>
      </c>
      <c r="D914" s="7" t="n">
        <v>0.0043</v>
      </c>
      <c r="E914" s="7" t="n">
        <v>0.0008</v>
      </c>
      <c r="F914" s="8" t="inlineStr">
        <is>
          <t>Low</t>
        </is>
      </c>
      <c r="G914" s="8" t="inlineStr">
        <is>
          <t>Low</t>
        </is>
      </c>
      <c r="H914">
        <f>IF(F914=G914,"YES","NO")</f>
        <v/>
      </c>
    </row>
    <row r="915">
      <c r="A915" s="6" t="inlineStr">
        <is>
          <t>Ian Smith</t>
        </is>
      </c>
      <c r="B915" s="7" t="n">
        <v>3</v>
      </c>
      <c r="C915" s="7" t="n">
        <v>0</v>
      </c>
      <c r="D915" s="7" t="n">
        <v>0</v>
      </c>
      <c r="E915" s="7" t="n">
        <v>0</v>
      </c>
      <c r="F915" s="8" t="inlineStr">
        <is>
          <t>Low</t>
        </is>
      </c>
      <c r="G915" s="8" t="inlineStr">
        <is>
          <t>Low</t>
        </is>
      </c>
      <c r="H915">
        <f>IF(F915=G915,"YES","NO")</f>
        <v/>
      </c>
    </row>
    <row r="916">
      <c r="A916" s="6" t="inlineStr">
        <is>
          <t>Isaac  Gha</t>
        </is>
      </c>
      <c r="B916" s="7" t="n">
        <v>56</v>
      </c>
      <c r="C916" s="7" t="n">
        <v>1</v>
      </c>
      <c r="D916" s="7" t="n">
        <v>0.0179</v>
      </c>
      <c r="E916" s="7" t="n">
        <v>0.0032</v>
      </c>
      <c r="F916" s="8" t="inlineStr">
        <is>
          <t>Low</t>
        </is>
      </c>
      <c r="G916" s="8" t="inlineStr">
        <is>
          <t>Low</t>
        </is>
      </c>
      <c r="H916">
        <f>IF(F916=G916,"YES","NO")</f>
        <v/>
      </c>
    </row>
    <row r="917">
      <c r="A917" s="6" t="inlineStr">
        <is>
          <t>Isaac Williams</t>
        </is>
      </c>
      <c r="B917" s="7" t="n">
        <v>1</v>
      </c>
      <c r="C917" s="7" t="n">
        <v>0</v>
      </c>
      <c r="D917" s="7" t="n">
        <v>0</v>
      </c>
      <c r="E917" s="7" t="n">
        <v>0</v>
      </c>
      <c r="F917" s="8" t="inlineStr">
        <is>
          <t>Low</t>
        </is>
      </c>
      <c r="G917" s="8" t="inlineStr">
        <is>
          <t>Low</t>
        </is>
      </c>
      <c r="H917">
        <f>IF(F917=G917,"YES","NO")</f>
        <v/>
      </c>
    </row>
    <row r="918">
      <c r="A918" s="6" t="inlineStr">
        <is>
          <t>Isaiah Glidden</t>
        </is>
      </c>
      <c r="B918" s="7" t="n">
        <v>1</v>
      </c>
      <c r="C918" s="7" t="n">
        <v>0</v>
      </c>
      <c r="D918" s="7" t="n">
        <v>0</v>
      </c>
      <c r="E918" s="7" t="n">
        <v>0</v>
      </c>
      <c r="F918" s="8" t="inlineStr">
        <is>
          <t>Low</t>
        </is>
      </c>
      <c r="G918" s="8" t="inlineStr">
        <is>
          <t>Low</t>
        </is>
      </c>
      <c r="H918">
        <f>IF(F918=G918,"YES","NO")</f>
        <v/>
      </c>
    </row>
    <row r="919">
      <c r="A919" s="6" t="inlineStr">
        <is>
          <t>Ivan Santos</t>
        </is>
      </c>
      <c r="B919" s="7" t="n">
        <v>22</v>
      </c>
      <c r="C919" s="7" t="n">
        <v>1</v>
      </c>
      <c r="D919" s="7" t="n">
        <v>0.0455</v>
      </c>
      <c r="E919" s="7" t="n">
        <v>0.0081</v>
      </c>
      <c r="F919" s="8" t="inlineStr">
        <is>
          <t>Low</t>
        </is>
      </c>
      <c r="G919" s="8" t="inlineStr">
        <is>
          <t>Low</t>
        </is>
      </c>
      <c r="H919">
        <f>IF(F919=G919,"YES","NO")</f>
        <v/>
      </c>
    </row>
    <row r="920">
      <c r="A920" s="6" t="inlineStr">
        <is>
          <t>Izaiah Jackson</t>
        </is>
      </c>
      <c r="B920" s="7" t="n">
        <v>4</v>
      </c>
      <c r="C920" s="7" t="n">
        <v>0</v>
      </c>
      <c r="D920" s="7" t="n">
        <v>0</v>
      </c>
      <c r="E920" s="7" t="n">
        <v>0</v>
      </c>
      <c r="F920" s="8" t="inlineStr">
        <is>
          <t>Low</t>
        </is>
      </c>
      <c r="G920" s="8" t="inlineStr">
        <is>
          <t>Low</t>
        </is>
      </c>
      <c r="H920">
        <f>IF(F920=G920,"YES","NO")</f>
        <v/>
      </c>
    </row>
    <row r="921">
      <c r="A921" s="6" t="inlineStr">
        <is>
          <t>JAMES BAUMGARTNER</t>
        </is>
      </c>
      <c r="B921" s="7" t="n">
        <v>104</v>
      </c>
      <c r="C921" s="7" t="n">
        <v>0</v>
      </c>
      <c r="D921" s="7" t="n">
        <v>0</v>
      </c>
      <c r="E921" s="7" t="n">
        <v>0</v>
      </c>
      <c r="F921" s="8" t="inlineStr">
        <is>
          <t>Low</t>
        </is>
      </c>
      <c r="G921" s="8" t="inlineStr">
        <is>
          <t>Low</t>
        </is>
      </c>
      <c r="H921">
        <f>IF(F921=G921,"YES","NO")</f>
        <v/>
      </c>
    </row>
    <row r="922">
      <c r="A922" s="6" t="inlineStr">
        <is>
          <t>JASON GOBIN</t>
        </is>
      </c>
      <c r="B922" s="7" t="n">
        <v>1</v>
      </c>
      <c r="C922" s="7" t="n">
        <v>0</v>
      </c>
      <c r="D922" s="7" t="n">
        <v>0</v>
      </c>
      <c r="E922" s="7" t="n">
        <v>0</v>
      </c>
      <c r="F922" s="8" t="inlineStr">
        <is>
          <t>Low</t>
        </is>
      </c>
      <c r="G922" s="8" t="inlineStr">
        <is>
          <t>Low</t>
        </is>
      </c>
      <c r="H922">
        <f>IF(F922=G922,"YES","NO")</f>
        <v/>
      </c>
    </row>
    <row r="923">
      <c r="A923" s="6" t="inlineStr">
        <is>
          <t>JD Richardson</t>
        </is>
      </c>
      <c r="B923" s="7" t="n">
        <v>15</v>
      </c>
      <c r="C923" s="7" t="n">
        <v>2</v>
      </c>
      <c r="D923" s="7" t="n">
        <v>0.1333</v>
      </c>
      <c r="E923" s="7" t="n">
        <v>0.0374</v>
      </c>
      <c r="F923" s="8" t="inlineStr">
        <is>
          <t>Low</t>
        </is>
      </c>
      <c r="G923" s="8" t="inlineStr">
        <is>
          <t>Low</t>
        </is>
      </c>
      <c r="H923">
        <f>IF(F923=G923,"YES","NO")</f>
        <v/>
      </c>
    </row>
    <row r="924">
      <c r="A924" s="6" t="inlineStr">
        <is>
          <t>JEFFERY HAGSTROM</t>
        </is>
      </c>
      <c r="B924" s="7" t="n">
        <v>41</v>
      </c>
      <c r="C924" s="7" t="n">
        <v>7</v>
      </c>
      <c r="D924" s="7" t="n">
        <v>0.1707</v>
      </c>
      <c r="E924" s="7" t="n">
        <v>0.0853</v>
      </c>
      <c r="F924" s="8" t="inlineStr">
        <is>
          <t>Low</t>
        </is>
      </c>
      <c r="G924" s="8" t="inlineStr">
        <is>
          <t>Low</t>
        </is>
      </c>
      <c r="H924">
        <f>IF(F924=G924,"YES","NO")</f>
        <v/>
      </c>
    </row>
    <row r="925">
      <c r="A925" s="6" t="inlineStr">
        <is>
          <t>JIMMY LOCKE</t>
        </is>
      </c>
      <c r="B925" s="7" t="n">
        <v>1</v>
      </c>
      <c r="C925" s="7" t="n">
        <v>0</v>
      </c>
      <c r="D925" s="7" t="n">
        <v>0</v>
      </c>
      <c r="E925" s="7" t="n">
        <v>0</v>
      </c>
      <c r="F925" s="8" t="inlineStr">
        <is>
          <t>Low</t>
        </is>
      </c>
      <c r="G925" s="8" t="inlineStr">
        <is>
          <t>Low</t>
        </is>
      </c>
      <c r="H925">
        <f>IF(F925=G925,"YES","NO")</f>
        <v/>
      </c>
    </row>
    <row r="926">
      <c r="A926" s="6" t="inlineStr">
        <is>
          <t>JT D'Emidio</t>
        </is>
      </c>
      <c r="B926" s="7" t="n">
        <v>1</v>
      </c>
      <c r="C926" s="7" t="n">
        <v>0</v>
      </c>
      <c r="D926" s="7" t="n">
        <v>0</v>
      </c>
      <c r="E926" s="7" t="n">
        <v>0</v>
      </c>
      <c r="F926" s="8" t="inlineStr">
        <is>
          <t>Low</t>
        </is>
      </c>
      <c r="G926" s="8" t="inlineStr">
        <is>
          <t>Low</t>
        </is>
      </c>
      <c r="H926">
        <f>IF(F926=G926,"YES","NO")</f>
        <v/>
      </c>
    </row>
    <row r="927">
      <c r="A927" s="6" t="inlineStr">
        <is>
          <t>Jack Miller</t>
        </is>
      </c>
      <c r="B927" s="7" t="n">
        <v>87</v>
      </c>
      <c r="C927" s="7" t="n">
        <v>0</v>
      </c>
      <c r="D927" s="7" t="n">
        <v>0</v>
      </c>
      <c r="E927" s="7" t="n">
        <v>0</v>
      </c>
      <c r="F927" s="8" t="inlineStr">
        <is>
          <t>Low</t>
        </is>
      </c>
      <c r="G927" s="8" t="inlineStr">
        <is>
          <t>Low</t>
        </is>
      </c>
      <c r="H927">
        <f>IF(F927=G927,"YES","NO")</f>
        <v/>
      </c>
    </row>
    <row r="928">
      <c r="A928" s="6" t="inlineStr">
        <is>
          <t>Jack Patsula</t>
        </is>
      </c>
      <c r="B928" s="7" t="n">
        <v>3</v>
      </c>
      <c r="C928" s="7" t="n">
        <v>0</v>
      </c>
      <c r="D928" s="7" t="n">
        <v>0</v>
      </c>
      <c r="E928" s="7" t="n">
        <v>0</v>
      </c>
      <c r="F928" s="8" t="inlineStr">
        <is>
          <t>Low</t>
        </is>
      </c>
      <c r="G928" s="8" t="inlineStr">
        <is>
          <t>Low</t>
        </is>
      </c>
      <c r="H928">
        <f>IF(F928=G928,"YES","NO")</f>
        <v/>
      </c>
    </row>
    <row r="929">
      <c r="A929" s="6" t="inlineStr">
        <is>
          <t>Jack Schroeder</t>
        </is>
      </c>
      <c r="B929" s="7" t="n">
        <v>11</v>
      </c>
      <c r="C929" s="7" t="n">
        <v>0</v>
      </c>
      <c r="D929" s="7" t="n">
        <v>0</v>
      </c>
      <c r="E929" s="7" t="n">
        <v>0</v>
      </c>
      <c r="F929" s="8" t="inlineStr">
        <is>
          <t>Low</t>
        </is>
      </c>
      <c r="G929" s="8" t="inlineStr">
        <is>
          <t>Low</t>
        </is>
      </c>
      <c r="H929">
        <f>IF(F929=G929,"YES","NO")</f>
        <v/>
      </c>
    </row>
    <row r="930">
      <c r="A930" s="6" t="inlineStr">
        <is>
          <t>Jack Wright</t>
        </is>
      </c>
      <c r="B930" s="7" t="n">
        <v>47</v>
      </c>
      <c r="C930" s="7" t="n">
        <v>1</v>
      </c>
      <c r="D930" s="7" t="n">
        <v>0.0213</v>
      </c>
      <c r="E930" s="7" t="n">
        <v>0.0038</v>
      </c>
      <c r="F930" s="8" t="inlineStr">
        <is>
          <t>Low</t>
        </is>
      </c>
      <c r="G930" s="8" t="inlineStr">
        <is>
          <t>High</t>
        </is>
      </c>
      <c r="H930">
        <f>IF(F930=G930,"YES","NO")</f>
        <v/>
      </c>
    </row>
    <row r="931">
      <c r="A931" s="6" t="inlineStr">
        <is>
          <t>Jackey Ferrell</t>
        </is>
      </c>
      <c r="B931" s="7" t="n">
        <v>7</v>
      </c>
      <c r="C931" s="7" t="n">
        <v>0</v>
      </c>
      <c r="D931" s="7" t="n">
        <v>0</v>
      </c>
      <c r="E931" s="7" t="n">
        <v>0</v>
      </c>
      <c r="F931" s="8" t="inlineStr">
        <is>
          <t>Low</t>
        </is>
      </c>
      <c r="G931" s="8" t="inlineStr">
        <is>
          <t>Low</t>
        </is>
      </c>
      <c r="H931">
        <f>IF(F931=G931,"YES","NO")</f>
        <v/>
      </c>
    </row>
    <row r="932">
      <c r="A932" s="6" t="inlineStr">
        <is>
          <t>Jackie Dato</t>
        </is>
      </c>
      <c r="B932" s="7" t="n">
        <v>1</v>
      </c>
      <c r="C932" s="7" t="n">
        <v>0</v>
      </c>
      <c r="D932" s="7" t="n">
        <v>0</v>
      </c>
      <c r="E932" s="7" t="n">
        <v>0</v>
      </c>
      <c r="F932" s="8" t="inlineStr">
        <is>
          <t>Low</t>
        </is>
      </c>
      <c r="G932" s="8" t="inlineStr">
        <is>
          <t>High</t>
        </is>
      </c>
      <c r="H932">
        <f>IF(F932=G932,"YES","NO")</f>
        <v/>
      </c>
    </row>
    <row r="933">
      <c r="A933" s="6" t="inlineStr">
        <is>
          <t>Jackson Cash</t>
        </is>
      </c>
      <c r="B933" s="7" t="n">
        <v>27</v>
      </c>
      <c r="C933" s="7" t="n">
        <v>0</v>
      </c>
      <c r="D933" s="7" t="n">
        <v>0</v>
      </c>
      <c r="E933" s="7" t="n">
        <v>0</v>
      </c>
      <c r="F933" s="8" t="inlineStr">
        <is>
          <t>Low</t>
        </is>
      </c>
      <c r="G933" s="8" t="inlineStr">
        <is>
          <t>Low</t>
        </is>
      </c>
      <c r="H933">
        <f>IF(F933=G933,"YES","NO")</f>
        <v/>
      </c>
    </row>
    <row r="934">
      <c r="A934" s="6" t="inlineStr">
        <is>
          <t>Jackson Whitaker</t>
        </is>
      </c>
      <c r="B934" s="7" t="n">
        <v>22</v>
      </c>
      <c r="C934" s="7" t="n">
        <v>1</v>
      </c>
      <c r="D934" s="7" t="n">
        <v>0.0455</v>
      </c>
      <c r="E934" s="7" t="n">
        <v>0.0081</v>
      </c>
      <c r="F934" s="8" t="inlineStr">
        <is>
          <t>Low</t>
        </is>
      </c>
      <c r="G934" s="8" t="inlineStr">
        <is>
          <t>Low</t>
        </is>
      </c>
      <c r="H934">
        <f>IF(F934=G934,"YES","NO")</f>
        <v/>
      </c>
    </row>
    <row r="935">
      <c r="A935" s="6" t="inlineStr">
        <is>
          <t>Jacob Bryant</t>
        </is>
      </c>
      <c r="B935" s="7" t="n">
        <v>391</v>
      </c>
      <c r="C935" s="7" t="n">
        <v>5</v>
      </c>
      <c r="D935" s="7" t="n">
        <v>0.0128</v>
      </c>
      <c r="E935" s="7" t="n">
        <v>0.0055</v>
      </c>
      <c r="F935" s="8" t="inlineStr">
        <is>
          <t>Low</t>
        </is>
      </c>
      <c r="G935" s="8" t="inlineStr">
        <is>
          <t>Low</t>
        </is>
      </c>
      <c r="H935">
        <f>IF(F935=G935,"YES","NO")</f>
        <v/>
      </c>
    </row>
    <row r="936">
      <c r="A936" s="6" t="inlineStr">
        <is>
          <t>Jacob Chambers</t>
        </is>
      </c>
      <c r="B936" s="7" t="n">
        <v>9</v>
      </c>
      <c r="C936" s="7" t="n">
        <v>0</v>
      </c>
      <c r="D936" s="7" t="n">
        <v>0</v>
      </c>
      <c r="E936" s="7" t="n">
        <v>0</v>
      </c>
      <c r="F936" s="8" t="inlineStr">
        <is>
          <t>Low</t>
        </is>
      </c>
      <c r="G936" s="8" t="inlineStr">
        <is>
          <t>Low</t>
        </is>
      </c>
      <c r="H936">
        <f>IF(F936=G936,"YES","NO")</f>
        <v/>
      </c>
    </row>
    <row r="937">
      <c r="A937" s="6" t="inlineStr">
        <is>
          <t>Jacob Lee</t>
        </is>
      </c>
      <c r="B937" s="7" t="n">
        <v>200</v>
      </c>
      <c r="C937" s="7" t="n">
        <v>5</v>
      </c>
      <c r="D937" s="7" t="n">
        <v>0.025</v>
      </c>
      <c r="E937" s="7" t="n">
        <v>0.0107</v>
      </c>
      <c r="F937" s="8" t="inlineStr">
        <is>
          <t>Low</t>
        </is>
      </c>
      <c r="G937" s="8" t="inlineStr">
        <is>
          <t>Low</t>
        </is>
      </c>
      <c r="H937">
        <f>IF(F937=G937,"YES","NO")</f>
        <v/>
      </c>
    </row>
    <row r="938">
      <c r="A938" s="6" t="inlineStr">
        <is>
          <t>Jacob Miller</t>
        </is>
      </c>
      <c r="B938" s="7" t="n">
        <v>7</v>
      </c>
      <c r="C938" s="7" t="n">
        <v>0</v>
      </c>
      <c r="D938" s="7" t="n">
        <v>0</v>
      </c>
      <c r="E938" s="7" t="n">
        <v>0</v>
      </c>
      <c r="F938" s="8" t="inlineStr">
        <is>
          <t>Low</t>
        </is>
      </c>
      <c r="G938" s="8" t="inlineStr">
        <is>
          <t>Low</t>
        </is>
      </c>
      <c r="H938">
        <f>IF(F938=G938,"YES","NO")</f>
        <v/>
      </c>
    </row>
    <row r="939">
      <c r="A939" s="6" t="inlineStr">
        <is>
          <t>Jacob Woolf</t>
        </is>
      </c>
      <c r="B939" s="7" t="n">
        <v>183</v>
      </c>
      <c r="C939" s="7" t="n">
        <v>5</v>
      </c>
      <c r="D939" s="7" t="n">
        <v>0.0273</v>
      </c>
      <c r="E939" s="7" t="n">
        <v>0.0117</v>
      </c>
      <c r="F939" s="8" t="inlineStr">
        <is>
          <t>Low</t>
        </is>
      </c>
      <c r="G939" s="8" t="inlineStr">
        <is>
          <t>Low</t>
        </is>
      </c>
      <c r="H939">
        <f>IF(F939=G939,"YES","NO")</f>
        <v/>
      </c>
    </row>
    <row r="940">
      <c r="A940" s="6" t="inlineStr">
        <is>
          <t>Jacob williams</t>
        </is>
      </c>
      <c r="B940" s="7" t="n">
        <v>8</v>
      </c>
      <c r="C940" s="7" t="n">
        <v>0</v>
      </c>
      <c r="D940" s="7" t="n">
        <v>0</v>
      </c>
      <c r="E940" s="7" t="n">
        <v>0</v>
      </c>
      <c r="F940" s="8" t="inlineStr">
        <is>
          <t>Low</t>
        </is>
      </c>
      <c r="G940" s="8" t="inlineStr">
        <is>
          <t>Low</t>
        </is>
      </c>
      <c r="H940">
        <f>IF(F940=G940,"YES","NO")</f>
        <v/>
      </c>
    </row>
    <row r="941">
      <c r="A941" s="6" t="inlineStr">
        <is>
          <t>Jacque Foshee</t>
        </is>
      </c>
      <c r="B941" s="7" t="n">
        <v>370</v>
      </c>
      <c r="C941" s="7" t="n">
        <v>36</v>
      </c>
      <c r="D941" s="7" t="n">
        <v>0.0973</v>
      </c>
      <c r="E941" s="7" t="n">
        <v>0.0711</v>
      </c>
      <c r="F941" s="8" t="inlineStr">
        <is>
          <t>Low</t>
        </is>
      </c>
      <c r="G941" s="8" t="inlineStr">
        <is>
          <t>Low</t>
        </is>
      </c>
      <c r="H941">
        <f>IF(F941=G941,"YES","NO")</f>
        <v/>
      </c>
    </row>
    <row r="942">
      <c r="A942" s="6" t="inlineStr">
        <is>
          <t>Jaden Nguyen</t>
        </is>
      </c>
      <c r="B942" s="7" t="n">
        <v>5</v>
      </c>
      <c r="C942" s="7" t="n">
        <v>0</v>
      </c>
      <c r="D942" s="7" t="n">
        <v>0</v>
      </c>
      <c r="E942" s="7" t="n">
        <v>0</v>
      </c>
      <c r="F942" s="8" t="inlineStr">
        <is>
          <t>Low</t>
        </is>
      </c>
      <c r="G942" s="8" t="inlineStr">
        <is>
          <t>Low</t>
        </is>
      </c>
      <c r="H942">
        <f>IF(F942=G942,"YES","NO")</f>
        <v/>
      </c>
    </row>
    <row r="943">
      <c r="A943" s="6" t="inlineStr">
        <is>
          <t>Jaime Goddard</t>
        </is>
      </c>
      <c r="B943" s="7" t="n">
        <v>144</v>
      </c>
      <c r="C943" s="7" t="n">
        <v>1</v>
      </c>
      <c r="D943" s="7" t="n">
        <v>0.0069</v>
      </c>
      <c r="E943" s="7" t="n">
        <v>0.0012</v>
      </c>
      <c r="F943" s="8" t="inlineStr">
        <is>
          <t>Low</t>
        </is>
      </c>
      <c r="G943" s="8" t="inlineStr">
        <is>
          <t>Low</t>
        </is>
      </c>
      <c r="H943">
        <f>IF(F943=G943,"YES","NO")</f>
        <v/>
      </c>
    </row>
    <row r="944">
      <c r="A944" s="6" t="inlineStr">
        <is>
          <t>Jake Cavanaugh</t>
        </is>
      </c>
      <c r="B944" s="7" t="n">
        <v>61</v>
      </c>
      <c r="C944" s="7" t="n">
        <v>0</v>
      </c>
      <c r="D944" s="7" t="n">
        <v>0</v>
      </c>
      <c r="E944" s="7" t="n">
        <v>0</v>
      </c>
      <c r="F944" s="8" t="inlineStr">
        <is>
          <t>Low</t>
        </is>
      </c>
      <c r="G944" s="8" t="inlineStr">
        <is>
          <t>Low</t>
        </is>
      </c>
      <c r="H944">
        <f>IF(F944=G944,"YES","NO")</f>
        <v/>
      </c>
    </row>
    <row r="945">
      <c r="A945" s="6" t="inlineStr">
        <is>
          <t>Jake Howard</t>
        </is>
      </c>
      <c r="B945" s="7" t="n">
        <v>130</v>
      </c>
      <c r="C945" s="7" t="n">
        <v>4</v>
      </c>
      <c r="D945" s="7" t="n">
        <v>0.0308</v>
      </c>
      <c r="E945" s="7" t="n">
        <v>0.012</v>
      </c>
      <c r="F945" s="8" t="inlineStr">
        <is>
          <t>Low</t>
        </is>
      </c>
      <c r="G945" s="8" t="inlineStr">
        <is>
          <t>Low</t>
        </is>
      </c>
      <c r="H945">
        <f>IF(F945=G945,"YES","NO")</f>
        <v/>
      </c>
    </row>
    <row r="946">
      <c r="A946" s="6" t="inlineStr">
        <is>
          <t>Jake Lero</t>
        </is>
      </c>
      <c r="B946" s="7" t="n">
        <v>3</v>
      </c>
      <c r="C946" s="7" t="n">
        <v>0</v>
      </c>
      <c r="D946" s="7" t="n">
        <v>0</v>
      </c>
      <c r="E946" s="7" t="n">
        <v>0</v>
      </c>
      <c r="F946" s="8" t="inlineStr">
        <is>
          <t>Low</t>
        </is>
      </c>
      <c r="G946" s="8" t="inlineStr">
        <is>
          <t>Low</t>
        </is>
      </c>
      <c r="H946">
        <f>IF(F946=G946,"YES","NO")</f>
        <v/>
      </c>
    </row>
    <row r="947">
      <c r="A947" s="6" t="inlineStr">
        <is>
          <t>Jake West</t>
        </is>
      </c>
      <c r="B947" s="7" t="n">
        <v>7</v>
      </c>
      <c r="C947" s="7" t="n">
        <v>0</v>
      </c>
      <c r="D947" s="7" t="n">
        <v>0</v>
      </c>
      <c r="E947" s="7" t="n">
        <v>0</v>
      </c>
      <c r="F947" s="8" t="inlineStr">
        <is>
          <t>Low</t>
        </is>
      </c>
      <c r="G947" s="8" t="inlineStr">
        <is>
          <t>Low</t>
        </is>
      </c>
      <c r="H947">
        <f>IF(F947=G947,"YES","NO")</f>
        <v/>
      </c>
    </row>
    <row r="948">
      <c r="A948" s="6" t="inlineStr">
        <is>
          <t>Jakob Palmer</t>
        </is>
      </c>
      <c r="B948" s="7" t="n">
        <v>3</v>
      </c>
      <c r="C948" s="7" t="n">
        <v>0</v>
      </c>
      <c r="D948" s="7" t="n">
        <v>0</v>
      </c>
      <c r="E948" s="7" t="n">
        <v>0</v>
      </c>
      <c r="F948" s="8" t="inlineStr">
        <is>
          <t>Low</t>
        </is>
      </c>
      <c r="G948" s="8" t="inlineStr">
        <is>
          <t>Low</t>
        </is>
      </c>
      <c r="H948">
        <f>IF(F948=G948,"YES","NO")</f>
        <v/>
      </c>
    </row>
    <row r="949">
      <c r="A949" s="6" t="inlineStr">
        <is>
          <t>James  Brock</t>
        </is>
      </c>
      <c r="B949" s="7" t="n">
        <v>38</v>
      </c>
      <c r="C949" s="7" t="n">
        <v>0</v>
      </c>
      <c r="D949" s="7" t="n">
        <v>0</v>
      </c>
      <c r="E949" s="7" t="n">
        <v>0</v>
      </c>
      <c r="F949" s="8" t="inlineStr">
        <is>
          <t>Low</t>
        </is>
      </c>
      <c r="G949" s="8" t="inlineStr">
        <is>
          <t>Low</t>
        </is>
      </c>
      <c r="H949">
        <f>IF(F949=G949,"YES","NO")</f>
        <v/>
      </c>
    </row>
    <row r="950">
      <c r="A950" s="6" t="inlineStr">
        <is>
          <t>James Brown III</t>
        </is>
      </c>
      <c r="B950" s="7" t="n">
        <v>75</v>
      </c>
      <c r="C950" s="7" t="n">
        <v>2</v>
      </c>
      <c r="D950" s="7" t="n">
        <v>0.0267</v>
      </c>
      <c r="E950" s="7" t="n">
        <v>0.0073</v>
      </c>
      <c r="F950" s="8" t="inlineStr">
        <is>
          <t>Low</t>
        </is>
      </c>
      <c r="G950" s="8" t="inlineStr">
        <is>
          <t>Low</t>
        </is>
      </c>
      <c r="H950">
        <f>IF(F950=G950,"YES","NO")</f>
        <v/>
      </c>
    </row>
    <row r="951">
      <c r="A951" s="6" t="inlineStr">
        <is>
          <t>James Clark</t>
        </is>
      </c>
      <c r="B951" s="7" t="n">
        <v>52</v>
      </c>
      <c r="C951" s="7" t="n">
        <v>7</v>
      </c>
      <c r="D951" s="7" t="n">
        <v>0.1346</v>
      </c>
      <c r="E951" s="7" t="n">
        <v>0.0668</v>
      </c>
      <c r="F951" s="8" t="inlineStr">
        <is>
          <t>Low</t>
        </is>
      </c>
      <c r="G951" s="8" t="inlineStr">
        <is>
          <t>Medium</t>
        </is>
      </c>
      <c r="H951">
        <f>IF(F951=G951,"YES","NO")</f>
        <v/>
      </c>
    </row>
    <row r="952">
      <c r="A952" s="6" t="inlineStr">
        <is>
          <t>James Clem</t>
        </is>
      </c>
      <c r="B952" s="7" t="n">
        <v>14</v>
      </c>
      <c r="C952" s="7" t="n">
        <v>0</v>
      </c>
      <c r="D952" s="7" t="n">
        <v>0</v>
      </c>
      <c r="E952" s="7" t="n">
        <v>0</v>
      </c>
      <c r="F952" s="8" t="inlineStr">
        <is>
          <t>Low</t>
        </is>
      </c>
      <c r="G952" s="8" t="inlineStr">
        <is>
          <t>Low</t>
        </is>
      </c>
      <c r="H952">
        <f>IF(F952=G952,"YES","NO")</f>
        <v/>
      </c>
    </row>
    <row r="953">
      <c r="A953" s="6" t="inlineStr">
        <is>
          <t>James Dewald</t>
        </is>
      </c>
      <c r="B953" s="7" t="n">
        <v>232</v>
      </c>
      <c r="C953" s="7" t="n">
        <v>0</v>
      </c>
      <c r="D953" s="7" t="n">
        <v>0</v>
      </c>
      <c r="E953" s="7" t="n">
        <v>0</v>
      </c>
      <c r="F953" s="8" t="inlineStr">
        <is>
          <t>Low</t>
        </is>
      </c>
      <c r="G953" s="8" t="inlineStr">
        <is>
          <t>Low</t>
        </is>
      </c>
      <c r="H953">
        <f>IF(F953=G953,"YES","NO")</f>
        <v/>
      </c>
    </row>
    <row r="954">
      <c r="A954" s="6" t="inlineStr">
        <is>
          <t>James Freeman</t>
        </is>
      </c>
      <c r="B954" s="7" t="n">
        <v>2</v>
      </c>
      <c r="C954" s="7" t="n">
        <v>0</v>
      </c>
      <c r="D954" s="7" t="n">
        <v>0</v>
      </c>
      <c r="E954" s="7" t="n">
        <v>0</v>
      </c>
      <c r="F954" s="8" t="inlineStr">
        <is>
          <t>Low</t>
        </is>
      </c>
      <c r="G954" s="8" t="inlineStr">
        <is>
          <t>Low</t>
        </is>
      </c>
      <c r="H954">
        <f>IF(F954=G954,"YES","NO")</f>
        <v/>
      </c>
    </row>
    <row r="955">
      <c r="A955" s="6" t="inlineStr">
        <is>
          <t>James Henderson</t>
        </is>
      </c>
      <c r="B955" s="7" t="n">
        <v>199</v>
      </c>
      <c r="C955" s="7" t="n">
        <v>0</v>
      </c>
      <c r="D955" s="7" t="n">
        <v>0</v>
      </c>
      <c r="E955" s="7" t="n">
        <v>0</v>
      </c>
      <c r="F955" s="8" t="inlineStr">
        <is>
          <t>Low</t>
        </is>
      </c>
      <c r="G955" s="8" t="inlineStr">
        <is>
          <t>Low</t>
        </is>
      </c>
      <c r="H955">
        <f>IF(F955=G955,"YES","NO")</f>
        <v/>
      </c>
    </row>
    <row r="956">
      <c r="A956" s="6" t="inlineStr">
        <is>
          <t>James Holt</t>
        </is>
      </c>
      <c r="B956" s="7" t="n">
        <v>14</v>
      </c>
      <c r="C956" s="7" t="n">
        <v>0</v>
      </c>
      <c r="D956" s="7" t="n">
        <v>0</v>
      </c>
      <c r="E956" s="7" t="n">
        <v>0</v>
      </c>
      <c r="F956" s="8" t="inlineStr">
        <is>
          <t>Low</t>
        </is>
      </c>
      <c r="G956" s="8" t="inlineStr">
        <is>
          <t>Low</t>
        </is>
      </c>
      <c r="H956">
        <f>IF(F956=G956,"YES","NO")</f>
        <v/>
      </c>
    </row>
    <row r="957">
      <c r="A957" s="6" t="inlineStr">
        <is>
          <t>James Jackson</t>
        </is>
      </c>
      <c r="B957" s="7" t="n">
        <v>208</v>
      </c>
      <c r="C957" s="7" t="n">
        <v>1</v>
      </c>
      <c r="D957" s="7" t="n">
        <v>0.0048</v>
      </c>
      <c r="E957" s="7" t="n">
        <v>0.0008</v>
      </c>
      <c r="F957" s="8" t="inlineStr">
        <is>
          <t>Low</t>
        </is>
      </c>
      <c r="G957" s="8" t="inlineStr">
        <is>
          <t>Low</t>
        </is>
      </c>
      <c r="H957">
        <f>IF(F957=G957,"YES","NO")</f>
        <v/>
      </c>
    </row>
    <row r="958">
      <c r="A958" s="6" t="inlineStr">
        <is>
          <t>James Knowles</t>
        </is>
      </c>
      <c r="B958" s="7" t="n">
        <v>2</v>
      </c>
      <c r="C958" s="7" t="n">
        <v>0</v>
      </c>
      <c r="D958" s="7" t="n">
        <v>0</v>
      </c>
      <c r="E958" s="7" t="n">
        <v>0</v>
      </c>
      <c r="F958" s="8" t="inlineStr">
        <is>
          <t>Low</t>
        </is>
      </c>
      <c r="G958" s="8" t="inlineStr">
        <is>
          <t>Low</t>
        </is>
      </c>
      <c r="H958">
        <f>IF(F958=G958,"YES","NO")</f>
        <v/>
      </c>
    </row>
    <row r="959">
      <c r="A959" s="6" t="inlineStr">
        <is>
          <t>James O'Rourke</t>
        </is>
      </c>
      <c r="B959" s="7" t="n">
        <v>7</v>
      </c>
      <c r="C959" s="7" t="n">
        <v>0</v>
      </c>
      <c r="D959" s="7" t="n">
        <v>0</v>
      </c>
      <c r="E959" s="7" t="n">
        <v>0</v>
      </c>
      <c r="F959" s="8" t="inlineStr">
        <is>
          <t>Low</t>
        </is>
      </c>
      <c r="G959" s="8" t="inlineStr">
        <is>
          <t>Low</t>
        </is>
      </c>
      <c r="H959">
        <f>IF(F959=G959,"YES","NO")</f>
        <v/>
      </c>
    </row>
    <row r="960">
      <c r="A960" s="6" t="inlineStr">
        <is>
          <t>James Young</t>
        </is>
      </c>
      <c r="B960" s="7" t="n">
        <v>2</v>
      </c>
      <c r="C960" s="7" t="n">
        <v>0</v>
      </c>
      <c r="D960" s="7" t="n">
        <v>0</v>
      </c>
      <c r="E960" s="7" t="n">
        <v>0</v>
      </c>
      <c r="F960" s="8" t="inlineStr">
        <is>
          <t>Low</t>
        </is>
      </c>
      <c r="G960" s="8" t="inlineStr">
        <is>
          <t>Low</t>
        </is>
      </c>
      <c r="H960">
        <f>IF(F960=G960,"YES","NO")</f>
        <v/>
      </c>
    </row>
    <row r="961">
      <c r="A961" s="6" t="inlineStr">
        <is>
          <t>Jami James</t>
        </is>
      </c>
      <c r="B961" s="7" t="n">
        <v>9</v>
      </c>
      <c r="C961" s="7" t="n">
        <v>0</v>
      </c>
      <c r="D961" s="7" t="n">
        <v>0</v>
      </c>
      <c r="E961" s="7" t="n">
        <v>0</v>
      </c>
      <c r="F961" s="8" t="inlineStr">
        <is>
          <t>Low</t>
        </is>
      </c>
      <c r="G961" s="8" t="inlineStr">
        <is>
          <t>Low</t>
        </is>
      </c>
      <c r="H961">
        <f>IF(F961=G961,"YES","NO")</f>
        <v/>
      </c>
    </row>
    <row r="962">
      <c r="A962" s="6" t="inlineStr">
        <is>
          <t>Jamie Ford</t>
        </is>
      </c>
      <c r="B962" s="7" t="n">
        <v>137</v>
      </c>
      <c r="C962" s="7" t="n">
        <v>19</v>
      </c>
      <c r="D962" s="7" t="n">
        <v>0.1387</v>
      </c>
      <c r="E962" s="7" t="n">
        <v>0.0906</v>
      </c>
      <c r="F962" s="8" t="inlineStr">
        <is>
          <t>Low</t>
        </is>
      </c>
      <c r="G962" s="8" t="inlineStr">
        <is>
          <t>Low</t>
        </is>
      </c>
      <c r="H962">
        <f>IF(F962=G962,"YES","NO")</f>
        <v/>
      </c>
    </row>
    <row r="963">
      <c r="A963" s="6" t="inlineStr">
        <is>
          <t>Jane Uong</t>
        </is>
      </c>
      <c r="B963" s="7" t="n">
        <v>5</v>
      </c>
      <c r="C963" s="7" t="n">
        <v>1</v>
      </c>
      <c r="D963" s="7" t="n">
        <v>0.2</v>
      </c>
      <c r="E963" s="7" t="n">
        <v>0.0362</v>
      </c>
      <c r="F963" s="8" t="inlineStr">
        <is>
          <t>Low</t>
        </is>
      </c>
      <c r="G963" s="8" t="inlineStr">
        <is>
          <t>Low</t>
        </is>
      </c>
      <c r="H963">
        <f>IF(F963=G963,"YES","NO")</f>
        <v/>
      </c>
    </row>
    <row r="964">
      <c r="A964" s="6" t="inlineStr">
        <is>
          <t>Janet Jansma</t>
        </is>
      </c>
      <c r="B964" s="7" t="n">
        <v>1</v>
      </c>
      <c r="C964" s="7" t="n">
        <v>0</v>
      </c>
      <c r="D964" s="7" t="n">
        <v>0</v>
      </c>
      <c r="E964" s="7" t="n">
        <v>0</v>
      </c>
      <c r="F964" s="8" t="inlineStr">
        <is>
          <t>Low</t>
        </is>
      </c>
      <c r="G964" s="8" t="inlineStr">
        <is>
          <t>Low</t>
        </is>
      </c>
      <c r="H964">
        <f>IF(F964=G964,"YES","NO")</f>
        <v/>
      </c>
    </row>
    <row r="965">
      <c r="A965" s="6" t="inlineStr">
        <is>
          <t>Janet Nagel</t>
        </is>
      </c>
      <c r="B965" s="7" t="n">
        <v>52</v>
      </c>
      <c r="C965" s="7" t="n">
        <v>0</v>
      </c>
      <c r="D965" s="7" t="n">
        <v>0</v>
      </c>
      <c r="E965" s="7" t="n">
        <v>0</v>
      </c>
      <c r="F965" s="8" t="inlineStr">
        <is>
          <t>Low</t>
        </is>
      </c>
      <c r="G965" s="8" t="inlineStr">
        <is>
          <t>Low</t>
        </is>
      </c>
      <c r="H965">
        <f>IF(F965=G965,"YES","NO")</f>
        <v/>
      </c>
    </row>
    <row r="966">
      <c r="A966" s="6" t="inlineStr">
        <is>
          <t>Jared Cook</t>
        </is>
      </c>
      <c r="B966" s="7" t="n">
        <v>1</v>
      </c>
      <c r="C966" s="7" t="n">
        <v>0</v>
      </c>
      <c r="D966" s="7" t="n">
        <v>0</v>
      </c>
      <c r="E966" s="7" t="n">
        <v>0</v>
      </c>
      <c r="F966" s="8" t="inlineStr">
        <is>
          <t>Low</t>
        </is>
      </c>
      <c r="G966" s="8" t="inlineStr">
        <is>
          <t>Low</t>
        </is>
      </c>
      <c r="H966">
        <f>IF(F966=G966,"YES","NO")</f>
        <v/>
      </c>
    </row>
    <row r="967">
      <c r="A967" s="6" t="inlineStr">
        <is>
          <t>Jared Llewellyn</t>
        </is>
      </c>
      <c r="B967" s="7" t="n">
        <v>54</v>
      </c>
      <c r="C967" s="7" t="n">
        <v>7</v>
      </c>
      <c r="D967" s="7" t="n">
        <v>0.1296</v>
      </c>
      <c r="E967" s="7" t="n">
        <v>0.06419999999999999</v>
      </c>
      <c r="F967" s="8" t="inlineStr">
        <is>
          <t>Low</t>
        </is>
      </c>
      <c r="G967" s="8" t="inlineStr">
        <is>
          <t>Low</t>
        </is>
      </c>
      <c r="H967">
        <f>IF(F967=G967,"YES","NO")</f>
        <v/>
      </c>
    </row>
    <row r="968">
      <c r="A968" s="6" t="inlineStr">
        <is>
          <t>Jarod Gutierrez</t>
        </is>
      </c>
      <c r="B968" s="7" t="n">
        <v>26</v>
      </c>
      <c r="C968" s="7" t="n">
        <v>0</v>
      </c>
      <c r="D968" s="7" t="n">
        <v>0</v>
      </c>
      <c r="E968" s="7" t="n">
        <v>0</v>
      </c>
      <c r="F968" s="8" t="inlineStr">
        <is>
          <t>Low</t>
        </is>
      </c>
      <c r="G968" s="8" t="inlineStr">
        <is>
          <t>High</t>
        </is>
      </c>
      <c r="H968">
        <f>IF(F968=G968,"YES","NO")</f>
        <v/>
      </c>
    </row>
    <row r="969">
      <c r="A969" s="6" t="inlineStr">
        <is>
          <t>Jase Nguyen</t>
        </is>
      </c>
      <c r="B969" s="7" t="n">
        <v>162</v>
      </c>
      <c r="C969" s="7" t="n">
        <v>1</v>
      </c>
      <c r="D969" s="7" t="n">
        <v>0.0062</v>
      </c>
      <c r="E969" s="7" t="n">
        <v>0.0011</v>
      </c>
      <c r="F969" s="8" t="inlineStr">
        <is>
          <t>Low</t>
        </is>
      </c>
      <c r="G969" s="8" t="inlineStr">
        <is>
          <t>Low</t>
        </is>
      </c>
      <c r="H969">
        <f>IF(F969=G969,"YES","NO")</f>
        <v/>
      </c>
    </row>
    <row r="970">
      <c r="A970" s="6" t="inlineStr">
        <is>
          <t>Jason  Campbell</t>
        </is>
      </c>
      <c r="B970" s="7" t="n">
        <v>47</v>
      </c>
      <c r="C970" s="7" t="n">
        <v>0</v>
      </c>
      <c r="D970" s="7" t="n">
        <v>0</v>
      </c>
      <c r="E970" s="7" t="n">
        <v>0</v>
      </c>
      <c r="F970" s="8" t="inlineStr">
        <is>
          <t>Low</t>
        </is>
      </c>
      <c r="G970" s="8" t="inlineStr">
        <is>
          <t>Low</t>
        </is>
      </c>
      <c r="H970">
        <f>IF(F970=G970,"YES","NO")</f>
        <v/>
      </c>
    </row>
    <row r="971">
      <c r="A971" s="6" t="inlineStr">
        <is>
          <t>Jason Allen</t>
        </is>
      </c>
      <c r="B971" s="7" t="n">
        <v>70</v>
      </c>
      <c r="C971" s="7" t="n">
        <v>2</v>
      </c>
      <c r="D971" s="7" t="n">
        <v>0.0286</v>
      </c>
      <c r="E971" s="7" t="n">
        <v>0.007900000000000001</v>
      </c>
      <c r="F971" s="8" t="inlineStr">
        <is>
          <t>Low</t>
        </is>
      </c>
      <c r="G971" s="8" t="inlineStr">
        <is>
          <t>Low</t>
        </is>
      </c>
      <c r="H971">
        <f>IF(F971=G971,"YES","NO")</f>
        <v/>
      </c>
    </row>
    <row r="972">
      <c r="A972" s="6" t="inlineStr">
        <is>
          <t>Jason Bjorgo</t>
        </is>
      </c>
      <c r="B972" s="7" t="n">
        <v>3</v>
      </c>
      <c r="C972" s="7" t="n">
        <v>0</v>
      </c>
      <c r="D972" s="7" t="n">
        <v>0</v>
      </c>
      <c r="E972" s="7" t="n">
        <v>0</v>
      </c>
      <c r="F972" s="8" t="inlineStr">
        <is>
          <t>Low</t>
        </is>
      </c>
      <c r="G972" s="8" t="inlineStr">
        <is>
          <t>Low</t>
        </is>
      </c>
      <c r="H972">
        <f>IF(F972=G972,"YES","NO")</f>
        <v/>
      </c>
    </row>
    <row r="973">
      <c r="A973" s="6" t="inlineStr">
        <is>
          <t>Jason Carter</t>
        </is>
      </c>
      <c r="B973" s="7" t="n">
        <v>6</v>
      </c>
      <c r="C973" s="7" t="n">
        <v>0</v>
      </c>
      <c r="D973" s="7" t="n">
        <v>0</v>
      </c>
      <c r="E973" s="7" t="n">
        <v>0</v>
      </c>
      <c r="F973" s="8" t="inlineStr">
        <is>
          <t>Low</t>
        </is>
      </c>
      <c r="G973" s="8" t="inlineStr">
        <is>
          <t>Low</t>
        </is>
      </c>
      <c r="H973">
        <f>IF(F973=G973,"YES","NO")</f>
        <v/>
      </c>
    </row>
    <row r="974">
      <c r="A974" s="6" t="inlineStr">
        <is>
          <t>Jason Cunningham</t>
        </is>
      </c>
      <c r="B974" s="7" t="n">
        <v>3</v>
      </c>
      <c r="C974" s="7" t="n">
        <v>0</v>
      </c>
      <c r="D974" s="7" t="n">
        <v>0</v>
      </c>
      <c r="E974" s="7" t="n">
        <v>0</v>
      </c>
      <c r="F974" s="8" t="inlineStr">
        <is>
          <t>Low</t>
        </is>
      </c>
      <c r="G974" s="8" t="inlineStr">
        <is>
          <t>Low</t>
        </is>
      </c>
      <c r="H974">
        <f>IF(F974=G974,"YES","NO")</f>
        <v/>
      </c>
    </row>
    <row r="975">
      <c r="A975" s="6" t="inlineStr">
        <is>
          <t>Jason Freibert</t>
        </is>
      </c>
      <c r="B975" s="7" t="n">
        <v>3</v>
      </c>
      <c r="C975" s="7" t="n">
        <v>0</v>
      </c>
      <c r="D975" s="7" t="n">
        <v>0</v>
      </c>
      <c r="E975" s="7" t="n">
        <v>0</v>
      </c>
      <c r="F975" s="8" t="inlineStr">
        <is>
          <t>Low</t>
        </is>
      </c>
      <c r="G975" s="8" t="inlineStr">
        <is>
          <t>Low</t>
        </is>
      </c>
      <c r="H975">
        <f>IF(F975=G975,"YES","NO")</f>
        <v/>
      </c>
    </row>
    <row r="976">
      <c r="A976" s="6" t="inlineStr">
        <is>
          <t>Jason Hare</t>
        </is>
      </c>
      <c r="B976" s="7" t="n">
        <v>88</v>
      </c>
      <c r="C976" s="7" t="n">
        <v>2</v>
      </c>
      <c r="D976" s="7" t="n">
        <v>0.0227</v>
      </c>
      <c r="E976" s="7" t="n">
        <v>0.0063</v>
      </c>
      <c r="F976" s="8" t="inlineStr">
        <is>
          <t>Low</t>
        </is>
      </c>
      <c r="G976" s="8" t="inlineStr">
        <is>
          <t>Low</t>
        </is>
      </c>
      <c r="H976">
        <f>IF(F976=G976,"YES","NO")</f>
        <v/>
      </c>
    </row>
    <row r="977">
      <c r="A977" s="6" t="inlineStr">
        <is>
          <t>Jason Ingram</t>
        </is>
      </c>
      <c r="B977" s="7" t="n">
        <v>14</v>
      </c>
      <c r="C977" s="7" t="n">
        <v>0</v>
      </c>
      <c r="D977" s="7" t="n">
        <v>0</v>
      </c>
      <c r="E977" s="7" t="n">
        <v>0</v>
      </c>
      <c r="F977" s="8" t="inlineStr">
        <is>
          <t>Low</t>
        </is>
      </c>
      <c r="G977" s="8" t="inlineStr">
        <is>
          <t>Low</t>
        </is>
      </c>
      <c r="H977">
        <f>IF(F977=G977,"YES","NO")</f>
        <v/>
      </c>
    </row>
    <row r="978">
      <c r="A978" s="6" t="inlineStr">
        <is>
          <t>Jason Kinsey</t>
        </is>
      </c>
      <c r="B978" s="7" t="n">
        <v>5</v>
      </c>
      <c r="C978" s="7" t="n">
        <v>0</v>
      </c>
      <c r="D978" s="7" t="n">
        <v>0</v>
      </c>
      <c r="E978" s="7" t="n">
        <v>0</v>
      </c>
      <c r="F978" s="8" t="inlineStr">
        <is>
          <t>Low</t>
        </is>
      </c>
      <c r="G978" s="8" t="inlineStr">
        <is>
          <t>Low</t>
        </is>
      </c>
      <c r="H978">
        <f>IF(F978=G978,"YES","NO")</f>
        <v/>
      </c>
    </row>
    <row r="979">
      <c r="A979" s="6" t="inlineStr">
        <is>
          <t>Jason Koesters</t>
        </is>
      </c>
      <c r="B979" s="7" t="n">
        <v>439</v>
      </c>
      <c r="C979" s="7" t="n">
        <v>20</v>
      </c>
      <c r="D979" s="7" t="n">
        <v>0.0456</v>
      </c>
      <c r="E979" s="7" t="n">
        <v>0.0297</v>
      </c>
      <c r="F979" s="8" t="inlineStr">
        <is>
          <t>Low</t>
        </is>
      </c>
      <c r="G979" s="8" t="inlineStr">
        <is>
          <t>Low</t>
        </is>
      </c>
      <c r="H979">
        <f>IF(F979=G979,"YES","NO")</f>
        <v/>
      </c>
    </row>
    <row r="980">
      <c r="A980" s="6" t="inlineStr">
        <is>
          <t>Jason Morris</t>
        </is>
      </c>
      <c r="B980" s="7" t="n">
        <v>5</v>
      </c>
      <c r="C980" s="7" t="n">
        <v>0</v>
      </c>
      <c r="D980" s="7" t="n">
        <v>0</v>
      </c>
      <c r="E980" s="7" t="n">
        <v>0</v>
      </c>
      <c r="F980" s="8" t="inlineStr">
        <is>
          <t>Low</t>
        </is>
      </c>
      <c r="G980" s="8" t="inlineStr">
        <is>
          <t>Low</t>
        </is>
      </c>
      <c r="H980">
        <f>IF(F980=G980,"YES","NO")</f>
        <v/>
      </c>
    </row>
    <row r="981">
      <c r="A981" s="6" t="inlineStr">
        <is>
          <t>Jason Palmer</t>
        </is>
      </c>
      <c r="B981" s="7" t="n">
        <v>2</v>
      </c>
      <c r="C981" s="7" t="n">
        <v>0</v>
      </c>
      <c r="D981" s="7" t="n">
        <v>0</v>
      </c>
      <c r="E981" s="7" t="n">
        <v>0</v>
      </c>
      <c r="F981" s="8" t="inlineStr">
        <is>
          <t>Low</t>
        </is>
      </c>
      <c r="G981" s="8" t="inlineStr">
        <is>
          <t>Low</t>
        </is>
      </c>
      <c r="H981">
        <f>IF(F981=G981,"YES","NO")</f>
        <v/>
      </c>
    </row>
    <row r="982">
      <c r="A982" s="6" t="inlineStr">
        <is>
          <t>Jason Paul</t>
        </is>
      </c>
      <c r="B982" s="7" t="n">
        <v>2</v>
      </c>
      <c r="C982" s="7" t="n">
        <v>0</v>
      </c>
      <c r="D982" s="7" t="n">
        <v>0</v>
      </c>
      <c r="E982" s="7" t="n">
        <v>0</v>
      </c>
      <c r="F982" s="8" t="inlineStr">
        <is>
          <t>Low</t>
        </is>
      </c>
      <c r="G982" s="8" t="inlineStr">
        <is>
          <t>Low</t>
        </is>
      </c>
      <c r="H982">
        <f>IF(F982=G982,"YES","NO")</f>
        <v/>
      </c>
    </row>
    <row r="983">
      <c r="A983" s="6" t="inlineStr">
        <is>
          <t>Jason Pearson</t>
        </is>
      </c>
      <c r="B983" s="7" t="n">
        <v>1</v>
      </c>
      <c r="C983" s="7" t="n">
        <v>0</v>
      </c>
      <c r="D983" s="7" t="n">
        <v>0</v>
      </c>
      <c r="E983" s="7" t="n">
        <v>0</v>
      </c>
      <c r="F983" s="8" t="inlineStr">
        <is>
          <t>Low</t>
        </is>
      </c>
      <c r="G983" s="8" t="inlineStr">
        <is>
          <t>Low</t>
        </is>
      </c>
      <c r="H983">
        <f>IF(F983=G983,"YES","NO")</f>
        <v/>
      </c>
    </row>
    <row r="984">
      <c r="A984" s="6" t="inlineStr">
        <is>
          <t>Jason Poe</t>
        </is>
      </c>
      <c r="B984" s="7" t="n">
        <v>33</v>
      </c>
      <c r="C984" s="7" t="n">
        <v>0</v>
      </c>
      <c r="D984" s="7" t="n">
        <v>0</v>
      </c>
      <c r="E984" s="7" t="n">
        <v>0</v>
      </c>
      <c r="F984" s="8" t="inlineStr">
        <is>
          <t>Low</t>
        </is>
      </c>
      <c r="G984" s="8" t="inlineStr">
        <is>
          <t>Low</t>
        </is>
      </c>
      <c r="H984">
        <f>IF(F984=G984,"YES","NO")</f>
        <v/>
      </c>
    </row>
    <row r="985">
      <c r="A985" s="6" t="inlineStr">
        <is>
          <t>Jason Tomafsky</t>
        </is>
      </c>
      <c r="B985" s="7" t="n">
        <v>6</v>
      </c>
      <c r="C985" s="7" t="n">
        <v>1</v>
      </c>
      <c r="D985" s="7" t="n">
        <v>0.1667</v>
      </c>
      <c r="E985" s="7" t="n">
        <v>0.0301</v>
      </c>
      <c r="F985" s="8" t="inlineStr">
        <is>
          <t>Low</t>
        </is>
      </c>
      <c r="G985" s="8" t="inlineStr">
        <is>
          <t>Low</t>
        </is>
      </c>
      <c r="H985">
        <f>IF(F985=G985,"YES","NO")</f>
        <v/>
      </c>
    </row>
    <row r="986">
      <c r="A986" s="6" t="inlineStr">
        <is>
          <t>Jaxson Kok</t>
        </is>
      </c>
      <c r="B986" s="7" t="n">
        <v>11</v>
      </c>
      <c r="C986" s="7" t="n">
        <v>0</v>
      </c>
      <c r="D986" s="7" t="n">
        <v>0</v>
      </c>
      <c r="E986" s="7" t="n">
        <v>0</v>
      </c>
      <c r="F986" s="8" t="inlineStr">
        <is>
          <t>Low</t>
        </is>
      </c>
      <c r="G986" s="8" t="inlineStr">
        <is>
          <t>Low</t>
        </is>
      </c>
      <c r="H986">
        <f>IF(F986=G986,"YES","NO")</f>
        <v/>
      </c>
    </row>
    <row r="987">
      <c r="A987" s="6" t="inlineStr">
        <is>
          <t>Jay Gilio</t>
        </is>
      </c>
      <c r="B987" s="7" t="n">
        <v>42</v>
      </c>
      <c r="C987" s="7" t="n">
        <v>1</v>
      </c>
      <c r="D987" s="7" t="n">
        <v>0.0238</v>
      </c>
      <c r="E987" s="7" t="n">
        <v>0.0042</v>
      </c>
      <c r="F987" s="8" t="inlineStr">
        <is>
          <t>Low</t>
        </is>
      </c>
      <c r="G987" s="8" t="inlineStr">
        <is>
          <t>Low</t>
        </is>
      </c>
      <c r="H987">
        <f>IF(F987=G987,"YES","NO")</f>
        <v/>
      </c>
    </row>
    <row r="988">
      <c r="A988" s="6" t="inlineStr">
        <is>
          <t>Jay Greenless</t>
        </is>
      </c>
      <c r="B988" s="7" t="n">
        <v>1</v>
      </c>
      <c r="C988" s="7" t="n">
        <v>0</v>
      </c>
      <c r="D988" s="7" t="n">
        <v>0</v>
      </c>
      <c r="E988" s="7" t="n">
        <v>0</v>
      </c>
      <c r="F988" s="8" t="inlineStr">
        <is>
          <t>Low</t>
        </is>
      </c>
      <c r="G988" s="8" t="inlineStr">
        <is>
          <t>Low</t>
        </is>
      </c>
      <c r="H988">
        <f>IF(F988=G988,"YES","NO")</f>
        <v/>
      </c>
    </row>
    <row r="989">
      <c r="A989" s="6" t="inlineStr">
        <is>
          <t>Jayce Guthrie</t>
        </is>
      </c>
      <c r="B989" s="7" t="n">
        <v>43</v>
      </c>
      <c r="C989" s="7" t="n">
        <v>1</v>
      </c>
      <c r="D989" s="7" t="n">
        <v>0.0233</v>
      </c>
      <c r="E989" s="7" t="n">
        <v>0.0041</v>
      </c>
      <c r="F989" s="8" t="inlineStr">
        <is>
          <t>Low</t>
        </is>
      </c>
      <c r="G989" s="8" t="inlineStr">
        <is>
          <t>Low</t>
        </is>
      </c>
      <c r="H989">
        <f>IF(F989=G989,"YES","NO")</f>
        <v/>
      </c>
    </row>
    <row r="990">
      <c r="A990" s="6" t="inlineStr">
        <is>
          <t>Jeff Black</t>
        </is>
      </c>
      <c r="B990" s="7" t="n">
        <v>109</v>
      </c>
      <c r="C990" s="7" t="n">
        <v>1</v>
      </c>
      <c r="D990" s="7" t="n">
        <v>0.0092</v>
      </c>
      <c r="E990" s="7" t="n">
        <v>0.0016</v>
      </c>
      <c r="F990" s="8" t="inlineStr">
        <is>
          <t>Low</t>
        </is>
      </c>
      <c r="G990" s="8" t="inlineStr">
        <is>
          <t>Low</t>
        </is>
      </c>
      <c r="H990">
        <f>IF(F990=G990,"YES","NO")</f>
        <v/>
      </c>
    </row>
    <row r="991">
      <c r="A991" s="6" t="inlineStr">
        <is>
          <t>Jeff Fink</t>
        </is>
      </c>
      <c r="B991" s="7" t="n">
        <v>161</v>
      </c>
      <c r="C991" s="7" t="n">
        <v>6</v>
      </c>
      <c r="D991" s="7" t="n">
        <v>0.0373</v>
      </c>
      <c r="E991" s="7" t="n">
        <v>0.0172</v>
      </c>
      <c r="F991" s="8" t="inlineStr">
        <is>
          <t>Low</t>
        </is>
      </c>
      <c r="G991" s="8" t="inlineStr">
        <is>
          <t>Low</t>
        </is>
      </c>
      <c r="H991">
        <f>IF(F991=G991,"YES","NO")</f>
        <v/>
      </c>
    </row>
    <row r="992">
      <c r="A992" s="6" t="inlineStr">
        <is>
          <t>Jeff James</t>
        </is>
      </c>
      <c r="B992" s="7" t="n">
        <v>7</v>
      </c>
      <c r="C992" s="7" t="n">
        <v>0</v>
      </c>
      <c r="D992" s="7" t="n">
        <v>0</v>
      </c>
      <c r="E992" s="7" t="n">
        <v>0</v>
      </c>
      <c r="F992" s="8" t="inlineStr">
        <is>
          <t>Low</t>
        </is>
      </c>
      <c r="G992" s="8" t="inlineStr">
        <is>
          <t>Low</t>
        </is>
      </c>
      <c r="H992">
        <f>IF(F992=G992,"YES","NO")</f>
        <v/>
      </c>
    </row>
    <row r="993">
      <c r="A993" s="6" t="inlineStr">
        <is>
          <t>Jeff Layne</t>
        </is>
      </c>
      <c r="B993" s="7" t="n">
        <v>5</v>
      </c>
      <c r="C993" s="7" t="n">
        <v>0</v>
      </c>
      <c r="D993" s="7" t="n">
        <v>0</v>
      </c>
      <c r="E993" s="7" t="n">
        <v>0</v>
      </c>
      <c r="F993" s="8" t="inlineStr">
        <is>
          <t>Low</t>
        </is>
      </c>
      <c r="G993" s="8" t="inlineStr">
        <is>
          <t>Medium</t>
        </is>
      </c>
      <c r="H993">
        <f>IF(F993=G993,"YES","NO")</f>
        <v/>
      </c>
    </row>
    <row r="994">
      <c r="A994" s="6" t="inlineStr">
        <is>
          <t>Jeff McKay</t>
        </is>
      </c>
      <c r="B994" s="7" t="n">
        <v>21</v>
      </c>
      <c r="C994" s="7" t="n">
        <v>1</v>
      </c>
      <c r="D994" s="7" t="n">
        <v>0.0476</v>
      </c>
      <c r="E994" s="7" t="n">
        <v>0.008500000000000001</v>
      </c>
      <c r="F994" s="8" t="inlineStr">
        <is>
          <t>Low</t>
        </is>
      </c>
      <c r="G994" s="8" t="inlineStr">
        <is>
          <t>Low</t>
        </is>
      </c>
      <c r="H994">
        <f>IF(F994=G994,"YES","NO")</f>
        <v/>
      </c>
    </row>
    <row r="995">
      <c r="A995" s="6" t="inlineStr">
        <is>
          <t>Jeff Patterson</t>
        </is>
      </c>
      <c r="B995" s="7" t="n">
        <v>118</v>
      </c>
      <c r="C995" s="7" t="n">
        <v>13</v>
      </c>
      <c r="D995" s="7" t="n">
        <v>0.1102</v>
      </c>
      <c r="E995" s="7" t="n">
        <v>0.0655</v>
      </c>
      <c r="F995" s="8" t="inlineStr">
        <is>
          <t>Low</t>
        </is>
      </c>
      <c r="G995" s="8" t="inlineStr">
        <is>
          <t>Low</t>
        </is>
      </c>
      <c r="H995">
        <f>IF(F995=G995,"YES","NO")</f>
        <v/>
      </c>
    </row>
    <row r="996">
      <c r="A996" s="6" t="inlineStr">
        <is>
          <t>Jeff Presnall</t>
        </is>
      </c>
      <c r="B996" s="7" t="n">
        <v>7</v>
      </c>
      <c r="C996" s="7" t="n">
        <v>0</v>
      </c>
      <c r="D996" s="7" t="n">
        <v>0</v>
      </c>
      <c r="E996" s="7" t="n">
        <v>0</v>
      </c>
      <c r="F996" s="8" t="inlineStr">
        <is>
          <t>Low</t>
        </is>
      </c>
      <c r="G996" s="8" t="inlineStr">
        <is>
          <t>Low</t>
        </is>
      </c>
      <c r="H996">
        <f>IF(F996=G996,"YES","NO")</f>
        <v/>
      </c>
    </row>
    <row r="997">
      <c r="A997" s="6" t="inlineStr">
        <is>
          <t>Jeff Price</t>
        </is>
      </c>
      <c r="B997" s="7" t="n">
        <v>5</v>
      </c>
      <c r="C997" s="7" t="n">
        <v>0</v>
      </c>
      <c r="D997" s="7" t="n">
        <v>0</v>
      </c>
      <c r="E997" s="7" t="n">
        <v>0</v>
      </c>
      <c r="F997" s="8" t="inlineStr">
        <is>
          <t>Low</t>
        </is>
      </c>
      <c r="G997" s="8" t="inlineStr">
        <is>
          <t>Low</t>
        </is>
      </c>
      <c r="H997">
        <f>IF(F997=G997,"YES","NO")</f>
        <v/>
      </c>
    </row>
    <row r="998">
      <c r="A998" s="6" t="inlineStr">
        <is>
          <t>Jeff Rubin</t>
        </is>
      </c>
      <c r="B998" s="7" t="n">
        <v>19</v>
      </c>
      <c r="C998" s="7" t="n">
        <v>1</v>
      </c>
      <c r="D998" s="7" t="n">
        <v>0.0526</v>
      </c>
      <c r="E998" s="7" t="n">
        <v>0.0094</v>
      </c>
      <c r="F998" s="8" t="inlineStr">
        <is>
          <t>Low</t>
        </is>
      </c>
      <c r="G998" s="8" t="inlineStr">
        <is>
          <t>Low</t>
        </is>
      </c>
      <c r="H998">
        <f>IF(F998=G998,"YES","NO")</f>
        <v/>
      </c>
    </row>
    <row r="999">
      <c r="A999" s="6" t="inlineStr">
        <is>
          <t>Jeff Sandifer</t>
        </is>
      </c>
      <c r="B999" s="7" t="n">
        <v>2</v>
      </c>
      <c r="C999" s="7" t="n">
        <v>0</v>
      </c>
      <c r="D999" s="7" t="n">
        <v>0</v>
      </c>
      <c r="E999" s="7" t="n">
        <v>0</v>
      </c>
      <c r="F999" s="8" t="inlineStr">
        <is>
          <t>Low</t>
        </is>
      </c>
      <c r="G999" s="8" t="inlineStr">
        <is>
          <t>Low</t>
        </is>
      </c>
      <c r="H999">
        <f>IF(F999=G999,"YES","NO")</f>
        <v/>
      </c>
    </row>
    <row r="1000">
      <c r="A1000" s="6" t="inlineStr">
        <is>
          <t>Jeff Simon</t>
        </is>
      </c>
      <c r="B1000" s="7" t="n">
        <v>83</v>
      </c>
      <c r="C1000" s="7" t="n">
        <v>8</v>
      </c>
      <c r="D1000" s="7" t="n">
        <v>0.0964</v>
      </c>
      <c r="E1000" s="7" t="n">
        <v>0.0497</v>
      </c>
      <c r="F1000" s="8" t="inlineStr">
        <is>
          <t>Low</t>
        </is>
      </c>
      <c r="G1000" s="8" t="inlineStr">
        <is>
          <t>Low</t>
        </is>
      </c>
      <c r="H1000">
        <f>IF(F1000=G1000,"YES","NO")</f>
        <v/>
      </c>
    </row>
    <row r="1001">
      <c r="A1001" s="6" t="inlineStr">
        <is>
          <t>Jeff Tyberg</t>
        </is>
      </c>
      <c r="B1001" s="7" t="n">
        <v>50</v>
      </c>
      <c r="C1001" s="7" t="n">
        <v>3</v>
      </c>
      <c r="D1001" s="7" t="n">
        <v>0.06</v>
      </c>
      <c r="E1001" s="7" t="n">
        <v>0.0206</v>
      </c>
      <c r="F1001" s="8" t="inlineStr">
        <is>
          <t>Low</t>
        </is>
      </c>
      <c r="G1001" s="8" t="inlineStr">
        <is>
          <t>Low</t>
        </is>
      </c>
      <c r="H1001">
        <f>IF(F1001=G1001,"YES","NO")</f>
        <v/>
      </c>
    </row>
    <row r="1002">
      <c r="A1002" s="6" t="inlineStr">
        <is>
          <t>Jeffery Landers</t>
        </is>
      </c>
      <c r="B1002" s="7" t="n">
        <v>41</v>
      </c>
      <c r="C1002" s="7" t="n">
        <v>3</v>
      </c>
      <c r="D1002" s="7" t="n">
        <v>0.0732</v>
      </c>
      <c r="E1002" s="7" t="n">
        <v>0.0252</v>
      </c>
      <c r="F1002" s="8" t="inlineStr">
        <is>
          <t>Low</t>
        </is>
      </c>
      <c r="G1002" s="8" t="inlineStr">
        <is>
          <t>Medium</t>
        </is>
      </c>
      <c r="H1002">
        <f>IF(F1002=G1002,"YES","NO")</f>
        <v/>
      </c>
    </row>
    <row r="1003">
      <c r="A1003" s="6" t="inlineStr">
        <is>
          <t>Jeffrey Bush</t>
        </is>
      </c>
      <c r="B1003" s="7" t="n">
        <v>464</v>
      </c>
      <c r="C1003" s="7" t="n">
        <v>32</v>
      </c>
      <c r="D1003" s="7" t="n">
        <v>0.06900000000000001</v>
      </c>
      <c r="E1003" s="7" t="n">
        <v>0.0493</v>
      </c>
      <c r="F1003" s="8" t="inlineStr">
        <is>
          <t>Low</t>
        </is>
      </c>
      <c r="G1003" s="8" t="inlineStr">
        <is>
          <t>Low</t>
        </is>
      </c>
      <c r="H1003">
        <f>IF(F1003=G1003,"YES","NO")</f>
        <v/>
      </c>
    </row>
    <row r="1004">
      <c r="A1004" s="6" t="inlineStr">
        <is>
          <t>Jeffrey Montini</t>
        </is>
      </c>
      <c r="B1004" s="7" t="n">
        <v>12</v>
      </c>
      <c r="C1004" s="7" t="n">
        <v>0</v>
      </c>
      <c r="D1004" s="7" t="n">
        <v>0</v>
      </c>
      <c r="E1004" s="7" t="n">
        <v>0</v>
      </c>
      <c r="F1004" s="8" t="inlineStr">
        <is>
          <t>Low</t>
        </is>
      </c>
      <c r="G1004" s="8" t="inlineStr">
        <is>
          <t>Low</t>
        </is>
      </c>
      <c r="H1004">
        <f>IF(F1004=G1004,"YES","NO")</f>
        <v/>
      </c>
    </row>
    <row r="1005">
      <c r="A1005" s="6" t="inlineStr">
        <is>
          <t>Jeffrey Varner</t>
        </is>
      </c>
      <c r="B1005" s="7" t="n">
        <v>29</v>
      </c>
      <c r="C1005" s="7" t="n">
        <v>0</v>
      </c>
      <c r="D1005" s="7" t="n">
        <v>0</v>
      </c>
      <c r="E1005" s="7" t="n">
        <v>0</v>
      </c>
      <c r="F1005" s="8" t="inlineStr">
        <is>
          <t>Low</t>
        </is>
      </c>
      <c r="G1005" s="8" t="inlineStr">
        <is>
          <t>Low</t>
        </is>
      </c>
      <c r="H1005">
        <f>IF(F1005=G1005,"YES","NO")</f>
        <v/>
      </c>
    </row>
    <row r="1006">
      <c r="A1006" s="6" t="inlineStr">
        <is>
          <t>Jeness Raffa</t>
        </is>
      </c>
      <c r="B1006" s="7" t="n">
        <v>3</v>
      </c>
      <c r="C1006" s="7" t="n">
        <v>0</v>
      </c>
      <c r="D1006" s="7" t="n">
        <v>0</v>
      </c>
      <c r="E1006" s="7" t="n">
        <v>0</v>
      </c>
      <c r="F1006" s="8" t="inlineStr">
        <is>
          <t>Low</t>
        </is>
      </c>
      <c r="G1006" s="8" t="inlineStr">
        <is>
          <t>Low</t>
        </is>
      </c>
      <c r="H1006">
        <f>IF(F1006=G1006,"YES","NO")</f>
        <v/>
      </c>
    </row>
    <row r="1007">
      <c r="A1007" s="6" t="inlineStr">
        <is>
          <t>Jennifer Esser</t>
        </is>
      </c>
      <c r="B1007" s="7" t="n">
        <v>1</v>
      </c>
      <c r="C1007" s="7" t="n">
        <v>0</v>
      </c>
      <c r="D1007" s="7" t="n">
        <v>0</v>
      </c>
      <c r="E1007" s="7" t="n">
        <v>0</v>
      </c>
      <c r="F1007" s="8" t="inlineStr">
        <is>
          <t>Low</t>
        </is>
      </c>
      <c r="G1007" s="8" t="inlineStr">
        <is>
          <t>Low</t>
        </is>
      </c>
      <c r="H1007">
        <f>IF(F1007=G1007,"YES","NO")</f>
        <v/>
      </c>
    </row>
    <row r="1008">
      <c r="A1008" s="6" t="inlineStr">
        <is>
          <t>Jennifer Hill</t>
        </is>
      </c>
      <c r="B1008" s="7" t="n">
        <v>25</v>
      </c>
      <c r="C1008" s="7" t="n">
        <v>1</v>
      </c>
      <c r="D1008" s="7" t="n">
        <v>0.04</v>
      </c>
      <c r="E1008" s="7" t="n">
        <v>0.0071</v>
      </c>
      <c r="F1008" s="8" t="inlineStr">
        <is>
          <t>Low</t>
        </is>
      </c>
      <c r="G1008" s="8" t="inlineStr">
        <is>
          <t>Low</t>
        </is>
      </c>
      <c r="H1008">
        <f>IF(F1008=G1008,"YES","NO")</f>
        <v/>
      </c>
    </row>
    <row r="1009">
      <c r="A1009" s="6" t="inlineStr">
        <is>
          <t>Jennifer Huddle</t>
        </is>
      </c>
      <c r="B1009" s="7" t="n">
        <v>96</v>
      </c>
      <c r="C1009" s="7" t="n">
        <v>1</v>
      </c>
      <c r="D1009" s="7" t="n">
        <v>0.0104</v>
      </c>
      <c r="E1009" s="7" t="n">
        <v>0.0018</v>
      </c>
      <c r="F1009" s="8" t="inlineStr">
        <is>
          <t>Low</t>
        </is>
      </c>
      <c r="G1009" s="8" t="inlineStr">
        <is>
          <t>Low</t>
        </is>
      </c>
      <c r="H1009">
        <f>IF(F1009=G1009,"YES","NO")</f>
        <v/>
      </c>
    </row>
    <row r="1010">
      <c r="A1010" s="6" t="inlineStr">
        <is>
          <t>Jennifer Mims</t>
        </is>
      </c>
      <c r="B1010" s="7" t="n">
        <v>20</v>
      </c>
      <c r="C1010" s="7" t="n">
        <v>0</v>
      </c>
      <c r="D1010" s="7" t="n">
        <v>0</v>
      </c>
      <c r="E1010" s="7" t="n">
        <v>0</v>
      </c>
      <c r="F1010" s="8" t="inlineStr">
        <is>
          <t>Low</t>
        </is>
      </c>
      <c r="G1010" s="8" t="inlineStr">
        <is>
          <t>Low</t>
        </is>
      </c>
      <c r="H1010">
        <f>IF(F1010=G1010,"YES","NO")</f>
        <v/>
      </c>
    </row>
    <row r="1011">
      <c r="A1011" s="6" t="inlineStr">
        <is>
          <t>Jennifer Mustful</t>
        </is>
      </c>
      <c r="B1011" s="7" t="n">
        <v>9</v>
      </c>
      <c r="C1011" s="7" t="n">
        <v>0</v>
      </c>
      <c r="D1011" s="7" t="n">
        <v>0</v>
      </c>
      <c r="E1011" s="7" t="n">
        <v>0</v>
      </c>
      <c r="F1011" s="8" t="inlineStr">
        <is>
          <t>Low</t>
        </is>
      </c>
      <c r="G1011" s="8" t="inlineStr">
        <is>
          <t>Low</t>
        </is>
      </c>
      <c r="H1011">
        <f>IF(F1011=G1011,"YES","NO")</f>
        <v/>
      </c>
    </row>
    <row r="1012">
      <c r="A1012" s="6" t="inlineStr">
        <is>
          <t>Jenny Karcher</t>
        </is>
      </c>
      <c r="B1012" s="7" t="n">
        <v>292</v>
      </c>
      <c r="C1012" s="7" t="n">
        <v>2</v>
      </c>
      <c r="D1012" s="7" t="n">
        <v>0.0068</v>
      </c>
      <c r="E1012" s="7" t="n">
        <v>0.0019</v>
      </c>
      <c r="F1012" s="8" t="inlineStr">
        <is>
          <t>Low</t>
        </is>
      </c>
      <c r="G1012" s="8" t="inlineStr">
        <is>
          <t>Low</t>
        </is>
      </c>
      <c r="H1012">
        <f>IF(F1012=G1012,"YES","NO")</f>
        <v/>
      </c>
    </row>
    <row r="1013">
      <c r="A1013" s="6" t="inlineStr">
        <is>
          <t>Jenny Richards</t>
        </is>
      </c>
      <c r="B1013" s="7" t="n">
        <v>177</v>
      </c>
      <c r="C1013" s="7" t="n">
        <v>4</v>
      </c>
      <c r="D1013" s="7" t="n">
        <v>0.0226</v>
      </c>
      <c r="E1013" s="7" t="n">
        <v>0.008800000000000001</v>
      </c>
      <c r="F1013" s="8" t="inlineStr">
        <is>
          <t>Low</t>
        </is>
      </c>
      <c r="G1013" s="8" t="inlineStr">
        <is>
          <t>Low</t>
        </is>
      </c>
      <c r="H1013">
        <f>IF(F1013=G1013,"YES","NO")</f>
        <v/>
      </c>
    </row>
    <row r="1014">
      <c r="A1014" s="6" t="inlineStr">
        <is>
          <t>Jenny Woodard</t>
        </is>
      </c>
      <c r="B1014" s="7" t="n">
        <v>517</v>
      </c>
      <c r="C1014" s="7" t="n">
        <v>29</v>
      </c>
      <c r="D1014" s="7" t="n">
        <v>0.0561</v>
      </c>
      <c r="E1014" s="7" t="n">
        <v>0.0393</v>
      </c>
      <c r="F1014" s="8" t="inlineStr">
        <is>
          <t>Low</t>
        </is>
      </c>
      <c r="G1014" s="8" t="inlineStr">
        <is>
          <t>Low</t>
        </is>
      </c>
      <c r="H1014">
        <f>IF(F1014=G1014,"YES","NO")</f>
        <v/>
      </c>
    </row>
    <row r="1015">
      <c r="A1015" s="6" t="inlineStr">
        <is>
          <t>Jeremi Landry</t>
        </is>
      </c>
      <c r="B1015" s="7" t="n">
        <v>5</v>
      </c>
      <c r="C1015" s="7" t="n">
        <v>0</v>
      </c>
      <c r="D1015" s="7" t="n">
        <v>0</v>
      </c>
      <c r="E1015" s="7" t="n">
        <v>0</v>
      </c>
      <c r="F1015" s="8" t="inlineStr">
        <is>
          <t>Low</t>
        </is>
      </c>
      <c r="G1015" s="8" t="inlineStr">
        <is>
          <t>Low</t>
        </is>
      </c>
      <c r="H1015">
        <f>IF(F1015=G1015,"YES","NO")</f>
        <v/>
      </c>
    </row>
    <row r="1016">
      <c r="A1016" s="6" t="inlineStr">
        <is>
          <t>Jeremy Chua</t>
        </is>
      </c>
      <c r="B1016" s="7" t="n">
        <v>50</v>
      </c>
      <c r="C1016" s="7" t="n">
        <v>6</v>
      </c>
      <c r="D1016" s="7" t="n">
        <v>0.12</v>
      </c>
      <c r="E1016" s="7" t="n">
        <v>0.0562</v>
      </c>
      <c r="F1016" s="8" t="inlineStr">
        <is>
          <t>Low</t>
        </is>
      </c>
      <c r="G1016" s="8" t="inlineStr">
        <is>
          <t>Low</t>
        </is>
      </c>
      <c r="H1016">
        <f>IF(F1016=G1016,"YES","NO")</f>
        <v/>
      </c>
    </row>
    <row r="1017">
      <c r="A1017" s="6" t="inlineStr">
        <is>
          <t>Jeremy Hill</t>
        </is>
      </c>
      <c r="B1017" s="7" t="n">
        <v>24</v>
      </c>
      <c r="C1017" s="7" t="n">
        <v>2</v>
      </c>
      <c r="D1017" s="7" t="n">
        <v>0.0833</v>
      </c>
      <c r="E1017" s="7" t="n">
        <v>0.0232</v>
      </c>
      <c r="F1017" s="8" t="inlineStr">
        <is>
          <t>Low</t>
        </is>
      </c>
      <c r="G1017" s="8" t="inlineStr">
        <is>
          <t>Low</t>
        </is>
      </c>
      <c r="H1017">
        <f>IF(F1017=G1017,"YES","NO")</f>
        <v/>
      </c>
    </row>
    <row r="1018">
      <c r="A1018" s="6" t="inlineStr">
        <is>
          <t>Jeremy Morris</t>
        </is>
      </c>
      <c r="B1018" s="7" t="n">
        <v>7</v>
      </c>
      <c r="C1018" s="7" t="n">
        <v>0</v>
      </c>
      <c r="D1018" s="7" t="n">
        <v>0</v>
      </c>
      <c r="E1018" s="7" t="n">
        <v>0</v>
      </c>
      <c r="F1018" s="8" t="inlineStr">
        <is>
          <t>Low</t>
        </is>
      </c>
      <c r="G1018" s="8" t="inlineStr">
        <is>
          <t>Low</t>
        </is>
      </c>
      <c r="H1018">
        <f>IF(F1018=G1018,"YES","NO")</f>
        <v/>
      </c>
    </row>
    <row r="1019">
      <c r="A1019" s="6" t="inlineStr">
        <is>
          <t>Jeriel Farias</t>
        </is>
      </c>
      <c r="B1019" s="7" t="n">
        <v>162</v>
      </c>
      <c r="C1019" s="7" t="n">
        <v>12</v>
      </c>
      <c r="D1019" s="7" t="n">
        <v>0.0741</v>
      </c>
      <c r="E1019" s="7" t="n">
        <v>0.0429</v>
      </c>
      <c r="F1019" s="8" t="inlineStr">
        <is>
          <t>Low</t>
        </is>
      </c>
      <c r="G1019" s="8" t="inlineStr">
        <is>
          <t>Low</t>
        </is>
      </c>
      <c r="H1019">
        <f>IF(F1019=G1019,"YES","NO")</f>
        <v/>
      </c>
    </row>
    <row r="1020">
      <c r="A1020" s="6" t="inlineStr">
        <is>
          <t>Jerimiah Jones</t>
        </is>
      </c>
      <c r="B1020" s="7" t="n">
        <v>2</v>
      </c>
      <c r="C1020" s="7" t="n">
        <v>0</v>
      </c>
      <c r="D1020" s="7" t="n">
        <v>0</v>
      </c>
      <c r="E1020" s="7" t="n">
        <v>0</v>
      </c>
      <c r="F1020" s="8" t="inlineStr">
        <is>
          <t>Low</t>
        </is>
      </c>
      <c r="G1020" s="8" t="inlineStr">
        <is>
          <t>Low</t>
        </is>
      </c>
      <c r="H1020">
        <f>IF(F1020=G1020,"YES","NO")</f>
        <v/>
      </c>
    </row>
    <row r="1021">
      <c r="A1021" s="6" t="inlineStr">
        <is>
          <t>Jerrid Sargent</t>
        </is>
      </c>
      <c r="B1021" s="7" t="n">
        <v>71</v>
      </c>
      <c r="C1021" s="7" t="n">
        <v>0</v>
      </c>
      <c r="D1021" s="7" t="n">
        <v>0</v>
      </c>
      <c r="E1021" s="7" t="n">
        <v>0</v>
      </c>
      <c r="F1021" s="8" t="inlineStr">
        <is>
          <t>Low</t>
        </is>
      </c>
      <c r="G1021" s="8" t="inlineStr">
        <is>
          <t>Low</t>
        </is>
      </c>
      <c r="H1021">
        <f>IF(F1021=G1021,"YES","NO")</f>
        <v/>
      </c>
    </row>
    <row r="1022">
      <c r="A1022" s="6" t="inlineStr">
        <is>
          <t>Jerry DiMartino</t>
        </is>
      </c>
      <c r="B1022" s="7" t="n">
        <v>1</v>
      </c>
      <c r="C1022" s="7" t="n">
        <v>0</v>
      </c>
      <c r="D1022" s="7" t="n">
        <v>0</v>
      </c>
      <c r="E1022" s="7" t="n">
        <v>0</v>
      </c>
      <c r="F1022" s="8" t="inlineStr">
        <is>
          <t>Low</t>
        </is>
      </c>
      <c r="G1022" s="8" t="inlineStr">
        <is>
          <t>Low</t>
        </is>
      </c>
      <c r="H1022">
        <f>IF(F1022=G1022,"YES","NO")</f>
        <v/>
      </c>
    </row>
    <row r="1023">
      <c r="A1023" s="6" t="inlineStr">
        <is>
          <t>Jerry Flores</t>
        </is>
      </c>
      <c r="B1023" s="7" t="n">
        <v>72</v>
      </c>
      <c r="C1023" s="7" t="n">
        <v>3</v>
      </c>
      <c r="D1023" s="7" t="n">
        <v>0.0417</v>
      </c>
      <c r="E1023" s="7" t="n">
        <v>0.0143</v>
      </c>
      <c r="F1023" s="8" t="inlineStr">
        <is>
          <t>Low</t>
        </is>
      </c>
      <c r="G1023" s="8" t="inlineStr">
        <is>
          <t>Low</t>
        </is>
      </c>
      <c r="H1023">
        <f>IF(F1023=G1023,"YES","NO")</f>
        <v/>
      </c>
    </row>
    <row r="1024">
      <c r="A1024" s="6" t="inlineStr">
        <is>
          <t>Jerry Shumate</t>
        </is>
      </c>
      <c r="B1024" s="7" t="n">
        <v>146</v>
      </c>
      <c r="C1024" s="7" t="n">
        <v>3</v>
      </c>
      <c r="D1024" s="7" t="n">
        <v>0.0205</v>
      </c>
      <c r="E1024" s="7" t="n">
        <v>0.007</v>
      </c>
      <c r="F1024" s="8" t="inlineStr">
        <is>
          <t>Low</t>
        </is>
      </c>
      <c r="G1024" s="8" t="inlineStr">
        <is>
          <t>Low</t>
        </is>
      </c>
      <c r="H1024">
        <f>IF(F1024=G1024,"YES","NO")</f>
        <v/>
      </c>
    </row>
    <row r="1025">
      <c r="A1025" s="6" t="inlineStr">
        <is>
          <t>Jerry Sloane</t>
        </is>
      </c>
      <c r="B1025" s="7" t="n">
        <v>115</v>
      </c>
      <c r="C1025" s="7" t="n">
        <v>18</v>
      </c>
      <c r="D1025" s="7" t="n">
        <v>0.1565</v>
      </c>
      <c r="E1025" s="7" t="n">
        <v>0.1014</v>
      </c>
      <c r="F1025" s="8" t="inlineStr">
        <is>
          <t>Low</t>
        </is>
      </c>
      <c r="G1025" s="8" t="inlineStr">
        <is>
          <t>Low</t>
        </is>
      </c>
      <c r="H1025">
        <f>IF(F1025=G1025,"YES","NO")</f>
        <v/>
      </c>
    </row>
    <row r="1026">
      <c r="A1026" s="6" t="inlineStr">
        <is>
          <t>Jerry Teal</t>
        </is>
      </c>
      <c r="B1026" s="7" t="n">
        <v>14</v>
      </c>
      <c r="C1026" s="7" t="n">
        <v>0</v>
      </c>
      <c r="D1026" s="7" t="n">
        <v>0</v>
      </c>
      <c r="E1026" s="7" t="n">
        <v>0</v>
      </c>
      <c r="F1026" s="8" t="inlineStr">
        <is>
          <t>Low</t>
        </is>
      </c>
      <c r="G1026" s="8" t="inlineStr">
        <is>
          <t>Low</t>
        </is>
      </c>
      <c r="H1026">
        <f>IF(F1026=G1026,"YES","NO")</f>
        <v/>
      </c>
    </row>
    <row r="1027">
      <c r="A1027" s="6" t="inlineStr">
        <is>
          <t>Jesse Lokken</t>
        </is>
      </c>
      <c r="B1027" s="7" t="n">
        <v>1</v>
      </c>
      <c r="C1027" s="7" t="n">
        <v>0</v>
      </c>
      <c r="D1027" s="7" t="n">
        <v>0</v>
      </c>
      <c r="E1027" s="7" t="n">
        <v>0</v>
      </c>
      <c r="F1027" s="8" t="inlineStr">
        <is>
          <t>Low</t>
        </is>
      </c>
      <c r="G1027" s="8" t="inlineStr">
        <is>
          <t>Low</t>
        </is>
      </c>
      <c r="H1027">
        <f>IF(F1027=G1027,"YES","NO")</f>
        <v/>
      </c>
    </row>
    <row r="1028">
      <c r="A1028" s="6" t="inlineStr">
        <is>
          <t>Jesse Moree</t>
        </is>
      </c>
      <c r="B1028" s="7" t="n">
        <v>3</v>
      </c>
      <c r="C1028" s="7" t="n">
        <v>0</v>
      </c>
      <c r="D1028" s="7" t="n">
        <v>0</v>
      </c>
      <c r="E1028" s="7" t="n">
        <v>0</v>
      </c>
      <c r="F1028" s="8" t="inlineStr">
        <is>
          <t>Low</t>
        </is>
      </c>
      <c r="G1028" s="8" t="inlineStr">
        <is>
          <t>Low</t>
        </is>
      </c>
      <c r="H1028">
        <f>IF(F1028=G1028,"YES","NO")</f>
        <v/>
      </c>
    </row>
    <row r="1029">
      <c r="A1029" s="6" t="inlineStr">
        <is>
          <t>Jessica Dynia</t>
        </is>
      </c>
      <c r="B1029" s="7" t="n">
        <v>43</v>
      </c>
      <c r="C1029" s="7" t="n">
        <v>0</v>
      </c>
      <c r="D1029" s="7" t="n">
        <v>0</v>
      </c>
      <c r="E1029" s="7" t="n">
        <v>0</v>
      </c>
      <c r="F1029" s="8" t="inlineStr">
        <is>
          <t>Low</t>
        </is>
      </c>
      <c r="G1029" s="8" t="inlineStr">
        <is>
          <t>Low</t>
        </is>
      </c>
      <c r="H1029">
        <f>IF(F1029=G1029,"YES","NO")</f>
        <v/>
      </c>
    </row>
    <row r="1030">
      <c r="A1030" s="6" t="inlineStr">
        <is>
          <t>Jessica Hutcheson</t>
        </is>
      </c>
      <c r="B1030" s="7" t="n">
        <v>9</v>
      </c>
      <c r="C1030" s="7" t="n">
        <v>0</v>
      </c>
      <c r="D1030" s="7" t="n">
        <v>0</v>
      </c>
      <c r="E1030" s="7" t="n">
        <v>0</v>
      </c>
      <c r="F1030" s="8" t="inlineStr">
        <is>
          <t>Low</t>
        </is>
      </c>
      <c r="G1030" s="8" t="inlineStr">
        <is>
          <t>Low</t>
        </is>
      </c>
      <c r="H1030">
        <f>IF(F1030=G1030,"YES","NO")</f>
        <v/>
      </c>
    </row>
    <row r="1031">
      <c r="A1031" s="6" t="inlineStr">
        <is>
          <t>Jessica Maneri</t>
        </is>
      </c>
      <c r="B1031" s="7" t="n">
        <v>3</v>
      </c>
      <c r="C1031" s="7" t="n">
        <v>0</v>
      </c>
      <c r="D1031" s="7" t="n">
        <v>0</v>
      </c>
      <c r="E1031" s="7" t="n">
        <v>0</v>
      </c>
      <c r="F1031" s="8" t="inlineStr">
        <is>
          <t>Low</t>
        </is>
      </c>
      <c r="G1031" s="8" t="inlineStr">
        <is>
          <t>Low</t>
        </is>
      </c>
      <c r="H1031">
        <f>IF(F1031=G1031,"YES","NO")</f>
        <v/>
      </c>
    </row>
    <row r="1032">
      <c r="A1032" s="6" t="inlineStr">
        <is>
          <t>Jessica McDonaugh</t>
        </is>
      </c>
      <c r="B1032" s="7" t="n">
        <v>29</v>
      </c>
      <c r="C1032" s="7" t="n">
        <v>1</v>
      </c>
      <c r="D1032" s="7" t="n">
        <v>0.0345</v>
      </c>
      <c r="E1032" s="7" t="n">
        <v>0.0061</v>
      </c>
      <c r="F1032" s="8" t="inlineStr">
        <is>
          <t>Low</t>
        </is>
      </c>
      <c r="G1032" s="8" t="inlineStr">
        <is>
          <t>Low</t>
        </is>
      </c>
      <c r="H1032">
        <f>IF(F1032=G1032,"YES","NO")</f>
        <v/>
      </c>
    </row>
    <row r="1033">
      <c r="A1033" s="6" t="inlineStr">
        <is>
          <t>Jessica Murphy</t>
        </is>
      </c>
      <c r="B1033" s="7" t="n">
        <v>4</v>
      </c>
      <c r="C1033" s="7" t="n">
        <v>0</v>
      </c>
      <c r="D1033" s="7" t="n">
        <v>0</v>
      </c>
      <c r="E1033" s="7" t="n">
        <v>0</v>
      </c>
      <c r="F1033" s="8" t="inlineStr">
        <is>
          <t>Low</t>
        </is>
      </c>
      <c r="G1033" s="8" t="inlineStr">
        <is>
          <t>Low</t>
        </is>
      </c>
      <c r="H1033">
        <f>IF(F1033=G1033,"YES","NO")</f>
        <v/>
      </c>
    </row>
    <row r="1034">
      <c r="A1034" s="6" t="inlineStr">
        <is>
          <t>Jessica Quick</t>
        </is>
      </c>
      <c r="B1034" s="7" t="n">
        <v>12</v>
      </c>
      <c r="C1034" s="7" t="n">
        <v>0</v>
      </c>
      <c r="D1034" s="7" t="n">
        <v>0</v>
      </c>
      <c r="E1034" s="7" t="n">
        <v>0</v>
      </c>
      <c r="F1034" s="8" t="inlineStr">
        <is>
          <t>Low</t>
        </is>
      </c>
      <c r="G1034" s="8" t="inlineStr">
        <is>
          <t>Low</t>
        </is>
      </c>
      <c r="H1034">
        <f>IF(F1034=G1034,"YES","NO")</f>
        <v/>
      </c>
    </row>
    <row r="1035">
      <c r="A1035" s="6" t="inlineStr">
        <is>
          <t>Jessica Spearman</t>
        </is>
      </c>
      <c r="B1035" s="7" t="n">
        <v>13</v>
      </c>
      <c r="C1035" s="7" t="n">
        <v>0</v>
      </c>
      <c r="D1035" s="7" t="n">
        <v>0</v>
      </c>
      <c r="E1035" s="7" t="n">
        <v>0</v>
      </c>
      <c r="F1035" s="8" t="inlineStr">
        <is>
          <t>Low</t>
        </is>
      </c>
      <c r="G1035" s="8" t="inlineStr">
        <is>
          <t>Low</t>
        </is>
      </c>
      <c r="H1035">
        <f>IF(F1035=G1035,"YES","NO")</f>
        <v/>
      </c>
    </row>
    <row r="1036">
      <c r="A1036" s="6" t="inlineStr">
        <is>
          <t>Jessica Whaley</t>
        </is>
      </c>
      <c r="B1036" s="7" t="n">
        <v>5</v>
      </c>
      <c r="C1036" s="7" t="n">
        <v>0</v>
      </c>
      <c r="D1036" s="7" t="n">
        <v>0</v>
      </c>
      <c r="E1036" s="7" t="n">
        <v>0</v>
      </c>
      <c r="F1036" s="8" t="inlineStr">
        <is>
          <t>Low</t>
        </is>
      </c>
      <c r="G1036" s="8" t="inlineStr">
        <is>
          <t>Low</t>
        </is>
      </c>
      <c r="H1036">
        <f>IF(F1036=G1036,"YES","NO")</f>
        <v/>
      </c>
    </row>
    <row r="1037">
      <c r="A1037" s="6" t="inlineStr">
        <is>
          <t>Jessie Heredia</t>
        </is>
      </c>
      <c r="B1037" s="7" t="n">
        <v>23</v>
      </c>
      <c r="C1037" s="7" t="n">
        <v>0</v>
      </c>
      <c r="D1037" s="7" t="n">
        <v>0</v>
      </c>
      <c r="E1037" s="7" t="n">
        <v>0</v>
      </c>
      <c r="F1037" s="8" t="inlineStr">
        <is>
          <t>Low</t>
        </is>
      </c>
      <c r="G1037" s="8" t="inlineStr">
        <is>
          <t>Low</t>
        </is>
      </c>
      <c r="H1037">
        <f>IF(F1037=G1037,"YES","NO")</f>
        <v/>
      </c>
    </row>
    <row r="1038">
      <c r="A1038" s="6" t="inlineStr">
        <is>
          <t>Jessie Needham</t>
        </is>
      </c>
      <c r="B1038" s="7" t="n">
        <v>128</v>
      </c>
      <c r="C1038" s="7" t="n">
        <v>2</v>
      </c>
      <c r="D1038" s="7" t="n">
        <v>0.0156</v>
      </c>
      <c r="E1038" s="7" t="n">
        <v>0.0043</v>
      </c>
      <c r="F1038" s="8" t="inlineStr">
        <is>
          <t>Low</t>
        </is>
      </c>
      <c r="G1038" s="8" t="inlineStr">
        <is>
          <t>Low</t>
        </is>
      </c>
      <c r="H1038">
        <f>IF(F1038=G1038,"YES","NO")</f>
        <v/>
      </c>
    </row>
    <row r="1039">
      <c r="A1039" s="6" t="inlineStr">
        <is>
          <t>Jill Douglass</t>
        </is>
      </c>
      <c r="B1039" s="7" t="n">
        <v>4</v>
      </c>
      <c r="C1039" s="7" t="n">
        <v>0</v>
      </c>
      <c r="D1039" s="7" t="n">
        <v>0</v>
      </c>
      <c r="E1039" s="7" t="n">
        <v>0</v>
      </c>
      <c r="F1039" s="8" t="inlineStr">
        <is>
          <t>Low</t>
        </is>
      </c>
      <c r="G1039" s="8" t="inlineStr">
        <is>
          <t>Low</t>
        </is>
      </c>
      <c r="H1039">
        <f>IF(F1039=G1039,"YES","NO")</f>
        <v/>
      </c>
    </row>
    <row r="1040">
      <c r="A1040" s="6" t="inlineStr">
        <is>
          <t>Jill Skelly</t>
        </is>
      </c>
      <c r="B1040" s="7" t="n">
        <v>26</v>
      </c>
      <c r="C1040" s="7" t="n">
        <v>0</v>
      </c>
      <c r="D1040" s="7" t="n">
        <v>0</v>
      </c>
      <c r="E1040" s="7" t="n">
        <v>0</v>
      </c>
      <c r="F1040" s="8" t="inlineStr">
        <is>
          <t>Low</t>
        </is>
      </c>
      <c r="G1040" s="8" t="inlineStr">
        <is>
          <t>Low</t>
        </is>
      </c>
      <c r="H1040">
        <f>IF(F1040=G1040,"YES","NO")</f>
        <v/>
      </c>
    </row>
    <row r="1041">
      <c r="A1041" s="6" t="inlineStr">
        <is>
          <t>Jim  Smith</t>
        </is>
      </c>
      <c r="B1041" s="7" t="n">
        <v>84</v>
      </c>
      <c r="C1041" s="7" t="n">
        <v>0</v>
      </c>
      <c r="D1041" s="7" t="n">
        <v>0</v>
      </c>
      <c r="E1041" s="7" t="n">
        <v>0</v>
      </c>
      <c r="F1041" s="8" t="inlineStr">
        <is>
          <t>Low</t>
        </is>
      </c>
      <c r="G1041" s="8" t="inlineStr">
        <is>
          <t>Low</t>
        </is>
      </c>
      <c r="H1041">
        <f>IF(F1041=G1041,"YES","NO")</f>
        <v/>
      </c>
    </row>
    <row r="1042">
      <c r="A1042" s="6" t="inlineStr">
        <is>
          <t>Jim Fiorini</t>
        </is>
      </c>
      <c r="B1042" s="7" t="n">
        <v>43</v>
      </c>
      <c r="C1042" s="7" t="n">
        <v>0</v>
      </c>
      <c r="D1042" s="7" t="n">
        <v>0</v>
      </c>
      <c r="E1042" s="7" t="n">
        <v>0</v>
      </c>
      <c r="F1042" s="8" t="inlineStr">
        <is>
          <t>Low</t>
        </is>
      </c>
      <c r="G1042" s="8" t="inlineStr">
        <is>
          <t>Low</t>
        </is>
      </c>
      <c r="H1042">
        <f>IF(F1042=G1042,"YES","NO")</f>
        <v/>
      </c>
    </row>
    <row r="1043">
      <c r="A1043" s="6" t="inlineStr">
        <is>
          <t>Jim Gonthier</t>
        </is>
      </c>
      <c r="B1043" s="7" t="n">
        <v>15</v>
      </c>
      <c r="C1043" s="7" t="n">
        <v>0</v>
      </c>
      <c r="D1043" s="7" t="n">
        <v>0</v>
      </c>
      <c r="E1043" s="7" t="n">
        <v>0</v>
      </c>
      <c r="F1043" s="8" t="inlineStr">
        <is>
          <t>Low</t>
        </is>
      </c>
      <c r="G1043" s="8" t="inlineStr">
        <is>
          <t>Low</t>
        </is>
      </c>
      <c r="H1043">
        <f>IF(F1043=G1043,"YES","NO")</f>
        <v/>
      </c>
    </row>
    <row r="1044">
      <c r="A1044" s="6" t="inlineStr">
        <is>
          <t>Jim Hankins</t>
        </is>
      </c>
      <c r="B1044" s="7" t="n">
        <v>19</v>
      </c>
      <c r="C1044" s="7" t="n">
        <v>0</v>
      </c>
      <c r="D1044" s="7" t="n">
        <v>0</v>
      </c>
      <c r="E1044" s="7" t="n">
        <v>0</v>
      </c>
      <c r="F1044" s="8" t="inlineStr">
        <is>
          <t>Low</t>
        </is>
      </c>
      <c r="G1044" s="8" t="inlineStr">
        <is>
          <t>Low</t>
        </is>
      </c>
      <c r="H1044">
        <f>IF(F1044=G1044,"YES","NO")</f>
        <v/>
      </c>
    </row>
    <row r="1045">
      <c r="A1045" s="6" t="inlineStr">
        <is>
          <t>Jim Isch</t>
        </is>
      </c>
      <c r="B1045" s="7" t="n">
        <v>4</v>
      </c>
      <c r="C1045" s="7" t="n">
        <v>0</v>
      </c>
      <c r="D1045" s="7" t="n">
        <v>0</v>
      </c>
      <c r="E1045" s="7" t="n">
        <v>0</v>
      </c>
      <c r="F1045" s="8" t="inlineStr">
        <is>
          <t>Low</t>
        </is>
      </c>
      <c r="G1045" s="8" t="inlineStr">
        <is>
          <t>Low</t>
        </is>
      </c>
      <c r="H1045">
        <f>IF(F1045=G1045,"YES","NO")</f>
        <v/>
      </c>
    </row>
    <row r="1046">
      <c r="A1046" s="6" t="inlineStr">
        <is>
          <t>Jim Migliaccio</t>
        </is>
      </c>
      <c r="B1046" s="7" t="n">
        <v>989</v>
      </c>
      <c r="C1046" s="7" t="n">
        <v>6</v>
      </c>
      <c r="D1046" s="7" t="n">
        <v>0.0061</v>
      </c>
      <c r="E1046" s="7" t="n">
        <v>0.0028</v>
      </c>
      <c r="F1046" s="8" t="inlineStr">
        <is>
          <t>Low</t>
        </is>
      </c>
      <c r="G1046" s="8" t="inlineStr">
        <is>
          <t>Low</t>
        </is>
      </c>
      <c r="H1046">
        <f>IF(F1046=G1046,"YES","NO")</f>
        <v/>
      </c>
    </row>
    <row r="1047">
      <c r="A1047" s="6" t="inlineStr">
        <is>
          <t>Jim Storrs</t>
        </is>
      </c>
      <c r="B1047" s="7" t="n">
        <v>70</v>
      </c>
      <c r="C1047" s="7" t="n">
        <v>6</v>
      </c>
      <c r="D1047" s="7" t="n">
        <v>0.0857</v>
      </c>
      <c r="E1047" s="7" t="n">
        <v>0.0399</v>
      </c>
      <c r="F1047" s="8" t="inlineStr">
        <is>
          <t>Low</t>
        </is>
      </c>
      <c r="G1047" s="8" t="inlineStr">
        <is>
          <t>High</t>
        </is>
      </c>
      <c r="H1047">
        <f>IF(F1047=G1047,"YES","NO")</f>
        <v/>
      </c>
    </row>
    <row r="1048">
      <c r="A1048" s="6" t="inlineStr">
        <is>
          <t>Jim Utley</t>
        </is>
      </c>
      <c r="B1048" s="7" t="n">
        <v>7</v>
      </c>
      <c r="C1048" s="7" t="n">
        <v>1</v>
      </c>
      <c r="D1048" s="7" t="n">
        <v>0.1429</v>
      </c>
      <c r="E1048" s="7" t="n">
        <v>0.0257</v>
      </c>
      <c r="F1048" s="8" t="inlineStr">
        <is>
          <t>Low</t>
        </is>
      </c>
      <c r="G1048" s="8" t="inlineStr">
        <is>
          <t>Low</t>
        </is>
      </c>
      <c r="H1048">
        <f>IF(F1048=G1048,"YES","NO")</f>
        <v/>
      </c>
    </row>
    <row r="1049">
      <c r="A1049" s="6" t="inlineStr">
        <is>
          <t>Jimmy Brannon</t>
        </is>
      </c>
      <c r="B1049" s="7" t="n">
        <v>4</v>
      </c>
      <c r="C1049" s="7" t="n">
        <v>0</v>
      </c>
      <c r="D1049" s="7" t="n">
        <v>0</v>
      </c>
      <c r="E1049" s="7" t="n">
        <v>0</v>
      </c>
      <c r="F1049" s="8" t="inlineStr">
        <is>
          <t>Low</t>
        </is>
      </c>
      <c r="G1049" s="8" t="inlineStr">
        <is>
          <t>Low</t>
        </is>
      </c>
      <c r="H1049">
        <f>IF(F1049=G1049,"YES","NO")</f>
        <v/>
      </c>
    </row>
    <row r="1050">
      <c r="A1050" s="6" t="inlineStr">
        <is>
          <t>Jimmy Richards</t>
        </is>
      </c>
      <c r="B1050" s="7" t="n">
        <v>67</v>
      </c>
      <c r="C1050" s="7" t="n">
        <v>1</v>
      </c>
      <c r="D1050" s="7" t="n">
        <v>0.0149</v>
      </c>
      <c r="E1050" s="7" t="n">
        <v>0.0026</v>
      </c>
      <c r="F1050" s="8" t="inlineStr">
        <is>
          <t>Low</t>
        </is>
      </c>
      <c r="G1050" s="8" t="inlineStr">
        <is>
          <t>Low</t>
        </is>
      </c>
      <c r="H1050">
        <f>IF(F1050=G1050,"YES","NO")</f>
        <v/>
      </c>
    </row>
    <row r="1051">
      <c r="A1051" s="6" t="inlineStr">
        <is>
          <t>JoAnn Loos</t>
        </is>
      </c>
      <c r="B1051" s="7" t="n">
        <v>8</v>
      </c>
      <c r="C1051" s="7" t="n">
        <v>0</v>
      </c>
      <c r="D1051" s="7" t="n">
        <v>0</v>
      </c>
      <c r="E1051" s="7" t="n">
        <v>0</v>
      </c>
      <c r="F1051" s="8" t="inlineStr">
        <is>
          <t>Low</t>
        </is>
      </c>
      <c r="G1051" s="8" t="inlineStr">
        <is>
          <t>Low</t>
        </is>
      </c>
      <c r="H1051">
        <f>IF(F1051=G1051,"YES","NO")</f>
        <v/>
      </c>
    </row>
    <row r="1052">
      <c r="A1052" s="6" t="inlineStr">
        <is>
          <t>Joan Bikowski</t>
        </is>
      </c>
      <c r="B1052" s="7" t="n">
        <v>16</v>
      </c>
      <c r="C1052" s="7" t="n">
        <v>2</v>
      </c>
      <c r="D1052" s="7" t="n">
        <v>0.125</v>
      </c>
      <c r="E1052" s="7" t="n">
        <v>0.035</v>
      </c>
      <c r="F1052" s="8" t="inlineStr">
        <is>
          <t>Low</t>
        </is>
      </c>
      <c r="G1052" s="8" t="inlineStr">
        <is>
          <t>Low</t>
        </is>
      </c>
      <c r="H1052">
        <f>IF(F1052=G1052,"YES","NO")</f>
        <v/>
      </c>
    </row>
    <row r="1053">
      <c r="A1053" s="6" t="inlineStr">
        <is>
          <t>Joan Simon</t>
        </is>
      </c>
      <c r="B1053" s="7" t="n">
        <v>6</v>
      </c>
      <c r="C1053" s="7" t="n">
        <v>0</v>
      </c>
      <c r="D1053" s="7" t="n">
        <v>0</v>
      </c>
      <c r="E1053" s="7" t="n">
        <v>0</v>
      </c>
      <c r="F1053" s="8" t="inlineStr">
        <is>
          <t>Low</t>
        </is>
      </c>
      <c r="G1053" s="8" t="inlineStr">
        <is>
          <t>Low</t>
        </is>
      </c>
      <c r="H1053">
        <f>IF(F1053=G1053,"YES","NO")</f>
        <v/>
      </c>
    </row>
    <row r="1054">
      <c r="A1054" s="6" t="inlineStr">
        <is>
          <t>Jodilynn DiPiazza</t>
        </is>
      </c>
      <c r="B1054" s="7" t="n">
        <v>3</v>
      </c>
      <c r="C1054" s="7" t="n">
        <v>0</v>
      </c>
      <c r="D1054" s="7" t="n">
        <v>0</v>
      </c>
      <c r="E1054" s="7" t="n">
        <v>0</v>
      </c>
      <c r="F1054" s="8" t="inlineStr">
        <is>
          <t>Low</t>
        </is>
      </c>
      <c r="G1054" s="8" t="inlineStr">
        <is>
          <t>Low</t>
        </is>
      </c>
      <c r="H1054">
        <f>IF(F1054=G1054,"YES","NO")</f>
        <v/>
      </c>
    </row>
    <row r="1055">
      <c r="A1055" s="6" t="inlineStr">
        <is>
          <t>Jody Svete</t>
        </is>
      </c>
      <c r="B1055" s="7" t="n">
        <v>124</v>
      </c>
      <c r="C1055" s="7" t="n">
        <v>1</v>
      </c>
      <c r="D1055" s="7" t="n">
        <v>0.0081</v>
      </c>
      <c r="E1055" s="7" t="n">
        <v>0.0014</v>
      </c>
      <c r="F1055" s="8" t="inlineStr">
        <is>
          <t>Low</t>
        </is>
      </c>
      <c r="G1055" s="8" t="inlineStr">
        <is>
          <t>Low</t>
        </is>
      </c>
      <c r="H1055">
        <f>IF(F1055=G1055,"YES","NO")</f>
        <v/>
      </c>
    </row>
    <row r="1056">
      <c r="A1056" s="6" t="inlineStr">
        <is>
          <t>Joe  Lardiere</t>
        </is>
      </c>
      <c r="B1056" s="7" t="n">
        <v>111</v>
      </c>
      <c r="C1056" s="7" t="n">
        <v>6</v>
      </c>
      <c r="D1056" s="7" t="n">
        <v>0.0541</v>
      </c>
      <c r="E1056" s="7" t="n">
        <v>0.025</v>
      </c>
      <c r="F1056" s="8" t="inlineStr">
        <is>
          <t>Low</t>
        </is>
      </c>
      <c r="G1056" s="8" t="inlineStr">
        <is>
          <t>Low</t>
        </is>
      </c>
      <c r="H1056">
        <f>IF(F1056=G1056,"YES","NO")</f>
        <v/>
      </c>
    </row>
    <row r="1057">
      <c r="A1057" s="6" t="inlineStr">
        <is>
          <t>Joe Dimartino</t>
        </is>
      </c>
      <c r="B1057" s="7" t="n">
        <v>3</v>
      </c>
      <c r="C1057" s="7" t="n">
        <v>0</v>
      </c>
      <c r="D1057" s="7" t="n">
        <v>0</v>
      </c>
      <c r="E1057" s="7" t="n">
        <v>0</v>
      </c>
      <c r="F1057" s="8" t="inlineStr">
        <is>
          <t>Low</t>
        </is>
      </c>
      <c r="G1057" s="8" t="inlineStr">
        <is>
          <t>Low</t>
        </is>
      </c>
      <c r="H1057">
        <f>IF(F1057=G1057,"YES","NO")</f>
        <v/>
      </c>
    </row>
    <row r="1058">
      <c r="A1058" s="6" t="inlineStr">
        <is>
          <t>Joe Doherty</t>
        </is>
      </c>
      <c r="B1058" s="7" t="n">
        <v>12</v>
      </c>
      <c r="C1058" s="7" t="n">
        <v>0</v>
      </c>
      <c r="D1058" s="7" t="n">
        <v>0</v>
      </c>
      <c r="E1058" s="7" t="n">
        <v>0</v>
      </c>
      <c r="F1058" s="8" t="inlineStr">
        <is>
          <t>Low</t>
        </is>
      </c>
      <c r="G1058" s="8" t="inlineStr">
        <is>
          <t>Low</t>
        </is>
      </c>
      <c r="H1058">
        <f>IF(F1058=G1058,"YES","NO")</f>
        <v/>
      </c>
    </row>
    <row r="1059">
      <c r="A1059" s="6" t="inlineStr">
        <is>
          <t>Joe Gaspar</t>
        </is>
      </c>
      <c r="B1059" s="7" t="n">
        <v>91</v>
      </c>
      <c r="C1059" s="7" t="n">
        <v>1</v>
      </c>
      <c r="D1059" s="7" t="n">
        <v>0.011</v>
      </c>
      <c r="E1059" s="7" t="n">
        <v>0.0019</v>
      </c>
      <c r="F1059" s="8" t="inlineStr">
        <is>
          <t>Low</t>
        </is>
      </c>
      <c r="G1059" s="8" t="inlineStr">
        <is>
          <t>Low</t>
        </is>
      </c>
      <c r="H1059">
        <f>IF(F1059=G1059,"YES","NO")</f>
        <v/>
      </c>
    </row>
    <row r="1060">
      <c r="A1060" s="6" t="inlineStr">
        <is>
          <t>Joe Graziano</t>
        </is>
      </c>
      <c r="B1060" s="7" t="n">
        <v>1</v>
      </c>
      <c r="C1060" s="7" t="n">
        <v>0</v>
      </c>
      <c r="D1060" s="7" t="n">
        <v>0</v>
      </c>
      <c r="E1060" s="7" t="n">
        <v>0</v>
      </c>
      <c r="F1060" s="8" t="inlineStr">
        <is>
          <t>Low</t>
        </is>
      </c>
      <c r="G1060" s="8" t="inlineStr">
        <is>
          <t>Low</t>
        </is>
      </c>
      <c r="H1060">
        <f>IF(F1060=G1060,"YES","NO")</f>
        <v/>
      </c>
    </row>
    <row r="1061">
      <c r="A1061" s="6" t="inlineStr">
        <is>
          <t>Joe Jersak</t>
        </is>
      </c>
      <c r="B1061" s="7" t="n">
        <v>5</v>
      </c>
      <c r="C1061" s="7" t="n">
        <v>0</v>
      </c>
      <c r="D1061" s="7" t="n">
        <v>0</v>
      </c>
      <c r="E1061" s="7" t="n">
        <v>0</v>
      </c>
      <c r="F1061" s="8" t="inlineStr">
        <is>
          <t>Low</t>
        </is>
      </c>
      <c r="G1061" s="8" t="inlineStr">
        <is>
          <t>Low</t>
        </is>
      </c>
      <c r="H1061">
        <f>IF(F1061=G1061,"YES","NO")</f>
        <v/>
      </c>
    </row>
    <row r="1062">
      <c r="A1062" s="6" t="inlineStr">
        <is>
          <t>Joe Russo</t>
        </is>
      </c>
      <c r="B1062" s="7" t="n">
        <v>27</v>
      </c>
      <c r="C1062" s="7" t="n">
        <v>0</v>
      </c>
      <c r="D1062" s="7" t="n">
        <v>0</v>
      </c>
      <c r="E1062" s="7" t="n">
        <v>0</v>
      </c>
      <c r="F1062" s="8" t="inlineStr">
        <is>
          <t>Low</t>
        </is>
      </c>
      <c r="G1062" s="8" t="inlineStr">
        <is>
          <t>Low</t>
        </is>
      </c>
      <c r="H1062">
        <f>IF(F1062=G1062,"YES","NO")</f>
        <v/>
      </c>
    </row>
    <row r="1063">
      <c r="A1063" s="6" t="inlineStr">
        <is>
          <t>Joe Wark</t>
        </is>
      </c>
      <c r="B1063" s="7" t="n">
        <v>1</v>
      </c>
      <c r="C1063" s="7" t="n">
        <v>0</v>
      </c>
      <c r="D1063" s="7" t="n">
        <v>0</v>
      </c>
      <c r="E1063" s="7" t="n">
        <v>0</v>
      </c>
      <c r="F1063" s="8" t="inlineStr">
        <is>
          <t>Low</t>
        </is>
      </c>
      <c r="G1063" s="8" t="inlineStr">
        <is>
          <t>Low</t>
        </is>
      </c>
      <c r="H1063">
        <f>IF(F1063=G1063,"YES","NO")</f>
        <v/>
      </c>
    </row>
    <row r="1064">
      <c r="A1064" s="6" t="inlineStr">
        <is>
          <t>Joe Whelchel</t>
        </is>
      </c>
      <c r="B1064" s="7" t="n">
        <v>5</v>
      </c>
      <c r="C1064" s="7" t="n">
        <v>0</v>
      </c>
      <c r="D1064" s="7" t="n">
        <v>0</v>
      </c>
      <c r="E1064" s="7" t="n">
        <v>0</v>
      </c>
      <c r="F1064" s="8" t="inlineStr">
        <is>
          <t>Low</t>
        </is>
      </c>
      <c r="G1064" s="8" t="inlineStr">
        <is>
          <t>Medium</t>
        </is>
      </c>
      <c r="H1064">
        <f>IF(F1064=G1064,"YES","NO")</f>
        <v/>
      </c>
    </row>
    <row r="1065">
      <c r="A1065" s="6" t="inlineStr">
        <is>
          <t>Joel Meyers</t>
        </is>
      </c>
      <c r="B1065" s="7" t="n">
        <v>13</v>
      </c>
      <c r="C1065" s="7" t="n">
        <v>0</v>
      </c>
      <c r="D1065" s="7" t="n">
        <v>0</v>
      </c>
      <c r="E1065" s="7" t="n">
        <v>0</v>
      </c>
      <c r="F1065" s="8" t="inlineStr">
        <is>
          <t>Low</t>
        </is>
      </c>
      <c r="G1065" s="8" t="inlineStr">
        <is>
          <t>Low</t>
        </is>
      </c>
      <c r="H1065">
        <f>IF(F1065=G1065,"YES","NO")</f>
        <v/>
      </c>
    </row>
    <row r="1066">
      <c r="A1066" s="6" t="inlineStr">
        <is>
          <t>Joel Peraza</t>
        </is>
      </c>
      <c r="B1066" s="7" t="n">
        <v>4</v>
      </c>
      <c r="C1066" s="7" t="n">
        <v>0</v>
      </c>
      <c r="D1066" s="7" t="n">
        <v>0</v>
      </c>
      <c r="E1066" s="7" t="n">
        <v>0</v>
      </c>
      <c r="F1066" s="8" t="inlineStr">
        <is>
          <t>Low</t>
        </is>
      </c>
      <c r="G1066" s="8" t="inlineStr">
        <is>
          <t>Low</t>
        </is>
      </c>
      <c r="H1066">
        <f>IF(F1066=G1066,"YES","NO")</f>
        <v/>
      </c>
    </row>
    <row r="1067">
      <c r="A1067" s="6" t="inlineStr">
        <is>
          <t>Joel Sherman</t>
        </is>
      </c>
      <c r="B1067" s="7" t="n">
        <v>67</v>
      </c>
      <c r="C1067" s="7" t="n">
        <v>1</v>
      </c>
      <c r="D1067" s="7" t="n">
        <v>0.0149</v>
      </c>
      <c r="E1067" s="7" t="n">
        <v>0.0026</v>
      </c>
      <c r="F1067" s="8" t="inlineStr">
        <is>
          <t>Low</t>
        </is>
      </c>
      <c r="G1067" s="8" t="inlineStr">
        <is>
          <t>Low</t>
        </is>
      </c>
      <c r="H1067">
        <f>IF(F1067=G1067,"YES","NO")</f>
        <v/>
      </c>
    </row>
    <row r="1068">
      <c r="A1068" s="6" t="inlineStr">
        <is>
          <t>Joel Winkler</t>
        </is>
      </c>
      <c r="B1068" s="7" t="n">
        <v>15</v>
      </c>
      <c r="C1068" s="7" t="n">
        <v>0</v>
      </c>
      <c r="D1068" s="7" t="n">
        <v>0</v>
      </c>
      <c r="E1068" s="7" t="n">
        <v>0</v>
      </c>
      <c r="F1068" s="8" t="inlineStr">
        <is>
          <t>Low</t>
        </is>
      </c>
      <c r="G1068" s="8" t="inlineStr">
        <is>
          <t>Low</t>
        </is>
      </c>
      <c r="H1068">
        <f>IF(F1068=G1068,"YES","NO")</f>
        <v/>
      </c>
    </row>
    <row r="1069">
      <c r="A1069" s="6" t="inlineStr">
        <is>
          <t>Joelle shepler</t>
        </is>
      </c>
      <c r="B1069" s="7" t="n">
        <v>571</v>
      </c>
      <c r="C1069" s="7" t="n">
        <v>0</v>
      </c>
      <c r="D1069" s="7" t="n">
        <v>0</v>
      </c>
      <c r="E1069" s="7" t="n">
        <v>0</v>
      </c>
      <c r="F1069" s="8" t="inlineStr">
        <is>
          <t>Low</t>
        </is>
      </c>
      <c r="G1069" s="8" t="inlineStr">
        <is>
          <t>Low</t>
        </is>
      </c>
      <c r="H1069">
        <f>IF(F1069=G1069,"YES","NO")</f>
        <v/>
      </c>
    </row>
    <row r="1070">
      <c r="A1070" s="6" t="inlineStr">
        <is>
          <t>Joevan Catron</t>
        </is>
      </c>
      <c r="B1070" s="7" t="n">
        <v>134</v>
      </c>
      <c r="C1070" s="7" t="n">
        <v>2</v>
      </c>
      <c r="D1070" s="7" t="n">
        <v>0.0149</v>
      </c>
      <c r="E1070" s="7" t="n">
        <v>0.0041</v>
      </c>
      <c r="F1070" s="8" t="inlineStr">
        <is>
          <t>Low</t>
        </is>
      </c>
      <c r="G1070" s="8" t="inlineStr">
        <is>
          <t>Low</t>
        </is>
      </c>
      <c r="H1070">
        <f>IF(F1070=G1070,"YES","NO")</f>
        <v/>
      </c>
    </row>
    <row r="1071">
      <c r="A1071" s="6" t="inlineStr">
        <is>
          <t>Joey Beals</t>
        </is>
      </c>
      <c r="B1071" s="7" t="n">
        <v>11</v>
      </c>
      <c r="C1071" s="7" t="n">
        <v>1</v>
      </c>
      <c r="D1071" s="7" t="n">
        <v>0.09089999999999999</v>
      </c>
      <c r="E1071" s="7" t="n">
        <v>0.0162</v>
      </c>
      <c r="F1071" s="8" t="inlineStr">
        <is>
          <t>Low</t>
        </is>
      </c>
      <c r="G1071" s="8" t="inlineStr">
        <is>
          <t>Low</t>
        </is>
      </c>
      <c r="H1071">
        <f>IF(F1071=G1071,"YES","NO")</f>
        <v/>
      </c>
    </row>
    <row r="1072">
      <c r="A1072" s="6" t="inlineStr">
        <is>
          <t>Joey Venegas</t>
        </is>
      </c>
      <c r="B1072" s="7" t="n">
        <v>28</v>
      </c>
      <c r="C1072" s="7" t="n">
        <v>2</v>
      </c>
      <c r="D1072" s="7" t="n">
        <v>0.07140000000000001</v>
      </c>
      <c r="E1072" s="7" t="n">
        <v>0.0198</v>
      </c>
      <c r="F1072" s="8" t="inlineStr">
        <is>
          <t>Low</t>
        </is>
      </c>
      <c r="G1072" s="8" t="inlineStr">
        <is>
          <t>Low</t>
        </is>
      </c>
      <c r="H1072">
        <f>IF(F1072=G1072,"YES","NO")</f>
        <v/>
      </c>
    </row>
    <row r="1073">
      <c r="A1073" s="6" t="inlineStr">
        <is>
          <t>Johana Bayter</t>
        </is>
      </c>
      <c r="B1073" s="7" t="n">
        <v>22</v>
      </c>
      <c r="C1073" s="7" t="n">
        <v>0</v>
      </c>
      <c r="D1073" s="7" t="n">
        <v>0</v>
      </c>
      <c r="E1073" s="7" t="n">
        <v>0</v>
      </c>
      <c r="F1073" s="8" t="inlineStr">
        <is>
          <t>Low</t>
        </is>
      </c>
      <c r="G1073" s="8" t="inlineStr">
        <is>
          <t>Low</t>
        </is>
      </c>
      <c r="H1073">
        <f>IF(F1073=G1073,"YES","NO")</f>
        <v/>
      </c>
    </row>
    <row r="1074">
      <c r="A1074" s="6" t="inlineStr">
        <is>
          <t>John Bodnar</t>
        </is>
      </c>
      <c r="B1074" s="7" t="n">
        <v>5</v>
      </c>
      <c r="C1074" s="7" t="n">
        <v>0</v>
      </c>
      <c r="D1074" s="7" t="n">
        <v>0</v>
      </c>
      <c r="E1074" s="7" t="n">
        <v>0</v>
      </c>
      <c r="F1074" s="8" t="inlineStr">
        <is>
          <t>Low</t>
        </is>
      </c>
      <c r="G1074" s="8" t="inlineStr">
        <is>
          <t>Low</t>
        </is>
      </c>
      <c r="H1074">
        <f>IF(F1074=G1074,"YES","NO")</f>
        <v/>
      </c>
    </row>
    <row r="1075">
      <c r="A1075" s="6" t="inlineStr">
        <is>
          <t>John Cramer</t>
        </is>
      </c>
      <c r="B1075" s="7" t="n">
        <v>19</v>
      </c>
      <c r="C1075" s="7" t="n">
        <v>0</v>
      </c>
      <c r="D1075" s="7" t="n">
        <v>0</v>
      </c>
      <c r="E1075" s="7" t="n">
        <v>0</v>
      </c>
      <c r="F1075" s="8" t="inlineStr">
        <is>
          <t>Low</t>
        </is>
      </c>
      <c r="G1075" s="8" t="inlineStr">
        <is>
          <t>Low</t>
        </is>
      </c>
      <c r="H1075">
        <f>IF(F1075=G1075,"YES","NO")</f>
        <v/>
      </c>
    </row>
    <row r="1076">
      <c r="A1076" s="6" t="inlineStr">
        <is>
          <t>John Fleming</t>
        </is>
      </c>
      <c r="B1076" s="7" t="n">
        <v>23</v>
      </c>
      <c r="C1076" s="7" t="n">
        <v>1</v>
      </c>
      <c r="D1076" s="7" t="n">
        <v>0.0435</v>
      </c>
      <c r="E1076" s="7" t="n">
        <v>0.0077</v>
      </c>
      <c r="F1076" s="8" t="inlineStr">
        <is>
          <t>Low</t>
        </is>
      </c>
      <c r="G1076" s="8" t="inlineStr">
        <is>
          <t>Low</t>
        </is>
      </c>
      <c r="H1076">
        <f>IF(F1076=G1076,"YES","NO")</f>
        <v/>
      </c>
    </row>
    <row r="1077">
      <c r="A1077" s="6" t="inlineStr">
        <is>
          <t>John Garrison</t>
        </is>
      </c>
      <c r="B1077" s="7" t="n">
        <v>1</v>
      </c>
      <c r="C1077" s="7" t="n">
        <v>0</v>
      </c>
      <c r="D1077" s="7" t="n">
        <v>0</v>
      </c>
      <c r="E1077" s="7" t="n">
        <v>0</v>
      </c>
      <c r="F1077" s="8" t="inlineStr">
        <is>
          <t>Low</t>
        </is>
      </c>
      <c r="G1077" s="8" t="inlineStr">
        <is>
          <t>Low</t>
        </is>
      </c>
      <c r="H1077">
        <f>IF(F1077=G1077,"YES","NO")</f>
        <v/>
      </c>
    </row>
    <row r="1078">
      <c r="A1078" s="6" t="inlineStr">
        <is>
          <t>John Giessuebel</t>
        </is>
      </c>
      <c r="B1078" s="7" t="n">
        <v>61</v>
      </c>
      <c r="C1078" s="7" t="n">
        <v>8</v>
      </c>
      <c r="D1078" s="7" t="n">
        <v>0.1311</v>
      </c>
      <c r="E1078" s="7" t="n">
        <v>0.068</v>
      </c>
      <c r="F1078" s="8" t="inlineStr">
        <is>
          <t>Low</t>
        </is>
      </c>
      <c r="G1078" s="8" t="inlineStr">
        <is>
          <t>Low</t>
        </is>
      </c>
      <c r="H1078">
        <f>IF(F1078=G1078,"YES","NO")</f>
        <v/>
      </c>
    </row>
    <row r="1079">
      <c r="A1079" s="6" t="inlineStr">
        <is>
          <t>John Hanson</t>
        </is>
      </c>
      <c r="B1079" s="7" t="n">
        <v>33</v>
      </c>
      <c r="C1079" s="7" t="n">
        <v>1</v>
      </c>
      <c r="D1079" s="7" t="n">
        <v>0.0303</v>
      </c>
      <c r="E1079" s="7" t="n">
        <v>0.0054</v>
      </c>
      <c r="F1079" s="8" t="inlineStr">
        <is>
          <t>Low</t>
        </is>
      </c>
      <c r="G1079" s="8" t="inlineStr">
        <is>
          <t>Low</t>
        </is>
      </c>
      <c r="H1079">
        <f>IF(F1079=G1079,"YES","NO")</f>
        <v/>
      </c>
    </row>
    <row r="1080">
      <c r="A1080" s="6" t="inlineStr">
        <is>
          <t>John Hartman</t>
        </is>
      </c>
      <c r="B1080" s="7" t="n">
        <v>427</v>
      </c>
      <c r="C1080" s="7" t="n">
        <v>12</v>
      </c>
      <c r="D1080" s="7" t="n">
        <v>0.0281</v>
      </c>
      <c r="E1080" s="7" t="n">
        <v>0.0161</v>
      </c>
      <c r="F1080" s="8" t="inlineStr">
        <is>
          <t>Low</t>
        </is>
      </c>
      <c r="G1080" s="8" t="inlineStr">
        <is>
          <t>Low</t>
        </is>
      </c>
      <c r="H1080">
        <f>IF(F1080=G1080,"YES","NO")</f>
        <v/>
      </c>
    </row>
    <row r="1081">
      <c r="A1081" s="6" t="inlineStr">
        <is>
          <t>John Hedrick</t>
        </is>
      </c>
      <c r="B1081" s="7" t="n">
        <v>2</v>
      </c>
      <c r="C1081" s="7" t="n">
        <v>0</v>
      </c>
      <c r="D1081" s="7" t="n">
        <v>0</v>
      </c>
      <c r="E1081" s="7" t="n">
        <v>0</v>
      </c>
      <c r="F1081" s="8" t="inlineStr">
        <is>
          <t>Low</t>
        </is>
      </c>
      <c r="G1081" s="8" t="inlineStr">
        <is>
          <t>Low</t>
        </is>
      </c>
      <c r="H1081">
        <f>IF(F1081=G1081,"YES","NO")</f>
        <v/>
      </c>
    </row>
    <row r="1082">
      <c r="A1082" s="6" t="inlineStr">
        <is>
          <t>John Hicks</t>
        </is>
      </c>
      <c r="B1082" s="7" t="n">
        <v>24</v>
      </c>
      <c r="C1082" s="7" t="n">
        <v>0</v>
      </c>
      <c r="D1082" s="7" t="n">
        <v>0</v>
      </c>
      <c r="E1082" s="7" t="n">
        <v>0</v>
      </c>
      <c r="F1082" s="8" t="inlineStr">
        <is>
          <t>Low</t>
        </is>
      </c>
      <c r="G1082" s="8" t="inlineStr">
        <is>
          <t>Low</t>
        </is>
      </c>
      <c r="H1082">
        <f>IF(F1082=G1082,"YES","NO")</f>
        <v/>
      </c>
    </row>
    <row r="1083">
      <c r="A1083" s="6" t="inlineStr">
        <is>
          <t>John Hinde</t>
        </is>
      </c>
      <c r="B1083" s="7" t="n">
        <v>79</v>
      </c>
      <c r="C1083" s="7" t="n">
        <v>1</v>
      </c>
      <c r="D1083" s="7" t="n">
        <v>0.0127</v>
      </c>
      <c r="E1083" s="7" t="n">
        <v>0.0022</v>
      </c>
      <c r="F1083" s="8" t="inlineStr">
        <is>
          <t>Low</t>
        </is>
      </c>
      <c r="G1083" s="8" t="inlineStr">
        <is>
          <t>Low</t>
        </is>
      </c>
      <c r="H1083">
        <f>IF(F1083=G1083,"YES","NO")</f>
        <v/>
      </c>
    </row>
    <row r="1084">
      <c r="A1084" s="6" t="inlineStr">
        <is>
          <t>John Kellermann</t>
        </is>
      </c>
      <c r="B1084" s="7" t="n">
        <v>28</v>
      </c>
      <c r="C1084" s="7" t="n">
        <v>0</v>
      </c>
      <c r="D1084" s="7" t="n">
        <v>0</v>
      </c>
      <c r="E1084" s="7" t="n">
        <v>0</v>
      </c>
      <c r="F1084" s="8" t="inlineStr">
        <is>
          <t>Low</t>
        </is>
      </c>
      <c r="G1084" s="8" t="inlineStr">
        <is>
          <t>Low</t>
        </is>
      </c>
      <c r="H1084">
        <f>IF(F1084=G1084,"YES","NO")</f>
        <v/>
      </c>
    </row>
    <row r="1085">
      <c r="A1085" s="6" t="inlineStr">
        <is>
          <t>John Mathewson</t>
        </is>
      </c>
      <c r="B1085" s="7" t="n">
        <v>10</v>
      </c>
      <c r="C1085" s="7" t="n">
        <v>1</v>
      </c>
      <c r="D1085" s="7" t="n">
        <v>0.1</v>
      </c>
      <c r="E1085" s="7" t="n">
        <v>0.0179</v>
      </c>
      <c r="F1085" s="8" t="inlineStr">
        <is>
          <t>Low</t>
        </is>
      </c>
      <c r="G1085" s="8" t="inlineStr">
        <is>
          <t>Low</t>
        </is>
      </c>
      <c r="H1085">
        <f>IF(F1085=G1085,"YES","NO")</f>
        <v/>
      </c>
    </row>
    <row r="1086">
      <c r="A1086" s="6" t="inlineStr">
        <is>
          <t>John Musantry</t>
        </is>
      </c>
      <c r="B1086" s="7" t="n">
        <v>11</v>
      </c>
      <c r="C1086" s="7" t="n">
        <v>0</v>
      </c>
      <c r="D1086" s="7" t="n">
        <v>0</v>
      </c>
      <c r="E1086" s="7" t="n">
        <v>0</v>
      </c>
      <c r="F1086" s="8" t="inlineStr">
        <is>
          <t>Low</t>
        </is>
      </c>
      <c r="G1086" s="8" t="inlineStr">
        <is>
          <t>Low</t>
        </is>
      </c>
      <c r="H1086">
        <f>IF(F1086=G1086,"YES","NO")</f>
        <v/>
      </c>
    </row>
    <row r="1087">
      <c r="A1087" s="6" t="inlineStr">
        <is>
          <t>John Phelan</t>
        </is>
      </c>
      <c r="B1087" s="7" t="n">
        <v>1</v>
      </c>
      <c r="C1087" s="7" t="n">
        <v>0</v>
      </c>
      <c r="D1087" s="7" t="n">
        <v>0</v>
      </c>
      <c r="E1087" s="7" t="n">
        <v>0</v>
      </c>
      <c r="F1087" s="8" t="inlineStr">
        <is>
          <t>Low</t>
        </is>
      </c>
      <c r="G1087" s="8" t="inlineStr">
        <is>
          <t>Low</t>
        </is>
      </c>
      <c r="H1087">
        <f>IF(F1087=G1087,"YES","NO")</f>
        <v/>
      </c>
    </row>
    <row r="1088">
      <c r="A1088" s="6" t="inlineStr">
        <is>
          <t>John Pickar</t>
        </is>
      </c>
      <c r="B1088" s="7" t="n">
        <v>35</v>
      </c>
      <c r="C1088" s="7" t="n">
        <v>2</v>
      </c>
      <c r="D1088" s="7" t="n">
        <v>0.0571</v>
      </c>
      <c r="E1088" s="7" t="n">
        <v>0.0158</v>
      </c>
      <c r="F1088" s="8" t="inlineStr">
        <is>
          <t>Low</t>
        </is>
      </c>
      <c r="G1088" s="8" t="inlineStr">
        <is>
          <t>Low</t>
        </is>
      </c>
      <c r="H1088">
        <f>IF(F1088=G1088,"YES","NO")</f>
        <v/>
      </c>
    </row>
    <row r="1089">
      <c r="A1089" s="6" t="inlineStr">
        <is>
          <t>John Scarlett</t>
        </is>
      </c>
      <c r="B1089" s="7" t="n">
        <v>8</v>
      </c>
      <c r="C1089" s="7" t="n">
        <v>0</v>
      </c>
      <c r="D1089" s="7" t="n">
        <v>0</v>
      </c>
      <c r="E1089" s="7" t="n">
        <v>0</v>
      </c>
      <c r="F1089" s="8" t="inlineStr">
        <is>
          <t>Low</t>
        </is>
      </c>
      <c r="G1089" s="8" t="inlineStr">
        <is>
          <t>Medium</t>
        </is>
      </c>
      <c r="H1089">
        <f>IF(F1089=G1089,"YES","NO")</f>
        <v/>
      </c>
    </row>
    <row r="1090">
      <c r="A1090" s="6" t="inlineStr">
        <is>
          <t>John Shedd</t>
        </is>
      </c>
      <c r="B1090" s="7" t="n">
        <v>448</v>
      </c>
      <c r="C1090" s="7" t="n">
        <v>34</v>
      </c>
      <c r="D1090" s="7" t="n">
        <v>0.0759</v>
      </c>
      <c r="E1090" s="7" t="n">
        <v>0.0548</v>
      </c>
      <c r="F1090" s="8" t="inlineStr">
        <is>
          <t>Low</t>
        </is>
      </c>
      <c r="G1090" s="8" t="inlineStr">
        <is>
          <t>Low</t>
        </is>
      </c>
      <c r="H1090">
        <f>IF(F1090=G1090,"YES","NO")</f>
        <v/>
      </c>
    </row>
    <row r="1091">
      <c r="A1091" s="6" t="inlineStr">
        <is>
          <t>John Van Senus</t>
        </is>
      </c>
      <c r="B1091" s="7" t="n">
        <v>2</v>
      </c>
      <c r="C1091" s="7" t="n">
        <v>0</v>
      </c>
      <c r="D1091" s="7" t="n">
        <v>0</v>
      </c>
      <c r="E1091" s="7" t="n">
        <v>0</v>
      </c>
      <c r="F1091" s="8" t="inlineStr">
        <is>
          <t>Low</t>
        </is>
      </c>
      <c r="G1091" s="8" t="inlineStr">
        <is>
          <t>Low</t>
        </is>
      </c>
      <c r="H1091">
        <f>IF(F1091=G1091,"YES","NO")</f>
        <v/>
      </c>
    </row>
    <row r="1092">
      <c r="A1092" s="6" t="inlineStr">
        <is>
          <t>John Winkler</t>
        </is>
      </c>
      <c r="B1092" s="7" t="n">
        <v>13</v>
      </c>
      <c r="C1092" s="7" t="n">
        <v>0</v>
      </c>
      <c r="D1092" s="7" t="n">
        <v>0</v>
      </c>
      <c r="E1092" s="7" t="n">
        <v>0</v>
      </c>
      <c r="F1092" s="8" t="inlineStr">
        <is>
          <t>Low</t>
        </is>
      </c>
      <c r="G1092" s="8" t="inlineStr">
        <is>
          <t>Low</t>
        </is>
      </c>
      <c r="H1092">
        <f>IF(F1092=G1092,"YES","NO")</f>
        <v/>
      </c>
    </row>
    <row r="1093">
      <c r="A1093" s="6" t="inlineStr">
        <is>
          <t>John Zerante</t>
        </is>
      </c>
      <c r="B1093" s="7" t="n">
        <v>42</v>
      </c>
      <c r="C1093" s="7" t="n">
        <v>3</v>
      </c>
      <c r="D1093" s="7" t="n">
        <v>0.07140000000000001</v>
      </c>
      <c r="E1093" s="7" t="n">
        <v>0.0246</v>
      </c>
      <c r="F1093" s="8" t="inlineStr">
        <is>
          <t>Low</t>
        </is>
      </c>
      <c r="G1093" s="8" t="inlineStr">
        <is>
          <t>Low</t>
        </is>
      </c>
      <c r="H1093">
        <f>IF(F1093=G1093,"YES","NO")</f>
        <v/>
      </c>
    </row>
    <row r="1094">
      <c r="A1094" s="6" t="inlineStr">
        <is>
          <t>Johnathan Fuentes</t>
        </is>
      </c>
      <c r="B1094" s="7" t="n">
        <v>113</v>
      </c>
      <c r="C1094" s="7" t="n">
        <v>0</v>
      </c>
      <c r="D1094" s="7" t="n">
        <v>0</v>
      </c>
      <c r="E1094" s="7" t="n">
        <v>0</v>
      </c>
      <c r="F1094" s="8" t="inlineStr">
        <is>
          <t>Low</t>
        </is>
      </c>
      <c r="G1094" s="8" t="inlineStr">
        <is>
          <t>Low</t>
        </is>
      </c>
      <c r="H1094">
        <f>IF(F1094=G1094,"YES","NO")</f>
        <v/>
      </c>
    </row>
    <row r="1095">
      <c r="A1095" s="6" t="inlineStr">
        <is>
          <t>Johnnie Gazaway</t>
        </is>
      </c>
      <c r="B1095" s="7" t="n">
        <v>103</v>
      </c>
      <c r="C1095" s="7" t="n">
        <v>1</v>
      </c>
      <c r="D1095" s="7" t="n">
        <v>0.0097</v>
      </c>
      <c r="E1095" s="7" t="n">
        <v>0.0017</v>
      </c>
      <c r="F1095" s="8" t="inlineStr">
        <is>
          <t>Low</t>
        </is>
      </c>
      <c r="G1095" s="8" t="inlineStr">
        <is>
          <t>Low</t>
        </is>
      </c>
      <c r="H1095">
        <f>IF(F1095=G1095,"YES","NO")</f>
        <v/>
      </c>
    </row>
    <row r="1096">
      <c r="A1096" s="6" t="inlineStr">
        <is>
          <t>Johnny Knight</t>
        </is>
      </c>
      <c r="B1096" s="7" t="n">
        <v>72</v>
      </c>
      <c r="C1096" s="7" t="n">
        <v>5</v>
      </c>
      <c r="D1096" s="7" t="n">
        <v>0.0694</v>
      </c>
      <c r="E1096" s="7" t="n">
        <v>0.03</v>
      </c>
      <c r="F1096" s="8" t="inlineStr">
        <is>
          <t>Low</t>
        </is>
      </c>
      <c r="G1096" s="8" t="inlineStr">
        <is>
          <t>Low</t>
        </is>
      </c>
      <c r="H1096">
        <f>IF(F1096=G1096,"YES","NO")</f>
        <v/>
      </c>
    </row>
    <row r="1097">
      <c r="A1097" s="6" t="inlineStr">
        <is>
          <t>Jon  Antoniewicz</t>
        </is>
      </c>
      <c r="B1097" s="7" t="n">
        <v>5</v>
      </c>
      <c r="C1097" s="7" t="n">
        <v>0</v>
      </c>
      <c r="D1097" s="7" t="n">
        <v>0</v>
      </c>
      <c r="E1097" s="7" t="n">
        <v>0</v>
      </c>
      <c r="F1097" s="8" t="inlineStr">
        <is>
          <t>Low</t>
        </is>
      </c>
      <c r="G1097" s="8" t="inlineStr">
        <is>
          <t>High</t>
        </is>
      </c>
      <c r="H1097">
        <f>IF(F1097=G1097,"YES","NO")</f>
        <v/>
      </c>
    </row>
    <row r="1098">
      <c r="A1098" s="6" t="inlineStr">
        <is>
          <t>Jon  Rodgers</t>
        </is>
      </c>
      <c r="B1098" s="7" t="n">
        <v>7</v>
      </c>
      <c r="C1098" s="7" t="n">
        <v>1</v>
      </c>
      <c r="D1098" s="7" t="n">
        <v>0.1429</v>
      </c>
      <c r="E1098" s="7" t="n">
        <v>0.0257</v>
      </c>
      <c r="F1098" s="8" t="inlineStr">
        <is>
          <t>Low</t>
        </is>
      </c>
      <c r="G1098" s="8" t="inlineStr">
        <is>
          <t>Medium</t>
        </is>
      </c>
      <c r="H1098">
        <f>IF(F1098=G1098,"YES","NO")</f>
        <v/>
      </c>
    </row>
    <row r="1099">
      <c r="A1099" s="6" t="inlineStr">
        <is>
          <t>Jon Hojje</t>
        </is>
      </c>
      <c r="B1099" s="7" t="n">
        <v>45</v>
      </c>
      <c r="C1099" s="7" t="n">
        <v>0</v>
      </c>
      <c r="D1099" s="7" t="n">
        <v>0</v>
      </c>
      <c r="E1099" s="7" t="n">
        <v>0</v>
      </c>
      <c r="F1099" s="8" t="inlineStr">
        <is>
          <t>Low</t>
        </is>
      </c>
      <c r="G1099" s="8" t="inlineStr">
        <is>
          <t>Low</t>
        </is>
      </c>
      <c r="H1099">
        <f>IF(F1099=G1099,"YES","NO")</f>
        <v/>
      </c>
    </row>
    <row r="1100">
      <c r="A1100" s="6" t="inlineStr">
        <is>
          <t>Jon Lohrentz</t>
        </is>
      </c>
      <c r="B1100" s="7" t="n">
        <v>88</v>
      </c>
      <c r="C1100" s="7" t="n">
        <v>0</v>
      </c>
      <c r="D1100" s="7" t="n">
        <v>0</v>
      </c>
      <c r="E1100" s="7" t="n">
        <v>0</v>
      </c>
      <c r="F1100" s="8" t="inlineStr">
        <is>
          <t>Low</t>
        </is>
      </c>
      <c r="G1100" s="8" t="inlineStr">
        <is>
          <t>Low</t>
        </is>
      </c>
      <c r="H1100">
        <f>IF(F1100=G1100,"YES","NO")</f>
        <v/>
      </c>
    </row>
    <row r="1101">
      <c r="A1101" s="6" t="inlineStr">
        <is>
          <t>Jonas Burke</t>
        </is>
      </c>
      <c r="B1101" s="7" t="n">
        <v>28</v>
      </c>
      <c r="C1101" s="7" t="n">
        <v>0</v>
      </c>
      <c r="D1101" s="7" t="n">
        <v>0</v>
      </c>
      <c r="E1101" s="7" t="n">
        <v>0</v>
      </c>
      <c r="F1101" s="8" t="inlineStr">
        <is>
          <t>Low</t>
        </is>
      </c>
      <c r="G1101" s="8" t="inlineStr">
        <is>
          <t>Low</t>
        </is>
      </c>
      <c r="H1101">
        <f>IF(F1101=G1101,"YES","NO")</f>
        <v/>
      </c>
    </row>
    <row r="1102">
      <c r="A1102" s="6" t="inlineStr">
        <is>
          <t>Jonathan Aue</t>
        </is>
      </c>
      <c r="B1102" s="7" t="n">
        <v>31</v>
      </c>
      <c r="C1102" s="7" t="n">
        <v>1</v>
      </c>
      <c r="D1102" s="7" t="n">
        <v>0.0323</v>
      </c>
      <c r="E1102" s="7" t="n">
        <v>0.0057</v>
      </c>
      <c r="F1102" s="8" t="inlineStr">
        <is>
          <t>Low</t>
        </is>
      </c>
      <c r="G1102" s="8" t="inlineStr">
        <is>
          <t>Low</t>
        </is>
      </c>
      <c r="H1102">
        <f>IF(F1102=G1102,"YES","NO")</f>
        <v/>
      </c>
    </row>
    <row r="1103">
      <c r="A1103" s="6" t="inlineStr">
        <is>
          <t>Jonathan Byrd</t>
        </is>
      </c>
      <c r="B1103" s="7" t="n">
        <v>1</v>
      </c>
      <c r="C1103" s="7" t="n">
        <v>0</v>
      </c>
      <c r="D1103" s="7" t="n">
        <v>0</v>
      </c>
      <c r="E1103" s="7" t="n">
        <v>0</v>
      </c>
      <c r="F1103" s="8" t="inlineStr">
        <is>
          <t>Low</t>
        </is>
      </c>
      <c r="G1103" s="8" t="inlineStr">
        <is>
          <t>Low</t>
        </is>
      </c>
      <c r="H1103">
        <f>IF(F1103=G1103,"YES","NO")</f>
        <v/>
      </c>
    </row>
    <row r="1104">
      <c r="A1104" s="6" t="inlineStr">
        <is>
          <t>Jonathan Dolan</t>
        </is>
      </c>
      <c r="B1104" s="7" t="n">
        <v>204</v>
      </c>
      <c r="C1104" s="7" t="n">
        <v>8</v>
      </c>
      <c r="D1104" s="7" t="n">
        <v>0.0392</v>
      </c>
      <c r="E1104" s="7" t="n">
        <v>0.02</v>
      </c>
      <c r="F1104" s="8" t="inlineStr">
        <is>
          <t>Low</t>
        </is>
      </c>
      <c r="G1104" s="8" t="inlineStr">
        <is>
          <t>Low</t>
        </is>
      </c>
      <c r="H1104">
        <f>IF(F1104=G1104,"YES","NO")</f>
        <v/>
      </c>
    </row>
    <row r="1105">
      <c r="A1105" s="6" t="inlineStr">
        <is>
          <t>Jordan Diego</t>
        </is>
      </c>
      <c r="B1105" s="7" t="n">
        <v>2</v>
      </c>
      <c r="C1105" s="7" t="n">
        <v>0</v>
      </c>
      <c r="D1105" s="7" t="n">
        <v>0</v>
      </c>
      <c r="E1105" s="7" t="n">
        <v>0</v>
      </c>
      <c r="F1105" s="8" t="inlineStr">
        <is>
          <t>Low</t>
        </is>
      </c>
      <c r="G1105" s="8" t="inlineStr">
        <is>
          <t>Low</t>
        </is>
      </c>
      <c r="H1105">
        <f>IF(F1105=G1105,"YES","NO")</f>
        <v/>
      </c>
    </row>
    <row r="1106">
      <c r="A1106" s="6" t="inlineStr">
        <is>
          <t>Jordan Gage</t>
        </is>
      </c>
      <c r="B1106" s="7" t="n">
        <v>13</v>
      </c>
      <c r="C1106" s="7" t="n">
        <v>0</v>
      </c>
      <c r="D1106" s="7" t="n">
        <v>0</v>
      </c>
      <c r="E1106" s="7" t="n">
        <v>0</v>
      </c>
      <c r="F1106" s="8" t="inlineStr">
        <is>
          <t>Low</t>
        </is>
      </c>
      <c r="G1106" s="8" t="inlineStr">
        <is>
          <t>Low</t>
        </is>
      </c>
      <c r="H1106">
        <f>IF(F1106=G1106,"YES","NO")</f>
        <v/>
      </c>
    </row>
    <row r="1107">
      <c r="A1107" s="6" t="inlineStr">
        <is>
          <t>Jordan Jacobs</t>
        </is>
      </c>
      <c r="B1107" s="7" t="n">
        <v>4</v>
      </c>
      <c r="C1107" s="7" t="n">
        <v>0</v>
      </c>
      <c r="D1107" s="7" t="n">
        <v>0</v>
      </c>
      <c r="E1107" s="7" t="n">
        <v>0</v>
      </c>
      <c r="F1107" s="8" t="inlineStr">
        <is>
          <t>Low</t>
        </is>
      </c>
      <c r="G1107" s="8" t="inlineStr">
        <is>
          <t>Low</t>
        </is>
      </c>
      <c r="H1107">
        <f>IF(F1107=G1107,"YES","NO")</f>
        <v/>
      </c>
    </row>
    <row r="1108">
      <c r="A1108" s="6" t="inlineStr">
        <is>
          <t>Jordan Johnson</t>
        </is>
      </c>
      <c r="B1108" s="7" t="n">
        <v>1</v>
      </c>
      <c r="C1108" s="7" t="n">
        <v>0</v>
      </c>
      <c r="D1108" s="7" t="n">
        <v>0</v>
      </c>
      <c r="E1108" s="7" t="n">
        <v>0</v>
      </c>
      <c r="F1108" s="8" t="inlineStr">
        <is>
          <t>Low</t>
        </is>
      </c>
      <c r="G1108" s="8" t="inlineStr">
        <is>
          <t>Low</t>
        </is>
      </c>
      <c r="H1108">
        <f>IF(F1108=G1108,"YES","NO")</f>
        <v/>
      </c>
    </row>
    <row r="1109">
      <c r="A1109" s="6" t="inlineStr">
        <is>
          <t>Jordan Karels</t>
        </is>
      </c>
      <c r="B1109" s="7" t="n">
        <v>40</v>
      </c>
      <c r="C1109" s="7" t="n">
        <v>1</v>
      </c>
      <c r="D1109" s="7" t="n">
        <v>0.025</v>
      </c>
      <c r="E1109" s="7" t="n">
        <v>0.0044</v>
      </c>
      <c r="F1109" s="8" t="inlineStr">
        <is>
          <t>Low</t>
        </is>
      </c>
      <c r="G1109" s="8" t="inlineStr">
        <is>
          <t>Low</t>
        </is>
      </c>
      <c r="H1109">
        <f>IF(F1109=G1109,"YES","NO")</f>
        <v/>
      </c>
    </row>
    <row r="1110">
      <c r="A1110" s="6" t="inlineStr">
        <is>
          <t>Jordan Kendall</t>
        </is>
      </c>
      <c r="B1110" s="7" t="n">
        <v>138</v>
      </c>
      <c r="C1110" s="7" t="n">
        <v>13</v>
      </c>
      <c r="D1110" s="7" t="n">
        <v>0.09420000000000001</v>
      </c>
      <c r="E1110" s="7" t="n">
        <v>0.0559</v>
      </c>
      <c r="F1110" s="8" t="inlineStr">
        <is>
          <t>Low</t>
        </is>
      </c>
      <c r="G1110" s="8" t="inlineStr">
        <is>
          <t>Low</t>
        </is>
      </c>
      <c r="H1110">
        <f>IF(F1110=G1110,"YES","NO")</f>
        <v/>
      </c>
    </row>
    <row r="1111">
      <c r="A1111" s="6" t="inlineStr">
        <is>
          <t>Jordan Matthews</t>
        </is>
      </c>
      <c r="B1111" s="7" t="n">
        <v>6</v>
      </c>
      <c r="C1111" s="7" t="n">
        <v>0</v>
      </c>
      <c r="D1111" s="7" t="n">
        <v>0</v>
      </c>
      <c r="E1111" s="7" t="n">
        <v>0</v>
      </c>
      <c r="F1111" s="8" t="inlineStr">
        <is>
          <t>Low</t>
        </is>
      </c>
      <c r="G1111" s="8" t="inlineStr">
        <is>
          <t>Low</t>
        </is>
      </c>
      <c r="H1111">
        <f>IF(F1111=G1111,"YES","NO")</f>
        <v/>
      </c>
    </row>
    <row r="1112">
      <c r="A1112" s="6" t="inlineStr">
        <is>
          <t>Jordan Sumiel</t>
        </is>
      </c>
      <c r="B1112" s="7" t="n">
        <v>29</v>
      </c>
      <c r="C1112" s="7" t="n">
        <v>5</v>
      </c>
      <c r="D1112" s="7" t="n">
        <v>0.1724</v>
      </c>
      <c r="E1112" s="7" t="n">
        <v>0.076</v>
      </c>
      <c r="F1112" s="8" t="inlineStr">
        <is>
          <t>Low</t>
        </is>
      </c>
      <c r="G1112" s="8" t="inlineStr">
        <is>
          <t>Low</t>
        </is>
      </c>
      <c r="H1112">
        <f>IF(F1112=G1112,"YES","NO")</f>
        <v/>
      </c>
    </row>
    <row r="1113">
      <c r="A1113" s="6" t="inlineStr">
        <is>
          <t>Jordan Wolfson</t>
        </is>
      </c>
      <c r="B1113" s="7" t="n">
        <v>55</v>
      </c>
      <c r="C1113" s="7" t="n">
        <v>3</v>
      </c>
      <c r="D1113" s="7" t="n">
        <v>0.0545</v>
      </c>
      <c r="E1113" s="7" t="n">
        <v>0.0187</v>
      </c>
      <c r="F1113" s="8" t="inlineStr">
        <is>
          <t>Low</t>
        </is>
      </c>
      <c r="G1113" s="8" t="inlineStr">
        <is>
          <t>Low</t>
        </is>
      </c>
      <c r="H1113">
        <f>IF(F1113=G1113,"YES","NO")</f>
        <v/>
      </c>
    </row>
    <row r="1114">
      <c r="A1114" s="6" t="inlineStr">
        <is>
          <t>Jordyn Holland</t>
        </is>
      </c>
      <c r="B1114" s="7" t="n">
        <v>6</v>
      </c>
      <c r="C1114" s="7" t="n">
        <v>0</v>
      </c>
      <c r="D1114" s="7" t="n">
        <v>0</v>
      </c>
      <c r="E1114" s="7" t="n">
        <v>0</v>
      </c>
      <c r="F1114" s="8" t="inlineStr">
        <is>
          <t>Low</t>
        </is>
      </c>
      <c r="G1114" s="8" t="inlineStr">
        <is>
          <t>Low</t>
        </is>
      </c>
      <c r="H1114">
        <f>IF(F1114=G1114,"YES","NO")</f>
        <v/>
      </c>
    </row>
    <row r="1115">
      <c r="A1115" s="6" t="inlineStr">
        <is>
          <t>Jose Giannavola</t>
        </is>
      </c>
      <c r="B1115" s="7" t="n">
        <v>11</v>
      </c>
      <c r="C1115" s="7" t="n">
        <v>0</v>
      </c>
      <c r="D1115" s="7" t="n">
        <v>0</v>
      </c>
      <c r="E1115" s="7" t="n">
        <v>0</v>
      </c>
      <c r="F1115" s="8" t="inlineStr">
        <is>
          <t>Low</t>
        </is>
      </c>
      <c r="G1115" s="8" t="inlineStr">
        <is>
          <t>Low</t>
        </is>
      </c>
      <c r="H1115">
        <f>IF(F1115=G1115,"YES","NO")</f>
        <v/>
      </c>
    </row>
    <row r="1116">
      <c r="A1116" s="6" t="inlineStr">
        <is>
          <t>Joseph Herd</t>
        </is>
      </c>
      <c r="B1116" s="7" t="n">
        <v>5</v>
      </c>
      <c r="C1116" s="7" t="n">
        <v>0</v>
      </c>
      <c r="D1116" s="7" t="n">
        <v>0</v>
      </c>
      <c r="E1116" s="7" t="n">
        <v>0</v>
      </c>
      <c r="F1116" s="8" t="inlineStr">
        <is>
          <t>Low</t>
        </is>
      </c>
      <c r="G1116" s="8" t="inlineStr">
        <is>
          <t>Low</t>
        </is>
      </c>
      <c r="H1116">
        <f>IF(F1116=G1116,"YES","NO")</f>
        <v/>
      </c>
    </row>
    <row r="1117">
      <c r="A1117" s="6" t="inlineStr">
        <is>
          <t>Joseph Knoche</t>
        </is>
      </c>
      <c r="B1117" s="7" t="n">
        <v>14</v>
      </c>
      <c r="C1117" s="7" t="n">
        <v>0</v>
      </c>
      <c r="D1117" s="7" t="n">
        <v>0</v>
      </c>
      <c r="E1117" s="7" t="n">
        <v>0</v>
      </c>
      <c r="F1117" s="8" t="inlineStr">
        <is>
          <t>Low</t>
        </is>
      </c>
      <c r="G1117" s="8" t="inlineStr">
        <is>
          <t>Low</t>
        </is>
      </c>
      <c r="H1117">
        <f>IF(F1117=G1117,"YES","NO")</f>
        <v/>
      </c>
    </row>
    <row r="1118">
      <c r="A1118" s="6" t="inlineStr">
        <is>
          <t>Joseph Morgan</t>
        </is>
      </c>
      <c r="B1118" s="7" t="n">
        <v>10</v>
      </c>
      <c r="C1118" s="7" t="n">
        <v>0</v>
      </c>
      <c r="D1118" s="7" t="n">
        <v>0</v>
      </c>
      <c r="E1118" s="7" t="n">
        <v>0</v>
      </c>
      <c r="F1118" s="8" t="inlineStr">
        <is>
          <t>Low</t>
        </is>
      </c>
      <c r="G1118" s="8" t="inlineStr">
        <is>
          <t>Low</t>
        </is>
      </c>
      <c r="H1118">
        <f>IF(F1118=G1118,"YES","NO")</f>
        <v/>
      </c>
    </row>
    <row r="1119">
      <c r="A1119" s="6" t="inlineStr">
        <is>
          <t>Joseph O'Coin</t>
        </is>
      </c>
      <c r="B1119" s="7" t="n">
        <v>92</v>
      </c>
      <c r="C1119" s="7" t="n">
        <v>0</v>
      </c>
      <c r="D1119" s="7" t="n">
        <v>0</v>
      </c>
      <c r="E1119" s="7" t="n">
        <v>0</v>
      </c>
      <c r="F1119" s="8" t="inlineStr">
        <is>
          <t>Low</t>
        </is>
      </c>
      <c r="G1119" s="8" t="inlineStr">
        <is>
          <t>Low</t>
        </is>
      </c>
      <c r="H1119">
        <f>IF(F1119=G1119,"YES","NO")</f>
        <v/>
      </c>
    </row>
    <row r="1120">
      <c r="A1120" s="6" t="inlineStr">
        <is>
          <t>Joseph Pellecchia</t>
        </is>
      </c>
      <c r="B1120" s="7" t="n">
        <v>21</v>
      </c>
      <c r="C1120" s="7" t="n">
        <v>0</v>
      </c>
      <c r="D1120" s="7" t="n">
        <v>0</v>
      </c>
      <c r="E1120" s="7" t="n">
        <v>0</v>
      </c>
      <c r="F1120" s="8" t="inlineStr">
        <is>
          <t>Low</t>
        </is>
      </c>
      <c r="G1120" s="8" t="inlineStr">
        <is>
          <t>Low</t>
        </is>
      </c>
      <c r="H1120">
        <f>IF(F1120=G1120,"YES","NO")</f>
        <v/>
      </c>
    </row>
    <row r="1121">
      <c r="A1121" s="6" t="inlineStr">
        <is>
          <t>Joseph Vilangattuseril</t>
        </is>
      </c>
      <c r="B1121" s="7" t="n">
        <v>21</v>
      </c>
      <c r="C1121" s="7" t="n">
        <v>0</v>
      </c>
      <c r="D1121" s="7" t="n">
        <v>0</v>
      </c>
      <c r="E1121" s="7" t="n">
        <v>0</v>
      </c>
      <c r="F1121" s="8" t="inlineStr">
        <is>
          <t>Low</t>
        </is>
      </c>
      <c r="G1121" s="8" t="inlineStr">
        <is>
          <t>Low</t>
        </is>
      </c>
      <c r="H1121">
        <f>IF(F1121=G1121,"YES","NO")</f>
        <v/>
      </c>
    </row>
    <row r="1122">
      <c r="A1122" s="6" t="inlineStr">
        <is>
          <t>Josh Cowell</t>
        </is>
      </c>
      <c r="B1122" s="7" t="n">
        <v>217</v>
      </c>
      <c r="C1122" s="7" t="n">
        <v>20</v>
      </c>
      <c r="D1122" s="7" t="n">
        <v>0.0922</v>
      </c>
      <c r="E1122" s="7" t="n">
        <v>0.0605</v>
      </c>
      <c r="F1122" s="8" t="inlineStr">
        <is>
          <t>Low</t>
        </is>
      </c>
      <c r="G1122" s="8" t="inlineStr">
        <is>
          <t>Low</t>
        </is>
      </c>
      <c r="H1122">
        <f>IF(F1122=G1122,"YES","NO")</f>
        <v/>
      </c>
    </row>
    <row r="1123">
      <c r="A1123" s="6" t="inlineStr">
        <is>
          <t>Josh Danyliw</t>
        </is>
      </c>
      <c r="B1123" s="7" t="n">
        <v>8</v>
      </c>
      <c r="C1123" s="7" t="n">
        <v>1</v>
      </c>
      <c r="D1123" s="7" t="n">
        <v>0.125</v>
      </c>
      <c r="E1123" s="7" t="n">
        <v>0.0224</v>
      </c>
      <c r="F1123" s="8" t="inlineStr">
        <is>
          <t>Low</t>
        </is>
      </c>
      <c r="G1123" s="8" t="inlineStr">
        <is>
          <t>Low</t>
        </is>
      </c>
      <c r="H1123">
        <f>IF(F1123=G1123,"YES","NO")</f>
        <v/>
      </c>
    </row>
    <row r="1124">
      <c r="A1124" s="6" t="inlineStr">
        <is>
          <t>Josh Ehle</t>
        </is>
      </c>
      <c r="B1124" s="7" t="n">
        <v>4</v>
      </c>
      <c r="C1124" s="7" t="n">
        <v>0</v>
      </c>
      <c r="D1124" s="7" t="n">
        <v>0</v>
      </c>
      <c r="E1124" s="7" t="n">
        <v>0</v>
      </c>
      <c r="F1124" s="8" t="inlineStr">
        <is>
          <t>Low</t>
        </is>
      </c>
      <c r="G1124" s="8" t="inlineStr">
        <is>
          <t>Low</t>
        </is>
      </c>
      <c r="H1124">
        <f>IF(F1124=G1124,"YES","NO")</f>
        <v/>
      </c>
    </row>
    <row r="1125">
      <c r="A1125" s="6" t="inlineStr">
        <is>
          <t>Josh Vandehey</t>
        </is>
      </c>
      <c r="B1125" s="7" t="n">
        <v>24</v>
      </c>
      <c r="C1125" s="7" t="n">
        <v>0</v>
      </c>
      <c r="D1125" s="7" t="n">
        <v>0</v>
      </c>
      <c r="E1125" s="7" t="n">
        <v>0</v>
      </c>
      <c r="F1125" s="8" t="inlineStr">
        <is>
          <t>Low</t>
        </is>
      </c>
      <c r="G1125" s="8" t="inlineStr">
        <is>
          <t>Low</t>
        </is>
      </c>
      <c r="H1125">
        <f>IF(F1125=G1125,"YES","NO")</f>
        <v/>
      </c>
    </row>
    <row r="1126">
      <c r="A1126" s="6" t="inlineStr">
        <is>
          <t>Josh Wingo</t>
        </is>
      </c>
      <c r="B1126" s="7" t="n">
        <v>1</v>
      </c>
      <c r="C1126" s="7" t="n">
        <v>0</v>
      </c>
      <c r="D1126" s="7" t="n">
        <v>0</v>
      </c>
      <c r="E1126" s="7" t="n">
        <v>0</v>
      </c>
      <c r="F1126" s="8" t="inlineStr">
        <is>
          <t>Low</t>
        </is>
      </c>
      <c r="G1126" s="8" t="inlineStr">
        <is>
          <t>Low</t>
        </is>
      </c>
      <c r="H1126">
        <f>IF(F1126=G1126,"YES","NO")</f>
        <v/>
      </c>
    </row>
    <row r="1127">
      <c r="A1127" s="6" t="inlineStr">
        <is>
          <t>Joshua Carriere</t>
        </is>
      </c>
      <c r="B1127" s="7" t="n">
        <v>20</v>
      </c>
      <c r="C1127" s="7" t="n">
        <v>0</v>
      </c>
      <c r="D1127" s="7" t="n">
        <v>0</v>
      </c>
      <c r="E1127" s="7" t="n">
        <v>0</v>
      </c>
      <c r="F1127" s="8" t="inlineStr">
        <is>
          <t>Low</t>
        </is>
      </c>
      <c r="G1127" s="8" t="inlineStr">
        <is>
          <t>Low</t>
        </is>
      </c>
      <c r="H1127">
        <f>IF(F1127=G1127,"YES","NO")</f>
        <v/>
      </c>
    </row>
    <row r="1128">
      <c r="A1128" s="6" t="inlineStr">
        <is>
          <t>Joshua Hauk</t>
        </is>
      </c>
      <c r="B1128" s="7" t="n">
        <v>6</v>
      </c>
      <c r="C1128" s="7" t="n">
        <v>0</v>
      </c>
      <c r="D1128" s="7" t="n">
        <v>0</v>
      </c>
      <c r="E1128" s="7" t="n">
        <v>0</v>
      </c>
      <c r="F1128" s="8" t="inlineStr">
        <is>
          <t>Low</t>
        </is>
      </c>
      <c r="G1128" s="8" t="inlineStr">
        <is>
          <t>Low</t>
        </is>
      </c>
      <c r="H1128">
        <f>IF(F1128=G1128,"YES","NO")</f>
        <v/>
      </c>
    </row>
    <row r="1129">
      <c r="A1129" s="6" t="inlineStr">
        <is>
          <t>Joshua Lee</t>
        </is>
      </c>
      <c r="B1129" s="7" t="n">
        <v>70</v>
      </c>
      <c r="C1129" s="7" t="n">
        <v>4</v>
      </c>
      <c r="D1129" s="7" t="n">
        <v>0.0571</v>
      </c>
      <c r="E1129" s="7" t="n">
        <v>0.0224</v>
      </c>
      <c r="F1129" s="8" t="inlineStr">
        <is>
          <t>Low</t>
        </is>
      </c>
      <c r="G1129" s="8" t="inlineStr">
        <is>
          <t>Low</t>
        </is>
      </c>
      <c r="H1129">
        <f>IF(F1129=G1129,"YES","NO")</f>
        <v/>
      </c>
    </row>
    <row r="1130">
      <c r="A1130" s="6" t="inlineStr">
        <is>
          <t>Joshua Thompson</t>
        </is>
      </c>
      <c r="B1130" s="7" t="n">
        <v>2</v>
      </c>
      <c r="C1130" s="7" t="n">
        <v>0</v>
      </c>
      <c r="D1130" s="7" t="n">
        <v>0</v>
      </c>
      <c r="E1130" s="7" t="n">
        <v>0</v>
      </c>
      <c r="F1130" s="8" t="inlineStr">
        <is>
          <t>Low</t>
        </is>
      </c>
      <c r="G1130" s="8" t="inlineStr">
        <is>
          <t>Low</t>
        </is>
      </c>
      <c r="H1130">
        <f>IF(F1130=G1130,"YES","NO")</f>
        <v/>
      </c>
    </row>
    <row r="1131">
      <c r="A1131" s="6" t="inlineStr">
        <is>
          <t>Joshua Waller</t>
        </is>
      </c>
      <c r="B1131" s="7" t="n">
        <v>1</v>
      </c>
      <c r="C1131" s="7" t="n">
        <v>0</v>
      </c>
      <c r="D1131" s="7" t="n">
        <v>0</v>
      </c>
      <c r="E1131" s="7" t="n">
        <v>0</v>
      </c>
      <c r="F1131" s="8" t="inlineStr">
        <is>
          <t>Low</t>
        </is>
      </c>
      <c r="G1131" s="8" t="inlineStr">
        <is>
          <t>Low</t>
        </is>
      </c>
      <c r="H1131">
        <f>IF(F1131=G1131,"YES","NO")</f>
        <v/>
      </c>
    </row>
    <row r="1132">
      <c r="A1132" s="6" t="inlineStr">
        <is>
          <t>Joshua Wilson</t>
        </is>
      </c>
      <c r="B1132" s="7" t="n">
        <v>192</v>
      </c>
      <c r="C1132" s="7" t="n">
        <v>9</v>
      </c>
      <c r="D1132" s="7" t="n">
        <v>0.0469</v>
      </c>
      <c r="E1132" s="7" t="n">
        <v>0.0249</v>
      </c>
      <c r="F1132" s="8" t="inlineStr">
        <is>
          <t>Low</t>
        </is>
      </c>
      <c r="G1132" s="8" t="inlineStr">
        <is>
          <t>Low</t>
        </is>
      </c>
      <c r="H1132">
        <f>IF(F1132=G1132,"YES","NO")</f>
        <v/>
      </c>
    </row>
    <row r="1133">
      <c r="A1133" s="6" t="inlineStr">
        <is>
          <t>Juan Villalvazo</t>
        </is>
      </c>
      <c r="B1133" s="7" t="n">
        <v>29</v>
      </c>
      <c r="C1133" s="7" t="n">
        <v>1</v>
      </c>
      <c r="D1133" s="7" t="n">
        <v>0.0345</v>
      </c>
      <c r="E1133" s="7" t="n">
        <v>0.0061</v>
      </c>
      <c r="F1133" s="8" t="inlineStr">
        <is>
          <t>Low</t>
        </is>
      </c>
      <c r="G1133" s="8" t="inlineStr">
        <is>
          <t>Low</t>
        </is>
      </c>
      <c r="H1133">
        <f>IF(F1133=G1133,"YES","NO")</f>
        <v/>
      </c>
    </row>
    <row r="1134">
      <c r="A1134" s="6" t="inlineStr">
        <is>
          <t>Judy Amiot</t>
        </is>
      </c>
      <c r="B1134" s="7" t="n">
        <v>1</v>
      </c>
      <c r="C1134" s="7" t="n">
        <v>0</v>
      </c>
      <c r="D1134" s="7" t="n">
        <v>0</v>
      </c>
      <c r="E1134" s="7" t="n">
        <v>0</v>
      </c>
      <c r="F1134" s="8" t="inlineStr">
        <is>
          <t>Low</t>
        </is>
      </c>
      <c r="G1134" s="8" t="inlineStr">
        <is>
          <t>Low</t>
        </is>
      </c>
      <c r="H1134">
        <f>IF(F1134=G1134,"YES","NO")</f>
        <v/>
      </c>
    </row>
    <row r="1135">
      <c r="A1135" s="6" t="inlineStr">
        <is>
          <t>Julian Forjan</t>
        </is>
      </c>
      <c r="B1135" s="7" t="n">
        <v>3</v>
      </c>
      <c r="C1135" s="7" t="n">
        <v>0</v>
      </c>
      <c r="D1135" s="7" t="n">
        <v>0</v>
      </c>
      <c r="E1135" s="7" t="n">
        <v>0</v>
      </c>
      <c r="F1135" s="8" t="inlineStr">
        <is>
          <t>Low</t>
        </is>
      </c>
      <c r="G1135" s="8" t="inlineStr">
        <is>
          <t>Low</t>
        </is>
      </c>
      <c r="H1135">
        <f>IF(F1135=G1135,"YES","NO")</f>
        <v/>
      </c>
    </row>
    <row r="1136">
      <c r="A1136" s="6" t="inlineStr">
        <is>
          <t>Julianne Reddy</t>
        </is>
      </c>
      <c r="B1136" s="7" t="n">
        <v>7</v>
      </c>
      <c r="C1136" s="7" t="n">
        <v>0</v>
      </c>
      <c r="D1136" s="7" t="n">
        <v>0</v>
      </c>
      <c r="E1136" s="7" t="n">
        <v>0</v>
      </c>
      <c r="F1136" s="8" t="inlineStr">
        <is>
          <t>Low</t>
        </is>
      </c>
      <c r="G1136" s="8" t="inlineStr">
        <is>
          <t>Low</t>
        </is>
      </c>
      <c r="H1136">
        <f>IF(F1136=G1136,"YES","NO")</f>
        <v/>
      </c>
    </row>
    <row r="1137">
      <c r="A1137" s="6" t="inlineStr">
        <is>
          <t>Julie Anderson</t>
        </is>
      </c>
      <c r="B1137" s="7" t="n">
        <v>29</v>
      </c>
      <c r="C1137" s="7" t="n">
        <v>4</v>
      </c>
      <c r="D1137" s="7" t="n">
        <v>0.1379</v>
      </c>
      <c r="E1137" s="7" t="n">
        <v>0.055</v>
      </c>
      <c r="F1137" s="8" t="inlineStr">
        <is>
          <t>Low</t>
        </is>
      </c>
      <c r="G1137" s="8" t="inlineStr">
        <is>
          <t>Medium</t>
        </is>
      </c>
      <c r="H1137">
        <f>IF(F1137=G1137,"YES","NO")</f>
        <v/>
      </c>
    </row>
    <row r="1138">
      <c r="A1138" s="6" t="inlineStr">
        <is>
          <t>Julie Koch</t>
        </is>
      </c>
      <c r="B1138" s="7" t="n">
        <v>5</v>
      </c>
      <c r="C1138" s="7" t="n">
        <v>0</v>
      </c>
      <c r="D1138" s="7" t="n">
        <v>0</v>
      </c>
      <c r="E1138" s="7" t="n">
        <v>0</v>
      </c>
      <c r="F1138" s="8" t="inlineStr">
        <is>
          <t>Low</t>
        </is>
      </c>
      <c r="G1138" s="8" t="inlineStr">
        <is>
          <t>Low</t>
        </is>
      </c>
      <c r="H1138">
        <f>IF(F1138=G1138,"YES","NO")</f>
        <v/>
      </c>
    </row>
    <row r="1139">
      <c r="A1139" s="6" t="inlineStr">
        <is>
          <t>Julie Robinson</t>
        </is>
      </c>
      <c r="B1139" s="7" t="n">
        <v>138</v>
      </c>
      <c r="C1139" s="7" t="n">
        <v>1</v>
      </c>
      <c r="D1139" s="7" t="n">
        <v>0.0072</v>
      </c>
      <c r="E1139" s="7" t="n">
        <v>0.0013</v>
      </c>
      <c r="F1139" s="8" t="inlineStr">
        <is>
          <t>Low</t>
        </is>
      </c>
      <c r="G1139" s="8" t="inlineStr">
        <is>
          <t>Low</t>
        </is>
      </c>
      <c r="H1139">
        <f>IF(F1139=G1139,"YES","NO")</f>
        <v/>
      </c>
    </row>
    <row r="1140">
      <c r="A1140" s="6" t="inlineStr">
        <is>
          <t>Julie Vanhoek</t>
        </is>
      </c>
      <c r="B1140" s="7" t="n">
        <v>1</v>
      </c>
      <c r="C1140" s="7" t="n">
        <v>0</v>
      </c>
      <c r="D1140" s="7" t="n">
        <v>0</v>
      </c>
      <c r="E1140" s="7" t="n">
        <v>0</v>
      </c>
      <c r="F1140" s="8" t="inlineStr">
        <is>
          <t>Low</t>
        </is>
      </c>
      <c r="G1140" s="8" t="inlineStr">
        <is>
          <t>Low</t>
        </is>
      </c>
      <c r="H1140">
        <f>IF(F1140=G1140,"YES","NO")</f>
        <v/>
      </c>
    </row>
    <row r="1141">
      <c r="A1141" s="6" t="inlineStr">
        <is>
          <t>Julio Ortega</t>
        </is>
      </c>
      <c r="B1141" s="7" t="n">
        <v>3</v>
      </c>
      <c r="C1141" s="7" t="n">
        <v>0</v>
      </c>
      <c r="D1141" s="7" t="n">
        <v>0</v>
      </c>
      <c r="E1141" s="7" t="n">
        <v>0</v>
      </c>
      <c r="F1141" s="8" t="inlineStr">
        <is>
          <t>Low</t>
        </is>
      </c>
      <c r="G1141" s="8" t="inlineStr">
        <is>
          <t>Low</t>
        </is>
      </c>
      <c r="H1141">
        <f>IF(F1141=G1141,"YES","NO")</f>
        <v/>
      </c>
    </row>
    <row r="1142">
      <c r="A1142" s="6" t="inlineStr">
        <is>
          <t>Jullianno Buzzitta</t>
        </is>
      </c>
      <c r="B1142" s="7" t="n">
        <v>451</v>
      </c>
      <c r="C1142" s="7" t="n">
        <v>36</v>
      </c>
      <c r="D1142" s="7" t="n">
        <v>0.0798</v>
      </c>
      <c r="E1142" s="7" t="n">
        <v>0.0582</v>
      </c>
      <c r="F1142" s="8" t="inlineStr">
        <is>
          <t>Low</t>
        </is>
      </c>
      <c r="G1142" s="8" t="inlineStr">
        <is>
          <t>Low</t>
        </is>
      </c>
      <c r="H1142">
        <f>IF(F1142=G1142,"YES","NO")</f>
        <v/>
      </c>
    </row>
    <row r="1143">
      <c r="A1143" s="6" t="inlineStr">
        <is>
          <t>June Sanchez</t>
        </is>
      </c>
      <c r="B1143" s="7" t="n">
        <v>5</v>
      </c>
      <c r="C1143" s="7" t="n">
        <v>0</v>
      </c>
      <c r="D1143" s="7" t="n">
        <v>0</v>
      </c>
      <c r="E1143" s="7" t="n">
        <v>0</v>
      </c>
      <c r="F1143" s="8" t="inlineStr">
        <is>
          <t>Low</t>
        </is>
      </c>
      <c r="G1143" s="8" t="inlineStr">
        <is>
          <t>Low</t>
        </is>
      </c>
      <c r="H1143">
        <f>IF(F1143=G1143,"YES","NO")</f>
        <v/>
      </c>
    </row>
    <row r="1144">
      <c r="A1144" s="6" t="inlineStr">
        <is>
          <t>Justin  Anderson</t>
        </is>
      </c>
      <c r="B1144" s="7" t="n">
        <v>3</v>
      </c>
      <c r="C1144" s="7" t="n">
        <v>0</v>
      </c>
      <c r="D1144" s="7" t="n">
        <v>0</v>
      </c>
      <c r="E1144" s="7" t="n">
        <v>0</v>
      </c>
      <c r="F1144" s="8" t="inlineStr">
        <is>
          <t>Low</t>
        </is>
      </c>
      <c r="G1144" s="8" t="inlineStr">
        <is>
          <t>Low</t>
        </is>
      </c>
      <c r="H1144">
        <f>IF(F1144=G1144,"YES","NO")</f>
        <v/>
      </c>
    </row>
    <row r="1145">
      <c r="A1145" s="6" t="inlineStr">
        <is>
          <t>Justin Ayres</t>
        </is>
      </c>
      <c r="B1145" s="7" t="n">
        <v>5</v>
      </c>
      <c r="C1145" s="7" t="n">
        <v>0</v>
      </c>
      <c r="D1145" s="7" t="n">
        <v>0</v>
      </c>
      <c r="E1145" s="7" t="n">
        <v>0</v>
      </c>
      <c r="F1145" s="8" t="inlineStr">
        <is>
          <t>Low</t>
        </is>
      </c>
      <c r="G1145" s="8" t="inlineStr">
        <is>
          <t>Low</t>
        </is>
      </c>
      <c r="H1145">
        <f>IF(F1145=G1145,"YES","NO")</f>
        <v/>
      </c>
    </row>
    <row r="1146">
      <c r="A1146" s="6" t="inlineStr">
        <is>
          <t>Justin Barker</t>
        </is>
      </c>
      <c r="B1146" s="7" t="n">
        <v>1</v>
      </c>
      <c r="C1146" s="7" t="n">
        <v>0</v>
      </c>
      <c r="D1146" s="7" t="n">
        <v>0</v>
      </c>
      <c r="E1146" s="7" t="n">
        <v>0</v>
      </c>
      <c r="F1146" s="8" t="inlineStr">
        <is>
          <t>Low</t>
        </is>
      </c>
      <c r="G1146" s="8" t="inlineStr">
        <is>
          <t>Low</t>
        </is>
      </c>
      <c r="H1146">
        <f>IF(F1146=G1146,"YES","NO")</f>
        <v/>
      </c>
    </row>
    <row r="1147">
      <c r="A1147" s="6" t="inlineStr">
        <is>
          <t>Justin Garlow</t>
        </is>
      </c>
      <c r="B1147" s="7" t="n">
        <v>31</v>
      </c>
      <c r="C1147" s="7" t="n">
        <v>1</v>
      </c>
      <c r="D1147" s="7" t="n">
        <v>0.0323</v>
      </c>
      <c r="E1147" s="7" t="n">
        <v>0.0057</v>
      </c>
      <c r="F1147" s="8" t="inlineStr">
        <is>
          <t>Low</t>
        </is>
      </c>
      <c r="G1147" s="8" t="inlineStr">
        <is>
          <t>Low</t>
        </is>
      </c>
      <c r="H1147">
        <f>IF(F1147=G1147,"YES","NO")</f>
        <v/>
      </c>
    </row>
    <row r="1148">
      <c r="A1148" s="6" t="inlineStr">
        <is>
          <t>Justin Moody</t>
        </is>
      </c>
      <c r="B1148" s="7" t="n">
        <v>12</v>
      </c>
      <c r="C1148" s="7" t="n">
        <v>0</v>
      </c>
      <c r="D1148" s="7" t="n">
        <v>0</v>
      </c>
      <c r="E1148" s="7" t="n">
        <v>0</v>
      </c>
      <c r="F1148" s="8" t="inlineStr">
        <is>
          <t>Low</t>
        </is>
      </c>
      <c r="G1148" s="8" t="inlineStr">
        <is>
          <t>Low</t>
        </is>
      </c>
      <c r="H1148">
        <f>IF(F1148=G1148,"YES","NO")</f>
        <v/>
      </c>
    </row>
    <row r="1149">
      <c r="A1149" s="6" t="inlineStr">
        <is>
          <t>Justin Perry</t>
        </is>
      </c>
      <c r="B1149" s="7" t="n">
        <v>21</v>
      </c>
      <c r="C1149" s="7" t="n">
        <v>0</v>
      </c>
      <c r="D1149" s="7" t="n">
        <v>0</v>
      </c>
      <c r="E1149" s="7" t="n">
        <v>0</v>
      </c>
      <c r="F1149" s="8" t="inlineStr">
        <is>
          <t>Low</t>
        </is>
      </c>
      <c r="G1149" s="8" t="inlineStr">
        <is>
          <t>Low</t>
        </is>
      </c>
      <c r="H1149">
        <f>IF(F1149=G1149,"YES","NO")</f>
        <v/>
      </c>
    </row>
    <row r="1150">
      <c r="A1150" s="6" t="inlineStr">
        <is>
          <t>Justin Rex</t>
        </is>
      </c>
      <c r="B1150" s="7" t="n">
        <v>2</v>
      </c>
      <c r="C1150" s="7" t="n">
        <v>0</v>
      </c>
      <c r="D1150" s="7" t="n">
        <v>0</v>
      </c>
      <c r="E1150" s="7" t="n">
        <v>0</v>
      </c>
      <c r="F1150" s="8" t="inlineStr">
        <is>
          <t>Low</t>
        </is>
      </c>
      <c r="G1150" s="8" t="inlineStr">
        <is>
          <t>Low</t>
        </is>
      </c>
      <c r="H1150">
        <f>IF(F1150=G1150,"YES","NO")</f>
        <v/>
      </c>
    </row>
    <row r="1151">
      <c r="A1151" s="6" t="inlineStr">
        <is>
          <t>Justin Reynolds</t>
        </is>
      </c>
      <c r="B1151" s="7" t="n">
        <v>8</v>
      </c>
      <c r="C1151" s="7" t="n">
        <v>0</v>
      </c>
      <c r="D1151" s="7" t="n">
        <v>0</v>
      </c>
      <c r="E1151" s="7" t="n">
        <v>0</v>
      </c>
      <c r="F1151" s="8" t="inlineStr">
        <is>
          <t>Low</t>
        </is>
      </c>
      <c r="G1151" s="8" t="inlineStr">
        <is>
          <t>Low</t>
        </is>
      </c>
      <c r="H1151">
        <f>IF(F1151=G1151,"YES","NO")</f>
        <v/>
      </c>
    </row>
    <row r="1152">
      <c r="A1152" s="6" t="inlineStr">
        <is>
          <t>Justin Villa</t>
        </is>
      </c>
      <c r="B1152" s="7" t="n">
        <v>97</v>
      </c>
      <c r="C1152" s="7" t="n">
        <v>8</v>
      </c>
      <c r="D1152" s="7" t="n">
        <v>0.0825</v>
      </c>
      <c r="E1152" s="7" t="n">
        <v>0.0424</v>
      </c>
      <c r="F1152" s="8" t="inlineStr">
        <is>
          <t>Low</t>
        </is>
      </c>
      <c r="G1152" s="8" t="inlineStr">
        <is>
          <t>Low</t>
        </is>
      </c>
      <c r="H1152">
        <f>IF(F1152=G1152,"YES","NO")</f>
        <v/>
      </c>
    </row>
    <row r="1153">
      <c r="A1153" s="6" t="inlineStr">
        <is>
          <t>Kaitlin McDonnell</t>
        </is>
      </c>
      <c r="B1153" s="7" t="n">
        <v>2</v>
      </c>
      <c r="C1153" s="7" t="n">
        <v>0</v>
      </c>
      <c r="D1153" s="7" t="n">
        <v>0</v>
      </c>
      <c r="E1153" s="7" t="n">
        <v>0</v>
      </c>
      <c r="F1153" s="8" t="inlineStr">
        <is>
          <t>Low</t>
        </is>
      </c>
      <c r="G1153" s="8" t="inlineStr">
        <is>
          <t>Low</t>
        </is>
      </c>
      <c r="H1153">
        <f>IF(F1153=G1153,"YES","NO")</f>
        <v/>
      </c>
    </row>
    <row r="1154">
      <c r="A1154" s="6" t="inlineStr">
        <is>
          <t>Kalei Caoili</t>
        </is>
      </c>
      <c r="B1154" s="7" t="n">
        <v>19</v>
      </c>
      <c r="C1154" s="7" t="n">
        <v>0</v>
      </c>
      <c r="D1154" s="7" t="n">
        <v>0</v>
      </c>
      <c r="E1154" s="7" t="n">
        <v>0</v>
      </c>
      <c r="F1154" s="8" t="inlineStr">
        <is>
          <t>Low</t>
        </is>
      </c>
      <c r="G1154" s="8" t="inlineStr">
        <is>
          <t>Low</t>
        </is>
      </c>
      <c r="H1154">
        <f>IF(F1154=G1154,"YES","NO")</f>
        <v/>
      </c>
    </row>
    <row r="1155">
      <c r="A1155" s="6" t="inlineStr">
        <is>
          <t>Kalie Brodehl</t>
        </is>
      </c>
      <c r="B1155" s="7" t="n">
        <v>6</v>
      </c>
      <c r="C1155" s="7" t="n">
        <v>0</v>
      </c>
      <c r="D1155" s="7" t="n">
        <v>0</v>
      </c>
      <c r="E1155" s="7" t="n">
        <v>0</v>
      </c>
      <c r="F1155" s="8" t="inlineStr">
        <is>
          <t>Low</t>
        </is>
      </c>
      <c r="G1155" s="8" t="inlineStr">
        <is>
          <t>Low</t>
        </is>
      </c>
      <c r="H1155">
        <f>IF(F1155=G1155,"YES","NO")</f>
        <v/>
      </c>
    </row>
    <row r="1156">
      <c r="A1156" s="6" t="inlineStr">
        <is>
          <t>Kane Bateman</t>
        </is>
      </c>
      <c r="B1156" s="7" t="n">
        <v>35</v>
      </c>
      <c r="C1156" s="7" t="n">
        <v>0</v>
      </c>
      <c r="D1156" s="7" t="n">
        <v>0</v>
      </c>
      <c r="E1156" s="7" t="n">
        <v>0</v>
      </c>
      <c r="F1156" s="8" t="inlineStr">
        <is>
          <t>Low</t>
        </is>
      </c>
      <c r="G1156" s="8" t="inlineStr">
        <is>
          <t>Low</t>
        </is>
      </c>
      <c r="H1156">
        <f>IF(F1156=G1156,"YES","NO")</f>
        <v/>
      </c>
    </row>
    <row r="1157">
      <c r="A1157" s="6" t="inlineStr">
        <is>
          <t>Karson Melvin</t>
        </is>
      </c>
      <c r="B1157" s="7" t="n">
        <v>37</v>
      </c>
      <c r="C1157" s="7" t="n">
        <v>3</v>
      </c>
      <c r="D1157" s="7" t="n">
        <v>0.08110000000000001</v>
      </c>
      <c r="E1157" s="7" t="n">
        <v>0.028</v>
      </c>
      <c r="F1157" s="8" t="inlineStr">
        <is>
          <t>Low</t>
        </is>
      </c>
      <c r="G1157" s="8" t="inlineStr">
        <is>
          <t>Low</t>
        </is>
      </c>
      <c r="H1157">
        <f>IF(F1157=G1157,"YES","NO")</f>
        <v/>
      </c>
    </row>
    <row r="1158">
      <c r="A1158" s="6" t="inlineStr">
        <is>
          <t>Karyn  Rosenberg</t>
        </is>
      </c>
      <c r="B1158" s="7" t="n">
        <v>7</v>
      </c>
      <c r="C1158" s="7" t="n">
        <v>0</v>
      </c>
      <c r="D1158" s="7" t="n">
        <v>0</v>
      </c>
      <c r="E1158" s="7" t="n">
        <v>0</v>
      </c>
      <c r="F1158" s="8" t="inlineStr">
        <is>
          <t>Low</t>
        </is>
      </c>
      <c r="G1158" s="8" t="inlineStr">
        <is>
          <t>Low</t>
        </is>
      </c>
      <c r="H1158">
        <f>IF(F1158=G1158,"YES","NO")</f>
        <v/>
      </c>
    </row>
    <row r="1159">
      <c r="A1159" s="6" t="inlineStr">
        <is>
          <t>Kasey Kunichika</t>
        </is>
      </c>
      <c r="B1159" s="7" t="n">
        <v>10</v>
      </c>
      <c r="C1159" s="7" t="n">
        <v>1</v>
      </c>
      <c r="D1159" s="7" t="n">
        <v>0.1</v>
      </c>
      <c r="E1159" s="7" t="n">
        <v>0.0179</v>
      </c>
      <c r="F1159" s="8" t="inlineStr">
        <is>
          <t>Low</t>
        </is>
      </c>
      <c r="G1159" s="8" t="inlineStr">
        <is>
          <t>High</t>
        </is>
      </c>
      <c r="H1159">
        <f>IF(F1159=G1159,"YES","NO")</f>
        <v/>
      </c>
    </row>
    <row r="1160">
      <c r="A1160" s="6" t="inlineStr">
        <is>
          <t>Kashawn Shelton</t>
        </is>
      </c>
      <c r="B1160" s="7" t="n">
        <v>32</v>
      </c>
      <c r="C1160" s="7" t="n">
        <v>0</v>
      </c>
      <c r="D1160" s="7" t="n">
        <v>0</v>
      </c>
      <c r="E1160" s="7" t="n">
        <v>0</v>
      </c>
      <c r="F1160" s="8" t="inlineStr">
        <is>
          <t>Low</t>
        </is>
      </c>
      <c r="G1160" s="8" t="inlineStr">
        <is>
          <t>Low</t>
        </is>
      </c>
      <c r="H1160">
        <f>IF(F1160=G1160,"YES","NO")</f>
        <v/>
      </c>
    </row>
    <row r="1161">
      <c r="A1161" s="6" t="inlineStr">
        <is>
          <t>Kat Wessling</t>
        </is>
      </c>
      <c r="B1161" s="7" t="n">
        <v>48</v>
      </c>
      <c r="C1161" s="7" t="n">
        <v>2</v>
      </c>
      <c r="D1161" s="7" t="n">
        <v>0.0417</v>
      </c>
      <c r="E1161" s="7" t="n">
        <v>0.0115</v>
      </c>
      <c r="F1161" s="8" t="inlineStr">
        <is>
          <t>Low</t>
        </is>
      </c>
      <c r="G1161" s="8" t="inlineStr">
        <is>
          <t>Low</t>
        </is>
      </c>
      <c r="H1161">
        <f>IF(F1161=G1161,"YES","NO")</f>
        <v/>
      </c>
    </row>
    <row r="1162">
      <c r="A1162" s="6" t="inlineStr">
        <is>
          <t>Kate Bluhm</t>
        </is>
      </c>
      <c r="B1162" s="7" t="n">
        <v>101</v>
      </c>
      <c r="C1162" s="7" t="n">
        <v>8</v>
      </c>
      <c r="D1162" s="7" t="n">
        <v>0.07920000000000001</v>
      </c>
      <c r="E1162" s="7" t="n">
        <v>0.0407</v>
      </c>
      <c r="F1162" s="8" t="inlineStr">
        <is>
          <t>Low</t>
        </is>
      </c>
      <c r="G1162" s="8" t="inlineStr">
        <is>
          <t>Low</t>
        </is>
      </c>
      <c r="H1162">
        <f>IF(F1162=G1162,"YES","NO")</f>
        <v/>
      </c>
    </row>
    <row r="1163">
      <c r="A1163" s="6" t="inlineStr">
        <is>
          <t>Kate Sampson</t>
        </is>
      </c>
      <c r="B1163" s="7" t="n">
        <v>23</v>
      </c>
      <c r="C1163" s="7" t="n">
        <v>0</v>
      </c>
      <c r="D1163" s="7" t="n">
        <v>0</v>
      </c>
      <c r="E1163" s="7" t="n">
        <v>0</v>
      </c>
      <c r="F1163" s="8" t="inlineStr">
        <is>
          <t>Low</t>
        </is>
      </c>
      <c r="G1163" s="8" t="inlineStr">
        <is>
          <t>Low</t>
        </is>
      </c>
      <c r="H1163">
        <f>IF(F1163=G1163,"YES","NO")</f>
        <v/>
      </c>
    </row>
    <row r="1164">
      <c r="A1164" s="6" t="inlineStr">
        <is>
          <t>Katelyn Gardner</t>
        </is>
      </c>
      <c r="B1164" s="7" t="n">
        <v>21</v>
      </c>
      <c r="C1164" s="7" t="n">
        <v>0</v>
      </c>
      <c r="D1164" s="7" t="n">
        <v>0</v>
      </c>
      <c r="E1164" s="7" t="n">
        <v>0</v>
      </c>
      <c r="F1164" s="8" t="inlineStr">
        <is>
          <t>Low</t>
        </is>
      </c>
      <c r="G1164" s="8" t="inlineStr">
        <is>
          <t>Low</t>
        </is>
      </c>
      <c r="H1164">
        <f>IF(F1164=G1164,"YES","NO")</f>
        <v/>
      </c>
    </row>
    <row r="1165">
      <c r="A1165" s="6" t="inlineStr">
        <is>
          <t>Kathleen Fitzpatrick</t>
        </is>
      </c>
      <c r="B1165" s="7" t="n">
        <v>40</v>
      </c>
      <c r="C1165" s="7" t="n">
        <v>0</v>
      </c>
      <c r="D1165" s="7" t="n">
        <v>0</v>
      </c>
      <c r="E1165" s="7" t="n">
        <v>0</v>
      </c>
      <c r="F1165" s="8" t="inlineStr">
        <is>
          <t>Low</t>
        </is>
      </c>
      <c r="G1165" s="8" t="inlineStr">
        <is>
          <t>Low</t>
        </is>
      </c>
      <c r="H1165">
        <f>IF(F1165=G1165,"YES","NO")</f>
        <v/>
      </c>
    </row>
    <row r="1166">
      <c r="A1166" s="6" t="inlineStr">
        <is>
          <t>Kathryn Buckley</t>
        </is>
      </c>
      <c r="B1166" s="7" t="n">
        <v>1</v>
      </c>
      <c r="C1166" s="7" t="n">
        <v>0</v>
      </c>
      <c r="D1166" s="7" t="n">
        <v>0</v>
      </c>
      <c r="E1166" s="7" t="n">
        <v>0</v>
      </c>
      <c r="F1166" s="8" t="inlineStr">
        <is>
          <t>Low</t>
        </is>
      </c>
      <c r="G1166" s="8" t="inlineStr">
        <is>
          <t>High</t>
        </is>
      </c>
      <c r="H1166">
        <f>IF(F1166=G1166,"YES","NO")</f>
        <v/>
      </c>
    </row>
    <row r="1167">
      <c r="A1167" s="6" t="inlineStr">
        <is>
          <t>Kati Caupp</t>
        </is>
      </c>
      <c r="B1167" s="7" t="n">
        <v>1</v>
      </c>
      <c r="C1167" s="7" t="n">
        <v>0</v>
      </c>
      <c r="D1167" s="7" t="n">
        <v>0</v>
      </c>
      <c r="E1167" s="7" t="n">
        <v>0</v>
      </c>
      <c r="F1167" s="8" t="inlineStr">
        <is>
          <t>Low</t>
        </is>
      </c>
      <c r="G1167" s="8" t="inlineStr">
        <is>
          <t>Low</t>
        </is>
      </c>
      <c r="H1167">
        <f>IF(F1167=G1167,"YES","NO")</f>
        <v/>
      </c>
    </row>
    <row r="1168">
      <c r="A1168" s="6" t="inlineStr">
        <is>
          <t>Katrina Ouano</t>
        </is>
      </c>
      <c r="B1168" s="7" t="n">
        <v>55</v>
      </c>
      <c r="C1168" s="7" t="n">
        <v>2</v>
      </c>
      <c r="D1168" s="7" t="n">
        <v>0.0364</v>
      </c>
      <c r="E1168" s="7" t="n">
        <v>0.01</v>
      </c>
      <c r="F1168" s="8" t="inlineStr">
        <is>
          <t>Low</t>
        </is>
      </c>
      <c r="G1168" s="8" t="inlineStr">
        <is>
          <t>Low</t>
        </is>
      </c>
      <c r="H1168">
        <f>IF(F1168=G1168,"YES","NO")</f>
        <v/>
      </c>
    </row>
    <row r="1169">
      <c r="A1169" s="6" t="inlineStr">
        <is>
          <t>Katy Martin</t>
        </is>
      </c>
      <c r="B1169" s="7" t="n">
        <v>10</v>
      </c>
      <c r="C1169" s="7" t="n">
        <v>1</v>
      </c>
      <c r="D1169" s="7" t="n">
        <v>0.1</v>
      </c>
      <c r="E1169" s="7" t="n">
        <v>0.0179</v>
      </c>
      <c r="F1169" s="8" t="inlineStr">
        <is>
          <t>Low</t>
        </is>
      </c>
      <c r="G1169" s="8" t="inlineStr">
        <is>
          <t>Low</t>
        </is>
      </c>
      <c r="H1169">
        <f>IF(F1169=G1169,"YES","NO")</f>
        <v/>
      </c>
    </row>
    <row r="1170">
      <c r="A1170" s="6" t="inlineStr">
        <is>
          <t>Kayce Miller</t>
        </is>
      </c>
      <c r="B1170" s="7" t="n">
        <v>12</v>
      </c>
      <c r="C1170" s="7" t="n">
        <v>0</v>
      </c>
      <c r="D1170" s="7" t="n">
        <v>0</v>
      </c>
      <c r="E1170" s="7" t="n">
        <v>0</v>
      </c>
      <c r="F1170" s="8" t="inlineStr">
        <is>
          <t>Low</t>
        </is>
      </c>
      <c r="G1170" s="8" t="inlineStr">
        <is>
          <t>Medium</t>
        </is>
      </c>
      <c r="H1170">
        <f>IF(F1170=G1170,"YES","NO")</f>
        <v/>
      </c>
    </row>
    <row r="1171">
      <c r="A1171" s="6" t="inlineStr">
        <is>
          <t>Kayla Driggers</t>
        </is>
      </c>
      <c r="B1171" s="7" t="n">
        <v>47</v>
      </c>
      <c r="C1171" s="7" t="n">
        <v>0</v>
      </c>
      <c r="D1171" s="7" t="n">
        <v>0</v>
      </c>
      <c r="E1171" s="7" t="n">
        <v>0</v>
      </c>
      <c r="F1171" s="8" t="inlineStr">
        <is>
          <t>Low</t>
        </is>
      </c>
      <c r="G1171" s="8" t="inlineStr">
        <is>
          <t>Low</t>
        </is>
      </c>
      <c r="H1171">
        <f>IF(F1171=G1171,"YES","NO")</f>
        <v/>
      </c>
    </row>
    <row r="1172">
      <c r="A1172" s="6" t="inlineStr">
        <is>
          <t>Kayla Temple</t>
        </is>
      </c>
      <c r="B1172" s="7" t="n">
        <v>1</v>
      </c>
      <c r="C1172" s="7" t="n">
        <v>0</v>
      </c>
      <c r="D1172" s="7" t="n">
        <v>0</v>
      </c>
      <c r="E1172" s="7" t="n">
        <v>0</v>
      </c>
      <c r="F1172" s="8" t="inlineStr">
        <is>
          <t>Low</t>
        </is>
      </c>
      <c r="G1172" s="8" t="inlineStr">
        <is>
          <t>Low</t>
        </is>
      </c>
      <c r="H1172">
        <f>IF(F1172=G1172,"YES","NO")</f>
        <v/>
      </c>
    </row>
    <row r="1173">
      <c r="A1173" s="6" t="inlineStr">
        <is>
          <t>Kaylan Seales</t>
        </is>
      </c>
      <c r="B1173" s="7" t="n">
        <v>19</v>
      </c>
      <c r="C1173" s="7" t="n">
        <v>0</v>
      </c>
      <c r="D1173" s="7" t="n">
        <v>0</v>
      </c>
      <c r="E1173" s="7" t="n">
        <v>0</v>
      </c>
      <c r="F1173" s="8" t="inlineStr">
        <is>
          <t>Low</t>
        </is>
      </c>
      <c r="G1173" s="8" t="inlineStr">
        <is>
          <t>Low</t>
        </is>
      </c>
      <c r="H1173">
        <f>IF(F1173=G1173,"YES","NO")</f>
        <v/>
      </c>
    </row>
    <row r="1174">
      <c r="A1174" s="6" t="inlineStr">
        <is>
          <t>Kaylin Handley</t>
        </is>
      </c>
      <c r="B1174" s="7" t="n">
        <v>54</v>
      </c>
      <c r="C1174" s="7" t="n">
        <v>0</v>
      </c>
      <c r="D1174" s="7" t="n">
        <v>0</v>
      </c>
      <c r="E1174" s="7" t="n">
        <v>0</v>
      </c>
      <c r="F1174" s="8" t="inlineStr">
        <is>
          <t>Low</t>
        </is>
      </c>
      <c r="G1174" s="8" t="inlineStr">
        <is>
          <t>Low</t>
        </is>
      </c>
      <c r="H1174">
        <f>IF(F1174=G1174,"YES","NO")</f>
        <v/>
      </c>
    </row>
    <row r="1175">
      <c r="A1175" s="6" t="inlineStr">
        <is>
          <t>Keiri Rogers</t>
        </is>
      </c>
      <c r="B1175" s="7" t="n">
        <v>59</v>
      </c>
      <c r="C1175" s="7" t="n">
        <v>0</v>
      </c>
      <c r="D1175" s="7" t="n">
        <v>0</v>
      </c>
      <c r="E1175" s="7" t="n">
        <v>0</v>
      </c>
      <c r="F1175" s="8" t="inlineStr">
        <is>
          <t>Low</t>
        </is>
      </c>
      <c r="G1175" s="8" t="inlineStr">
        <is>
          <t>Low</t>
        </is>
      </c>
      <c r="H1175">
        <f>IF(F1175=G1175,"YES","NO")</f>
        <v/>
      </c>
    </row>
    <row r="1176">
      <c r="A1176" s="6" t="inlineStr">
        <is>
          <t>Keith  Davis</t>
        </is>
      </c>
      <c r="B1176" s="7" t="n">
        <v>189</v>
      </c>
      <c r="C1176" s="7" t="n">
        <v>1</v>
      </c>
      <c r="D1176" s="7" t="n">
        <v>0.0053</v>
      </c>
      <c r="E1176" s="7" t="n">
        <v>0.0009</v>
      </c>
      <c r="F1176" s="8" t="inlineStr">
        <is>
          <t>Low</t>
        </is>
      </c>
      <c r="G1176" s="8" t="inlineStr">
        <is>
          <t>Low</t>
        </is>
      </c>
      <c r="H1176">
        <f>IF(F1176=G1176,"YES","NO")</f>
        <v/>
      </c>
    </row>
    <row r="1177">
      <c r="A1177" s="6" t="inlineStr">
        <is>
          <t>Keith Houser</t>
        </is>
      </c>
      <c r="B1177" s="7" t="n">
        <v>397</v>
      </c>
      <c r="C1177" s="7" t="n">
        <v>29</v>
      </c>
      <c r="D1177" s="7" t="n">
        <v>0.073</v>
      </c>
      <c r="E1177" s="7" t="n">
        <v>0.0513</v>
      </c>
      <c r="F1177" s="8" t="inlineStr">
        <is>
          <t>Low</t>
        </is>
      </c>
      <c r="G1177" s="8" t="inlineStr">
        <is>
          <t>Low</t>
        </is>
      </c>
      <c r="H1177">
        <f>IF(F1177=G1177,"YES","NO")</f>
        <v/>
      </c>
    </row>
    <row r="1178">
      <c r="A1178" s="6" t="inlineStr">
        <is>
          <t>Kelce Gold</t>
        </is>
      </c>
      <c r="B1178" s="7" t="n">
        <v>1</v>
      </c>
      <c r="C1178" s="7" t="n">
        <v>0</v>
      </c>
      <c r="D1178" s="7" t="n">
        <v>0</v>
      </c>
      <c r="E1178" s="7" t="n">
        <v>0</v>
      </c>
      <c r="F1178" s="8" t="inlineStr">
        <is>
          <t>Low</t>
        </is>
      </c>
      <c r="G1178" s="8" t="inlineStr">
        <is>
          <t>Low</t>
        </is>
      </c>
      <c r="H1178">
        <f>IF(F1178=G1178,"YES","NO")</f>
        <v/>
      </c>
    </row>
    <row r="1179">
      <c r="A1179" s="6" t="inlineStr">
        <is>
          <t>Kelsey Reyes</t>
        </is>
      </c>
      <c r="B1179" s="7" t="n">
        <v>2</v>
      </c>
      <c r="C1179" s="7" t="n">
        <v>0</v>
      </c>
      <c r="D1179" s="7" t="n">
        <v>0</v>
      </c>
      <c r="E1179" s="7" t="n">
        <v>0</v>
      </c>
      <c r="F1179" s="8" t="inlineStr">
        <is>
          <t>Low</t>
        </is>
      </c>
      <c r="G1179" s="8" t="inlineStr">
        <is>
          <t>Low</t>
        </is>
      </c>
      <c r="H1179">
        <f>IF(F1179=G1179,"YES","NO")</f>
        <v/>
      </c>
    </row>
    <row r="1180">
      <c r="A1180" s="6" t="inlineStr">
        <is>
          <t>Kelsey Ward</t>
        </is>
      </c>
      <c r="B1180" s="7" t="n">
        <v>6</v>
      </c>
      <c r="C1180" s="7" t="n">
        <v>0</v>
      </c>
      <c r="D1180" s="7" t="n">
        <v>0</v>
      </c>
      <c r="E1180" s="7" t="n">
        <v>0</v>
      </c>
      <c r="F1180" s="8" t="inlineStr">
        <is>
          <t>Low</t>
        </is>
      </c>
      <c r="G1180" s="8" t="inlineStr">
        <is>
          <t>Low</t>
        </is>
      </c>
      <c r="H1180">
        <f>IF(F1180=G1180,"YES","NO")</f>
        <v/>
      </c>
    </row>
    <row r="1181">
      <c r="A1181" s="6" t="inlineStr">
        <is>
          <t>Kelsi Strand</t>
        </is>
      </c>
      <c r="B1181" s="7" t="n">
        <v>181</v>
      </c>
      <c r="C1181" s="7" t="n">
        <v>3</v>
      </c>
      <c r="D1181" s="7" t="n">
        <v>0.0166</v>
      </c>
      <c r="E1181" s="7" t="n">
        <v>0.0057</v>
      </c>
      <c r="F1181" s="8" t="inlineStr">
        <is>
          <t>Low</t>
        </is>
      </c>
      <c r="G1181" s="8" t="inlineStr">
        <is>
          <t>Low</t>
        </is>
      </c>
      <c r="H1181">
        <f>IF(F1181=G1181,"YES","NO")</f>
        <v/>
      </c>
    </row>
    <row r="1182">
      <c r="A1182" s="6" t="inlineStr">
        <is>
          <t>Ken Hagler</t>
        </is>
      </c>
      <c r="B1182" s="7" t="n">
        <v>8</v>
      </c>
      <c r="C1182" s="7" t="n">
        <v>0</v>
      </c>
      <c r="D1182" s="7" t="n">
        <v>0</v>
      </c>
      <c r="E1182" s="7" t="n">
        <v>0</v>
      </c>
      <c r="F1182" s="8" t="inlineStr">
        <is>
          <t>Low</t>
        </is>
      </c>
      <c r="G1182" s="8" t="inlineStr">
        <is>
          <t>Low</t>
        </is>
      </c>
      <c r="H1182">
        <f>IF(F1182=G1182,"YES","NO")</f>
        <v/>
      </c>
    </row>
    <row r="1183">
      <c r="A1183" s="6" t="inlineStr">
        <is>
          <t>Kendra Beckman</t>
        </is>
      </c>
      <c r="B1183" s="7" t="n">
        <v>1</v>
      </c>
      <c r="C1183" s="7" t="n">
        <v>0</v>
      </c>
      <c r="D1183" s="7" t="n">
        <v>0</v>
      </c>
      <c r="E1183" s="7" t="n">
        <v>0</v>
      </c>
      <c r="F1183" s="8" t="inlineStr">
        <is>
          <t>Low</t>
        </is>
      </c>
      <c r="G1183" s="8" t="inlineStr">
        <is>
          <t>Low</t>
        </is>
      </c>
      <c r="H1183">
        <f>IF(F1183=G1183,"YES","NO")</f>
        <v/>
      </c>
    </row>
    <row r="1184">
      <c r="A1184" s="6" t="inlineStr">
        <is>
          <t>Kenneth Cole</t>
        </is>
      </c>
      <c r="B1184" s="7" t="n">
        <v>18</v>
      </c>
      <c r="C1184" s="7" t="n">
        <v>2</v>
      </c>
      <c r="D1184" s="7" t="n">
        <v>0.1111</v>
      </c>
      <c r="E1184" s="7" t="n">
        <v>0.031</v>
      </c>
      <c r="F1184" s="8" t="inlineStr">
        <is>
          <t>Low</t>
        </is>
      </c>
      <c r="G1184" s="8" t="inlineStr">
        <is>
          <t>Medium</t>
        </is>
      </c>
      <c r="H1184">
        <f>IF(F1184=G1184,"YES","NO")</f>
        <v/>
      </c>
    </row>
    <row r="1185">
      <c r="A1185" s="6" t="inlineStr">
        <is>
          <t>Kenneth Lee</t>
        </is>
      </c>
      <c r="B1185" s="7" t="n">
        <v>21</v>
      </c>
      <c r="C1185" s="7" t="n">
        <v>1</v>
      </c>
      <c r="D1185" s="7" t="n">
        <v>0.0476</v>
      </c>
      <c r="E1185" s="7" t="n">
        <v>0.008500000000000001</v>
      </c>
      <c r="F1185" s="8" t="inlineStr">
        <is>
          <t>Low</t>
        </is>
      </c>
      <c r="G1185" s="8" t="inlineStr">
        <is>
          <t>Low</t>
        </is>
      </c>
      <c r="H1185">
        <f>IF(F1185=G1185,"YES","NO")</f>
        <v/>
      </c>
    </row>
    <row r="1186">
      <c r="A1186" s="6" t="inlineStr">
        <is>
          <t>Kenneth Valle</t>
        </is>
      </c>
      <c r="B1186" s="7" t="n">
        <v>10</v>
      </c>
      <c r="C1186" s="7" t="n">
        <v>0</v>
      </c>
      <c r="D1186" s="7" t="n">
        <v>0</v>
      </c>
      <c r="E1186" s="7" t="n">
        <v>0</v>
      </c>
      <c r="F1186" s="8" t="inlineStr">
        <is>
          <t>Low</t>
        </is>
      </c>
      <c r="G1186" s="8" t="inlineStr">
        <is>
          <t>Low</t>
        </is>
      </c>
      <c r="H1186">
        <f>IF(F1186=G1186,"YES","NO")</f>
        <v/>
      </c>
    </row>
    <row r="1187">
      <c r="A1187" s="6" t="inlineStr">
        <is>
          <t>Kerry Wright</t>
        </is>
      </c>
      <c r="B1187" s="7" t="n">
        <v>11</v>
      </c>
      <c r="C1187" s="7" t="n">
        <v>0</v>
      </c>
      <c r="D1187" s="7" t="n">
        <v>0</v>
      </c>
      <c r="E1187" s="7" t="n">
        <v>0</v>
      </c>
      <c r="F1187" s="8" t="inlineStr">
        <is>
          <t>Low</t>
        </is>
      </c>
      <c r="G1187" s="8" t="inlineStr">
        <is>
          <t>Low</t>
        </is>
      </c>
      <c r="H1187">
        <f>IF(F1187=G1187,"YES","NO")</f>
        <v/>
      </c>
    </row>
    <row r="1188">
      <c r="A1188" s="6" t="inlineStr">
        <is>
          <t>Kevin Ashton</t>
        </is>
      </c>
      <c r="B1188" s="7" t="n">
        <v>191</v>
      </c>
      <c r="C1188" s="7" t="n">
        <v>3</v>
      </c>
      <c r="D1188" s="7" t="n">
        <v>0.0157</v>
      </c>
      <c r="E1188" s="7" t="n">
        <v>0.0054</v>
      </c>
      <c r="F1188" s="8" t="inlineStr">
        <is>
          <t>Low</t>
        </is>
      </c>
      <c r="G1188" s="8" t="inlineStr">
        <is>
          <t>Low</t>
        </is>
      </c>
      <c r="H1188">
        <f>IF(F1188=G1188,"YES","NO")</f>
        <v/>
      </c>
    </row>
    <row r="1189">
      <c r="A1189" s="6" t="inlineStr">
        <is>
          <t>Kevin Box</t>
        </is>
      </c>
      <c r="B1189" s="7" t="n">
        <v>34</v>
      </c>
      <c r="C1189" s="7" t="n">
        <v>0</v>
      </c>
      <c r="D1189" s="7" t="n">
        <v>0</v>
      </c>
      <c r="E1189" s="7" t="n">
        <v>0</v>
      </c>
      <c r="F1189" s="8" t="inlineStr">
        <is>
          <t>Low</t>
        </is>
      </c>
      <c r="G1189" s="8" t="inlineStr">
        <is>
          <t>Low</t>
        </is>
      </c>
      <c r="H1189">
        <f>IF(F1189=G1189,"YES","NO")</f>
        <v/>
      </c>
    </row>
    <row r="1190">
      <c r="A1190" s="6" t="inlineStr">
        <is>
          <t>Kevin Cardoza</t>
        </is>
      </c>
      <c r="B1190" s="7" t="n">
        <v>35</v>
      </c>
      <c r="C1190" s="7" t="n">
        <v>0</v>
      </c>
      <c r="D1190" s="7" t="n">
        <v>0</v>
      </c>
      <c r="E1190" s="7" t="n">
        <v>0</v>
      </c>
      <c r="F1190" s="8" t="inlineStr">
        <is>
          <t>Low</t>
        </is>
      </c>
      <c r="G1190" s="8" t="inlineStr">
        <is>
          <t>Low</t>
        </is>
      </c>
      <c r="H1190">
        <f>IF(F1190=G1190,"YES","NO")</f>
        <v/>
      </c>
    </row>
    <row r="1191">
      <c r="A1191" s="6" t="inlineStr">
        <is>
          <t>Kevin Gates</t>
        </is>
      </c>
      <c r="B1191" s="7" t="n">
        <v>78</v>
      </c>
      <c r="C1191" s="7" t="n">
        <v>0</v>
      </c>
      <c r="D1191" s="7" t="n">
        <v>0</v>
      </c>
      <c r="E1191" s="7" t="n">
        <v>0</v>
      </c>
      <c r="F1191" s="8" t="inlineStr">
        <is>
          <t>Low</t>
        </is>
      </c>
      <c r="G1191" s="8" t="inlineStr">
        <is>
          <t>Low</t>
        </is>
      </c>
      <c r="H1191">
        <f>IF(F1191=G1191,"YES","NO")</f>
        <v/>
      </c>
    </row>
    <row r="1192">
      <c r="A1192" s="6" t="inlineStr">
        <is>
          <t>Kevin Gittings</t>
        </is>
      </c>
      <c r="B1192" s="7" t="n">
        <v>36</v>
      </c>
      <c r="C1192" s="7" t="n">
        <v>0</v>
      </c>
      <c r="D1192" s="7" t="n">
        <v>0</v>
      </c>
      <c r="E1192" s="7" t="n">
        <v>0</v>
      </c>
      <c r="F1192" s="8" t="inlineStr">
        <is>
          <t>Low</t>
        </is>
      </c>
      <c r="G1192" s="8" t="inlineStr">
        <is>
          <t>Low</t>
        </is>
      </c>
      <c r="H1192">
        <f>IF(F1192=G1192,"YES","NO")</f>
        <v/>
      </c>
    </row>
    <row r="1193">
      <c r="A1193" s="6" t="inlineStr">
        <is>
          <t>Kevin Grossi</t>
        </is>
      </c>
      <c r="B1193" s="7" t="n">
        <v>100</v>
      </c>
      <c r="C1193" s="7" t="n">
        <v>9</v>
      </c>
      <c r="D1193" s="7" t="n">
        <v>0.09</v>
      </c>
      <c r="E1193" s="7" t="n">
        <v>0.0481</v>
      </c>
      <c r="F1193" s="8" t="inlineStr">
        <is>
          <t>Low</t>
        </is>
      </c>
      <c r="G1193" s="8" t="inlineStr">
        <is>
          <t>Low</t>
        </is>
      </c>
      <c r="H1193">
        <f>IF(F1193=G1193,"YES","NO")</f>
        <v/>
      </c>
    </row>
    <row r="1194">
      <c r="A1194" s="6" t="inlineStr">
        <is>
          <t>Kevin Hacker</t>
        </is>
      </c>
      <c r="B1194" s="7" t="n">
        <v>6</v>
      </c>
      <c r="C1194" s="7" t="n">
        <v>1</v>
      </c>
      <c r="D1194" s="7" t="n">
        <v>0.1667</v>
      </c>
      <c r="E1194" s="7" t="n">
        <v>0.0301</v>
      </c>
      <c r="F1194" s="8" t="inlineStr">
        <is>
          <t>Low</t>
        </is>
      </c>
      <c r="G1194" s="8" t="inlineStr">
        <is>
          <t>Low</t>
        </is>
      </c>
      <c r="H1194">
        <f>IF(F1194=G1194,"YES","NO")</f>
        <v/>
      </c>
    </row>
    <row r="1195">
      <c r="A1195" s="6" t="inlineStr">
        <is>
          <t>Kevin Jackson</t>
        </is>
      </c>
      <c r="B1195" s="7" t="n">
        <v>4</v>
      </c>
      <c r="C1195" s="7" t="n">
        <v>0</v>
      </c>
      <c r="D1195" s="7" t="n">
        <v>0</v>
      </c>
      <c r="E1195" s="7" t="n">
        <v>0</v>
      </c>
      <c r="F1195" s="8" t="inlineStr">
        <is>
          <t>Low</t>
        </is>
      </c>
      <c r="G1195" s="8" t="inlineStr">
        <is>
          <t>Low</t>
        </is>
      </c>
      <c r="H1195">
        <f>IF(F1195=G1195,"YES","NO")</f>
        <v/>
      </c>
    </row>
    <row r="1196">
      <c r="A1196" s="6" t="inlineStr">
        <is>
          <t>Kevin Kelliher</t>
        </is>
      </c>
      <c r="B1196" s="7" t="n">
        <v>76</v>
      </c>
      <c r="C1196" s="7" t="n">
        <v>10</v>
      </c>
      <c r="D1196" s="7" t="n">
        <v>0.1316</v>
      </c>
      <c r="E1196" s="7" t="n">
        <v>0.0731</v>
      </c>
      <c r="F1196" s="8" t="inlineStr">
        <is>
          <t>Low</t>
        </is>
      </c>
      <c r="G1196" s="8" t="inlineStr">
        <is>
          <t>Low</t>
        </is>
      </c>
      <c r="H1196">
        <f>IF(F1196=G1196,"YES","NO")</f>
        <v/>
      </c>
    </row>
    <row r="1197">
      <c r="A1197" s="6" t="inlineStr">
        <is>
          <t>Kevin Macy</t>
        </is>
      </c>
      <c r="B1197" s="7" t="n">
        <v>5</v>
      </c>
      <c r="C1197" s="7" t="n">
        <v>0</v>
      </c>
      <c r="D1197" s="7" t="n">
        <v>0</v>
      </c>
      <c r="E1197" s="7" t="n">
        <v>0</v>
      </c>
      <c r="F1197" s="8" t="inlineStr">
        <is>
          <t>Low</t>
        </is>
      </c>
      <c r="G1197" s="8" t="inlineStr">
        <is>
          <t>Low</t>
        </is>
      </c>
      <c r="H1197">
        <f>IF(F1197=G1197,"YES","NO")</f>
        <v/>
      </c>
    </row>
    <row r="1198">
      <c r="A1198" s="6" t="inlineStr">
        <is>
          <t>Kevin McKnight</t>
        </is>
      </c>
      <c r="B1198" s="7" t="n">
        <v>3</v>
      </c>
      <c r="C1198" s="7" t="n">
        <v>0</v>
      </c>
      <c r="D1198" s="7" t="n">
        <v>0</v>
      </c>
      <c r="E1198" s="7" t="n">
        <v>0</v>
      </c>
      <c r="F1198" s="8" t="inlineStr">
        <is>
          <t>Low</t>
        </is>
      </c>
      <c r="G1198" s="8" t="inlineStr">
        <is>
          <t>Low</t>
        </is>
      </c>
      <c r="H1198">
        <f>IF(F1198=G1198,"YES","NO")</f>
        <v/>
      </c>
    </row>
    <row r="1199">
      <c r="A1199" s="6" t="inlineStr">
        <is>
          <t>Kevin Miles</t>
        </is>
      </c>
      <c r="B1199" s="7" t="n">
        <v>7</v>
      </c>
      <c r="C1199" s="7" t="n">
        <v>0</v>
      </c>
      <c r="D1199" s="7" t="n">
        <v>0</v>
      </c>
      <c r="E1199" s="7" t="n">
        <v>0</v>
      </c>
      <c r="F1199" s="8" t="inlineStr">
        <is>
          <t>Low</t>
        </is>
      </c>
      <c r="G1199" s="8" t="inlineStr">
        <is>
          <t>Low</t>
        </is>
      </c>
      <c r="H1199">
        <f>IF(F1199=G1199,"YES","NO")</f>
        <v/>
      </c>
    </row>
    <row r="1200">
      <c r="A1200" s="6" t="inlineStr">
        <is>
          <t>Kevin O'Connor</t>
        </is>
      </c>
      <c r="B1200" s="7" t="n">
        <v>103</v>
      </c>
      <c r="C1200" s="7" t="n">
        <v>2</v>
      </c>
      <c r="D1200" s="7" t="n">
        <v>0.0194</v>
      </c>
      <c r="E1200" s="7" t="n">
        <v>0.0053</v>
      </c>
      <c r="F1200" s="8" t="inlineStr">
        <is>
          <t>Low</t>
        </is>
      </c>
      <c r="G1200" s="8" t="inlineStr">
        <is>
          <t>Low</t>
        </is>
      </c>
      <c r="H1200">
        <f>IF(F1200=G1200,"YES","NO")</f>
        <v/>
      </c>
    </row>
    <row r="1201">
      <c r="A1201" s="6" t="inlineStr">
        <is>
          <t>Kevin Olsen</t>
        </is>
      </c>
      <c r="B1201" s="7" t="n">
        <v>67</v>
      </c>
      <c r="C1201" s="7" t="n">
        <v>0</v>
      </c>
      <c r="D1201" s="7" t="n">
        <v>0</v>
      </c>
      <c r="E1201" s="7" t="n">
        <v>0</v>
      </c>
      <c r="F1201" s="8" t="inlineStr">
        <is>
          <t>Low</t>
        </is>
      </c>
      <c r="G1201" s="8" t="inlineStr">
        <is>
          <t>Low</t>
        </is>
      </c>
      <c r="H1201">
        <f>IF(F1201=G1201,"YES","NO")</f>
        <v/>
      </c>
    </row>
    <row r="1202">
      <c r="A1202" s="6" t="inlineStr">
        <is>
          <t>Kevin Simmons</t>
        </is>
      </c>
      <c r="B1202" s="7" t="n">
        <v>6</v>
      </c>
      <c r="C1202" s="7" t="n">
        <v>0</v>
      </c>
      <c r="D1202" s="7" t="n">
        <v>0</v>
      </c>
      <c r="E1202" s="7" t="n">
        <v>0</v>
      </c>
      <c r="F1202" s="8" t="inlineStr">
        <is>
          <t>Low</t>
        </is>
      </c>
      <c r="G1202" s="8" t="inlineStr">
        <is>
          <t>Low</t>
        </is>
      </c>
      <c r="H1202">
        <f>IF(F1202=G1202,"YES","NO")</f>
        <v/>
      </c>
    </row>
    <row r="1203">
      <c r="A1203" s="6" t="inlineStr">
        <is>
          <t>Kevin Smith</t>
        </is>
      </c>
      <c r="B1203" s="7" t="n">
        <v>24</v>
      </c>
      <c r="C1203" s="7" t="n">
        <v>0</v>
      </c>
      <c r="D1203" s="7" t="n">
        <v>0</v>
      </c>
      <c r="E1203" s="7" t="n">
        <v>0</v>
      </c>
      <c r="F1203" s="8" t="inlineStr">
        <is>
          <t>Low</t>
        </is>
      </c>
      <c r="G1203" s="8" t="inlineStr">
        <is>
          <t>Low</t>
        </is>
      </c>
      <c r="H1203">
        <f>IF(F1203=G1203,"YES","NO")</f>
        <v/>
      </c>
    </row>
    <row r="1204">
      <c r="A1204" s="6" t="inlineStr">
        <is>
          <t>Kim Girard</t>
        </is>
      </c>
      <c r="B1204" s="7" t="n">
        <v>5</v>
      </c>
      <c r="C1204" s="7" t="n">
        <v>0</v>
      </c>
      <c r="D1204" s="7" t="n">
        <v>0</v>
      </c>
      <c r="E1204" s="7" t="n">
        <v>0</v>
      </c>
      <c r="F1204" s="8" t="inlineStr">
        <is>
          <t>Low</t>
        </is>
      </c>
      <c r="G1204" s="8" t="inlineStr">
        <is>
          <t>High</t>
        </is>
      </c>
      <c r="H1204">
        <f>IF(F1204=G1204,"YES","NO")</f>
        <v/>
      </c>
    </row>
    <row r="1205">
      <c r="A1205" s="6" t="inlineStr">
        <is>
          <t>Kim Ronquillo</t>
        </is>
      </c>
      <c r="B1205" s="7" t="n">
        <v>52</v>
      </c>
      <c r="C1205" s="7" t="n">
        <v>1</v>
      </c>
      <c r="D1205" s="7" t="n">
        <v>0.0192</v>
      </c>
      <c r="E1205" s="7" t="n">
        <v>0.0034</v>
      </c>
      <c r="F1205" s="8" t="inlineStr">
        <is>
          <t>Low</t>
        </is>
      </c>
      <c r="G1205" s="8" t="inlineStr">
        <is>
          <t>Low</t>
        </is>
      </c>
      <c r="H1205">
        <f>IF(F1205=G1205,"YES","NO")</f>
        <v/>
      </c>
    </row>
    <row r="1206">
      <c r="A1206" s="6" t="inlineStr">
        <is>
          <t>Kim Savage</t>
        </is>
      </c>
      <c r="B1206" s="7" t="n">
        <v>37</v>
      </c>
      <c r="C1206" s="7" t="n">
        <v>3</v>
      </c>
      <c r="D1206" s="7" t="n">
        <v>0.08110000000000001</v>
      </c>
      <c r="E1206" s="7" t="n">
        <v>0.028</v>
      </c>
      <c r="F1206" s="8" t="inlineStr">
        <is>
          <t>Low</t>
        </is>
      </c>
      <c r="G1206" s="8" t="inlineStr">
        <is>
          <t>Low</t>
        </is>
      </c>
      <c r="H1206">
        <f>IF(F1206=G1206,"YES","NO")</f>
        <v/>
      </c>
    </row>
    <row r="1207">
      <c r="A1207" s="6" t="inlineStr">
        <is>
          <t>Kimberely Reynolds</t>
        </is>
      </c>
      <c r="B1207" s="7" t="n">
        <v>3</v>
      </c>
      <c r="C1207" s="7" t="n">
        <v>0</v>
      </c>
      <c r="D1207" s="7" t="n">
        <v>0</v>
      </c>
      <c r="E1207" s="7" t="n">
        <v>0</v>
      </c>
      <c r="F1207" s="8" t="inlineStr">
        <is>
          <t>Low</t>
        </is>
      </c>
      <c r="G1207" s="8" t="inlineStr">
        <is>
          <t>Low</t>
        </is>
      </c>
      <c r="H1207">
        <f>IF(F1207=G1207,"YES","NO")</f>
        <v/>
      </c>
    </row>
    <row r="1208">
      <c r="A1208" s="6" t="inlineStr">
        <is>
          <t>Kimberly Bledsoe</t>
        </is>
      </c>
      <c r="B1208" s="7" t="n">
        <v>12</v>
      </c>
      <c r="C1208" s="7" t="n">
        <v>1</v>
      </c>
      <c r="D1208" s="7" t="n">
        <v>0.0833</v>
      </c>
      <c r="E1208" s="7" t="n">
        <v>0.0149</v>
      </c>
      <c r="F1208" s="8" t="inlineStr">
        <is>
          <t>Low</t>
        </is>
      </c>
      <c r="G1208" s="8" t="inlineStr">
        <is>
          <t>Low</t>
        </is>
      </c>
      <c r="H1208">
        <f>IF(F1208=G1208,"YES","NO")</f>
        <v/>
      </c>
    </row>
    <row r="1209">
      <c r="A1209" s="6" t="inlineStr">
        <is>
          <t>Kimberly Martinez</t>
        </is>
      </c>
      <c r="B1209" s="7" t="n">
        <v>23</v>
      </c>
      <c r="C1209" s="7" t="n">
        <v>2</v>
      </c>
      <c r="D1209" s="7" t="n">
        <v>0.08699999999999999</v>
      </c>
      <c r="E1209" s="7" t="n">
        <v>0.0242</v>
      </c>
      <c r="F1209" s="8" t="inlineStr">
        <is>
          <t>Low</t>
        </is>
      </c>
      <c r="G1209" s="8" t="inlineStr">
        <is>
          <t>Low</t>
        </is>
      </c>
      <c r="H1209">
        <f>IF(F1209=G1209,"YES","NO")</f>
        <v/>
      </c>
    </row>
    <row r="1210">
      <c r="A1210" s="6" t="inlineStr">
        <is>
          <t>Kingsley  Nkwonta</t>
        </is>
      </c>
      <c r="B1210" s="7" t="n">
        <v>163</v>
      </c>
      <c r="C1210" s="7" t="n">
        <v>8</v>
      </c>
      <c r="D1210" s="7" t="n">
        <v>0.0491</v>
      </c>
      <c r="E1210" s="7" t="n">
        <v>0.0251</v>
      </c>
      <c r="F1210" s="8" t="inlineStr">
        <is>
          <t>Low</t>
        </is>
      </c>
      <c r="G1210" s="8" t="inlineStr">
        <is>
          <t>Low</t>
        </is>
      </c>
      <c r="H1210">
        <f>IF(F1210=G1210,"YES","NO")</f>
        <v/>
      </c>
    </row>
    <row r="1211">
      <c r="A1211" s="6" t="inlineStr">
        <is>
          <t>Kinney O'Connor</t>
        </is>
      </c>
      <c r="B1211" s="7" t="n">
        <v>10</v>
      </c>
      <c r="C1211" s="7" t="n">
        <v>0</v>
      </c>
      <c r="D1211" s="7" t="n">
        <v>0</v>
      </c>
      <c r="E1211" s="7" t="n">
        <v>0</v>
      </c>
      <c r="F1211" s="8" t="inlineStr">
        <is>
          <t>Low</t>
        </is>
      </c>
      <c r="G1211" s="8" t="inlineStr">
        <is>
          <t>Low</t>
        </is>
      </c>
      <c r="H1211">
        <f>IF(F1211=G1211,"YES","NO")</f>
        <v/>
      </c>
    </row>
    <row r="1212">
      <c r="A1212" s="6" t="inlineStr">
        <is>
          <t>Kip Hunter</t>
        </is>
      </c>
      <c r="B1212" s="7" t="n">
        <v>51</v>
      </c>
      <c r="C1212" s="7" t="n">
        <v>0</v>
      </c>
      <c r="D1212" s="7" t="n">
        <v>0</v>
      </c>
      <c r="E1212" s="7" t="n">
        <v>0</v>
      </c>
      <c r="F1212" s="8" t="inlineStr">
        <is>
          <t>Low</t>
        </is>
      </c>
      <c r="G1212" s="8" t="inlineStr">
        <is>
          <t>Low</t>
        </is>
      </c>
      <c r="H1212">
        <f>IF(F1212=G1212,"YES","NO")</f>
        <v/>
      </c>
    </row>
    <row r="1213">
      <c r="A1213" s="6" t="inlineStr">
        <is>
          <t>Klesti Brameta</t>
        </is>
      </c>
      <c r="B1213" s="7" t="n">
        <v>136</v>
      </c>
      <c r="C1213" s="7" t="n">
        <v>5</v>
      </c>
      <c r="D1213" s="7" t="n">
        <v>0.0368</v>
      </c>
      <c r="E1213" s="7" t="n">
        <v>0.0158</v>
      </c>
      <c r="F1213" s="8" t="inlineStr">
        <is>
          <t>Low</t>
        </is>
      </c>
      <c r="G1213" s="8" t="inlineStr">
        <is>
          <t>Low</t>
        </is>
      </c>
      <c r="H1213">
        <f>IF(F1213=G1213,"YES","NO")</f>
        <v/>
      </c>
    </row>
    <row r="1214">
      <c r="A1214" s="6" t="inlineStr">
        <is>
          <t>Klifton Scroggins</t>
        </is>
      </c>
      <c r="B1214" s="7" t="n">
        <v>2</v>
      </c>
      <c r="C1214" s="7" t="n">
        <v>0</v>
      </c>
      <c r="D1214" s="7" t="n">
        <v>0</v>
      </c>
      <c r="E1214" s="7" t="n">
        <v>0</v>
      </c>
      <c r="F1214" s="8" t="inlineStr">
        <is>
          <t>Low</t>
        </is>
      </c>
      <c r="G1214" s="8" t="inlineStr">
        <is>
          <t>Low</t>
        </is>
      </c>
      <c r="H1214">
        <f>IF(F1214=G1214,"YES","NO")</f>
        <v/>
      </c>
    </row>
    <row r="1215">
      <c r="A1215" s="6" t="inlineStr">
        <is>
          <t>Kody Smith</t>
        </is>
      </c>
      <c r="B1215" s="7" t="n">
        <v>272</v>
      </c>
      <c r="C1215" s="7" t="n">
        <v>38</v>
      </c>
      <c r="D1215" s="7" t="n">
        <v>0.1397</v>
      </c>
      <c r="E1215" s="7" t="n">
        <v>0.1035</v>
      </c>
      <c r="F1215" s="8" t="inlineStr">
        <is>
          <t>Low</t>
        </is>
      </c>
      <c r="G1215" s="8" t="inlineStr">
        <is>
          <t>Low</t>
        </is>
      </c>
      <c r="H1215">
        <f>IF(F1215=G1215,"YES","NO")</f>
        <v/>
      </c>
    </row>
    <row r="1216">
      <c r="A1216" s="6" t="inlineStr">
        <is>
          <t>Korey Philpot</t>
        </is>
      </c>
      <c r="B1216" s="7" t="n">
        <v>124</v>
      </c>
      <c r="C1216" s="7" t="n">
        <v>5</v>
      </c>
      <c r="D1216" s="7" t="n">
        <v>0.0403</v>
      </c>
      <c r="E1216" s="7" t="n">
        <v>0.0173</v>
      </c>
      <c r="F1216" s="8" t="inlineStr">
        <is>
          <t>Low</t>
        </is>
      </c>
      <c r="G1216" s="8" t="inlineStr">
        <is>
          <t>Low</t>
        </is>
      </c>
      <c r="H1216">
        <f>IF(F1216=G1216,"YES","NO")</f>
        <v/>
      </c>
    </row>
    <row r="1217">
      <c r="A1217" s="6" t="inlineStr">
        <is>
          <t>Krista Bukouras</t>
        </is>
      </c>
      <c r="B1217" s="7" t="n">
        <v>43</v>
      </c>
      <c r="C1217" s="7" t="n">
        <v>0</v>
      </c>
      <c r="D1217" s="7" t="n">
        <v>0</v>
      </c>
      <c r="E1217" s="7" t="n">
        <v>0</v>
      </c>
      <c r="F1217" s="8" t="inlineStr">
        <is>
          <t>Low</t>
        </is>
      </c>
      <c r="G1217" s="8" t="inlineStr">
        <is>
          <t>Low</t>
        </is>
      </c>
      <c r="H1217">
        <f>IF(F1217=G1217,"YES","NO")</f>
        <v/>
      </c>
    </row>
    <row r="1218">
      <c r="A1218" s="6" t="inlineStr">
        <is>
          <t>Kristen Reading</t>
        </is>
      </c>
      <c r="B1218" s="7" t="n">
        <v>6</v>
      </c>
      <c r="C1218" s="7" t="n">
        <v>0</v>
      </c>
      <c r="D1218" s="7" t="n">
        <v>0</v>
      </c>
      <c r="E1218" s="7" t="n">
        <v>0</v>
      </c>
      <c r="F1218" s="8" t="inlineStr">
        <is>
          <t>Low</t>
        </is>
      </c>
      <c r="G1218" s="8" t="inlineStr">
        <is>
          <t>Low</t>
        </is>
      </c>
      <c r="H1218">
        <f>IF(F1218=G1218,"YES","NO")</f>
        <v/>
      </c>
    </row>
    <row r="1219">
      <c r="A1219" s="6" t="inlineStr">
        <is>
          <t>Kristian Hernandez</t>
        </is>
      </c>
      <c r="B1219" s="7" t="n">
        <v>22</v>
      </c>
      <c r="C1219" s="7" t="n">
        <v>0</v>
      </c>
      <c r="D1219" s="7" t="n">
        <v>0</v>
      </c>
      <c r="E1219" s="7" t="n">
        <v>0</v>
      </c>
      <c r="F1219" s="8" t="inlineStr">
        <is>
          <t>Low</t>
        </is>
      </c>
      <c r="G1219" s="8" t="inlineStr">
        <is>
          <t>Low</t>
        </is>
      </c>
      <c r="H1219">
        <f>IF(F1219=G1219,"YES","NO")</f>
        <v/>
      </c>
    </row>
    <row r="1220">
      <c r="A1220" s="6" t="inlineStr">
        <is>
          <t>Kristin Claggett</t>
        </is>
      </c>
      <c r="B1220" s="7" t="n">
        <v>12</v>
      </c>
      <c r="C1220" s="7" t="n">
        <v>2</v>
      </c>
      <c r="D1220" s="7" t="n">
        <v>0.1667</v>
      </c>
      <c r="E1220" s="7" t="n">
        <v>0.047</v>
      </c>
      <c r="F1220" s="8" t="inlineStr">
        <is>
          <t>Low</t>
        </is>
      </c>
      <c r="G1220" s="8" t="inlineStr">
        <is>
          <t>Medium</t>
        </is>
      </c>
      <c r="H1220">
        <f>IF(F1220=G1220,"YES","NO")</f>
        <v/>
      </c>
    </row>
    <row r="1221">
      <c r="A1221" s="6" t="inlineStr">
        <is>
          <t>Kristin Puckett</t>
        </is>
      </c>
      <c r="B1221" s="7" t="n">
        <v>33</v>
      </c>
      <c r="C1221" s="7" t="n">
        <v>1</v>
      </c>
      <c r="D1221" s="7" t="n">
        <v>0.0303</v>
      </c>
      <c r="E1221" s="7" t="n">
        <v>0.0054</v>
      </c>
      <c r="F1221" s="8" t="inlineStr">
        <is>
          <t>Low</t>
        </is>
      </c>
      <c r="G1221" s="8" t="inlineStr">
        <is>
          <t>Low</t>
        </is>
      </c>
      <c r="H1221">
        <f>IF(F1221=G1221,"YES","NO")</f>
        <v/>
      </c>
    </row>
    <row r="1222">
      <c r="A1222" s="6" t="inlineStr">
        <is>
          <t>Kristina Prichard</t>
        </is>
      </c>
      <c r="B1222" s="7" t="n">
        <v>68</v>
      </c>
      <c r="C1222" s="7" t="n">
        <v>2</v>
      </c>
      <c r="D1222" s="7" t="n">
        <v>0.0294</v>
      </c>
      <c r="E1222" s="7" t="n">
        <v>0.0081</v>
      </c>
      <c r="F1222" s="8" t="inlineStr">
        <is>
          <t>Low</t>
        </is>
      </c>
      <c r="G1222" s="8" t="inlineStr">
        <is>
          <t>Medium</t>
        </is>
      </c>
      <c r="H1222">
        <f>IF(F1222=G1222,"YES","NO")</f>
        <v/>
      </c>
    </row>
    <row r="1223">
      <c r="A1223" s="6" t="inlineStr">
        <is>
          <t>Kristyn Foskett</t>
        </is>
      </c>
      <c r="B1223" s="7" t="n">
        <v>2</v>
      </c>
      <c r="C1223" s="7" t="n">
        <v>0</v>
      </c>
      <c r="D1223" s="7" t="n">
        <v>0</v>
      </c>
      <c r="E1223" s="7" t="n">
        <v>0</v>
      </c>
      <c r="F1223" s="8" t="inlineStr">
        <is>
          <t>Low</t>
        </is>
      </c>
      <c r="G1223" s="8" t="inlineStr">
        <is>
          <t>Low</t>
        </is>
      </c>
      <c r="H1223">
        <f>IF(F1223=G1223,"YES","NO")</f>
        <v/>
      </c>
    </row>
    <row r="1224">
      <c r="A1224" s="6" t="inlineStr">
        <is>
          <t>Kristynn Schiller</t>
        </is>
      </c>
      <c r="B1224" s="7" t="n">
        <v>21</v>
      </c>
      <c r="C1224" s="7" t="n">
        <v>0</v>
      </c>
      <c r="D1224" s="7" t="n">
        <v>0</v>
      </c>
      <c r="E1224" s="7" t="n">
        <v>0</v>
      </c>
      <c r="F1224" s="8" t="inlineStr">
        <is>
          <t>Low</t>
        </is>
      </c>
      <c r="G1224" s="8" t="inlineStr">
        <is>
          <t>Low</t>
        </is>
      </c>
      <c r="H1224">
        <f>IF(F1224=G1224,"YES","NO")</f>
        <v/>
      </c>
    </row>
    <row r="1225">
      <c r="A1225" s="6" t="inlineStr">
        <is>
          <t>Krystian Michalak</t>
        </is>
      </c>
      <c r="B1225" s="7" t="n">
        <v>2</v>
      </c>
      <c r="C1225" s="7" t="n">
        <v>0</v>
      </c>
      <c r="D1225" s="7" t="n">
        <v>0</v>
      </c>
      <c r="E1225" s="7" t="n">
        <v>0</v>
      </c>
      <c r="F1225" s="8" t="inlineStr">
        <is>
          <t>Low</t>
        </is>
      </c>
      <c r="G1225" s="8" t="inlineStr">
        <is>
          <t>High</t>
        </is>
      </c>
      <c r="H1225">
        <f>IF(F1225=G1225,"YES","NO")</f>
        <v/>
      </c>
    </row>
    <row r="1226">
      <c r="A1226" s="6" t="inlineStr">
        <is>
          <t>Kupono Hong</t>
        </is>
      </c>
      <c r="B1226" s="7" t="n">
        <v>207</v>
      </c>
      <c r="C1226" s="7" t="n">
        <v>20</v>
      </c>
      <c r="D1226" s="7" t="n">
        <v>0.09660000000000001</v>
      </c>
      <c r="E1226" s="7" t="n">
        <v>0.0634</v>
      </c>
      <c r="F1226" s="8" t="inlineStr">
        <is>
          <t>Low</t>
        </is>
      </c>
      <c r="G1226" s="8" t="inlineStr">
        <is>
          <t>Low</t>
        </is>
      </c>
      <c r="H1226">
        <f>IF(F1226=G1226,"YES","NO")</f>
        <v/>
      </c>
    </row>
    <row r="1227">
      <c r="A1227" s="6" t="inlineStr">
        <is>
          <t>Kyle Blackburn</t>
        </is>
      </c>
      <c r="B1227" s="7" t="n">
        <v>5</v>
      </c>
      <c r="C1227" s="7" t="n">
        <v>0</v>
      </c>
      <c r="D1227" s="7" t="n">
        <v>0</v>
      </c>
      <c r="E1227" s="7" t="n">
        <v>0</v>
      </c>
      <c r="F1227" s="8" t="inlineStr">
        <is>
          <t>Low</t>
        </is>
      </c>
      <c r="G1227" s="8" t="inlineStr">
        <is>
          <t>Low</t>
        </is>
      </c>
      <c r="H1227">
        <f>IF(F1227=G1227,"YES","NO")</f>
        <v/>
      </c>
    </row>
    <row r="1228">
      <c r="A1228" s="6" t="inlineStr">
        <is>
          <t>Kyle Courtright</t>
        </is>
      </c>
      <c r="B1228" s="7" t="n">
        <v>441</v>
      </c>
      <c r="C1228" s="7" t="n">
        <v>24</v>
      </c>
      <c r="D1228" s="7" t="n">
        <v>0.0544</v>
      </c>
      <c r="E1228" s="7" t="n">
        <v>0.0368</v>
      </c>
      <c r="F1228" s="8" t="inlineStr">
        <is>
          <t>Low</t>
        </is>
      </c>
      <c r="G1228" s="8" t="inlineStr">
        <is>
          <t>Low</t>
        </is>
      </c>
      <c r="H1228">
        <f>IF(F1228=G1228,"YES","NO")</f>
        <v/>
      </c>
    </row>
    <row r="1229">
      <c r="A1229" s="6" t="inlineStr">
        <is>
          <t>Kyle Drummond</t>
        </is>
      </c>
      <c r="B1229" s="7" t="n">
        <v>8</v>
      </c>
      <c r="C1229" s="7" t="n">
        <v>0</v>
      </c>
      <c r="D1229" s="7" t="n">
        <v>0</v>
      </c>
      <c r="E1229" s="7" t="n">
        <v>0</v>
      </c>
      <c r="F1229" s="8" t="inlineStr">
        <is>
          <t>Low</t>
        </is>
      </c>
      <c r="G1229" s="8" t="inlineStr">
        <is>
          <t>Low</t>
        </is>
      </c>
      <c r="H1229">
        <f>IF(F1229=G1229,"YES","NO")</f>
        <v/>
      </c>
    </row>
    <row r="1230">
      <c r="A1230" s="6" t="inlineStr">
        <is>
          <t>Kyle Hamstreet</t>
        </is>
      </c>
      <c r="B1230" s="7" t="n">
        <v>137</v>
      </c>
      <c r="C1230" s="7" t="n">
        <v>0</v>
      </c>
      <c r="D1230" s="7" t="n">
        <v>0</v>
      </c>
      <c r="E1230" s="7" t="n">
        <v>0</v>
      </c>
      <c r="F1230" s="8" t="inlineStr">
        <is>
          <t>Low</t>
        </is>
      </c>
      <c r="G1230" s="8" t="inlineStr">
        <is>
          <t>Low</t>
        </is>
      </c>
      <c r="H1230">
        <f>IF(F1230=G1230,"YES","NO")</f>
        <v/>
      </c>
    </row>
    <row r="1231">
      <c r="A1231" s="6" t="inlineStr">
        <is>
          <t>Kyle Johnson</t>
        </is>
      </c>
      <c r="B1231" s="7" t="n">
        <v>2</v>
      </c>
      <c r="C1231" s="7" t="n">
        <v>0</v>
      </c>
      <c r="D1231" s="7" t="n">
        <v>0</v>
      </c>
      <c r="E1231" s="7" t="n">
        <v>0</v>
      </c>
      <c r="F1231" s="8" t="inlineStr">
        <is>
          <t>Low</t>
        </is>
      </c>
      <c r="G1231" s="8" t="inlineStr">
        <is>
          <t>Low</t>
        </is>
      </c>
      <c r="H1231">
        <f>IF(F1231=G1231,"YES","NO")</f>
        <v/>
      </c>
    </row>
    <row r="1232">
      <c r="A1232" s="6" t="inlineStr">
        <is>
          <t>Kyle Kuhr</t>
        </is>
      </c>
      <c r="B1232" s="7" t="n">
        <v>101</v>
      </c>
      <c r="C1232" s="7" t="n">
        <v>2</v>
      </c>
      <c r="D1232" s="7" t="n">
        <v>0.0198</v>
      </c>
      <c r="E1232" s="7" t="n">
        <v>0.0054</v>
      </c>
      <c r="F1232" s="8" t="inlineStr">
        <is>
          <t>Low</t>
        </is>
      </c>
      <c r="G1232" s="8" t="inlineStr">
        <is>
          <t>Low</t>
        </is>
      </c>
      <c r="H1232">
        <f>IF(F1232=G1232,"YES","NO")</f>
        <v/>
      </c>
    </row>
    <row r="1233">
      <c r="A1233" s="6" t="inlineStr">
        <is>
          <t>Kyle O'Mara</t>
        </is>
      </c>
      <c r="B1233" s="7" t="n">
        <v>12</v>
      </c>
      <c r="C1233" s="7" t="n">
        <v>0</v>
      </c>
      <c r="D1233" s="7" t="n">
        <v>0</v>
      </c>
      <c r="E1233" s="7" t="n">
        <v>0</v>
      </c>
      <c r="F1233" s="8" t="inlineStr">
        <is>
          <t>Low</t>
        </is>
      </c>
      <c r="G1233" s="8" t="inlineStr">
        <is>
          <t>Low</t>
        </is>
      </c>
      <c r="H1233">
        <f>IF(F1233=G1233,"YES","NO")</f>
        <v/>
      </c>
    </row>
    <row r="1234">
      <c r="A1234" s="6" t="inlineStr">
        <is>
          <t>Kyle Pedersen</t>
        </is>
      </c>
      <c r="B1234" s="7" t="n">
        <v>5</v>
      </c>
      <c r="C1234" s="7" t="n">
        <v>1</v>
      </c>
      <c r="D1234" s="7" t="n">
        <v>0.2</v>
      </c>
      <c r="E1234" s="7" t="n">
        <v>0.0362</v>
      </c>
      <c r="F1234" s="8" t="inlineStr">
        <is>
          <t>Low</t>
        </is>
      </c>
      <c r="G1234" s="8" t="inlineStr">
        <is>
          <t>Low</t>
        </is>
      </c>
      <c r="H1234">
        <f>IF(F1234=G1234,"YES","NO")</f>
        <v/>
      </c>
    </row>
    <row r="1235">
      <c r="A1235" s="6" t="inlineStr">
        <is>
          <t>Kyle Pritchett</t>
        </is>
      </c>
      <c r="B1235" s="7" t="n">
        <v>10</v>
      </c>
      <c r="C1235" s="7" t="n">
        <v>0</v>
      </c>
      <c r="D1235" s="7" t="n">
        <v>0</v>
      </c>
      <c r="E1235" s="7" t="n">
        <v>0</v>
      </c>
      <c r="F1235" s="8" t="inlineStr">
        <is>
          <t>Low</t>
        </is>
      </c>
      <c r="G1235" s="8" t="inlineStr">
        <is>
          <t>Low</t>
        </is>
      </c>
      <c r="H1235">
        <f>IF(F1235=G1235,"YES","NO")</f>
        <v/>
      </c>
    </row>
    <row r="1236">
      <c r="A1236" s="6" t="inlineStr">
        <is>
          <t>Kyle Seward</t>
        </is>
      </c>
      <c r="B1236" s="7" t="n">
        <v>1</v>
      </c>
      <c r="C1236" s="7" t="n">
        <v>0</v>
      </c>
      <c r="D1236" s="7" t="n">
        <v>0</v>
      </c>
      <c r="E1236" s="7" t="n">
        <v>0</v>
      </c>
      <c r="F1236" s="8" t="inlineStr">
        <is>
          <t>Low</t>
        </is>
      </c>
      <c r="G1236" s="8" t="inlineStr">
        <is>
          <t>Low</t>
        </is>
      </c>
      <c r="H1236">
        <f>IF(F1236=G1236,"YES","NO")</f>
        <v/>
      </c>
    </row>
    <row r="1237">
      <c r="A1237" s="6" t="inlineStr">
        <is>
          <t>Kyle Shepherd</t>
        </is>
      </c>
      <c r="B1237" s="7" t="n">
        <v>15</v>
      </c>
      <c r="C1237" s="7" t="n">
        <v>2</v>
      </c>
      <c r="D1237" s="7" t="n">
        <v>0.1333</v>
      </c>
      <c r="E1237" s="7" t="n">
        <v>0.0374</v>
      </c>
      <c r="F1237" s="8" t="inlineStr">
        <is>
          <t>Low</t>
        </is>
      </c>
      <c r="G1237" s="8" t="inlineStr">
        <is>
          <t>Low</t>
        </is>
      </c>
      <c r="H1237">
        <f>IF(F1237=G1237,"YES","NO")</f>
        <v/>
      </c>
    </row>
    <row r="1238">
      <c r="A1238" s="6" t="inlineStr">
        <is>
          <t>Kylie Johns</t>
        </is>
      </c>
      <c r="B1238" s="7" t="n">
        <v>130</v>
      </c>
      <c r="C1238" s="7" t="n">
        <v>1</v>
      </c>
      <c r="D1238" s="7" t="n">
        <v>0.0077</v>
      </c>
      <c r="E1238" s="7" t="n">
        <v>0.0014</v>
      </c>
      <c r="F1238" s="8" t="inlineStr">
        <is>
          <t>Low</t>
        </is>
      </c>
      <c r="G1238" s="8" t="inlineStr">
        <is>
          <t>Low</t>
        </is>
      </c>
      <c r="H1238">
        <f>IF(F1238=G1238,"YES","NO")</f>
        <v/>
      </c>
    </row>
    <row r="1239">
      <c r="A1239" s="6" t="inlineStr">
        <is>
          <t>Kylie Sheppard</t>
        </is>
      </c>
      <c r="B1239" s="7" t="n">
        <v>50</v>
      </c>
      <c r="C1239" s="7" t="n">
        <v>2</v>
      </c>
      <c r="D1239" s="7" t="n">
        <v>0.04</v>
      </c>
      <c r="E1239" s="7" t="n">
        <v>0.011</v>
      </c>
      <c r="F1239" s="8" t="inlineStr">
        <is>
          <t>Low</t>
        </is>
      </c>
      <c r="G1239" s="8" t="inlineStr">
        <is>
          <t>Low</t>
        </is>
      </c>
      <c r="H1239">
        <f>IF(F1239=G1239,"YES","NO")</f>
        <v/>
      </c>
    </row>
    <row r="1240">
      <c r="A1240" s="6" t="inlineStr">
        <is>
          <t>LYNDA GRISEZ-PWARK</t>
        </is>
      </c>
      <c r="B1240" s="7" t="n">
        <v>75</v>
      </c>
      <c r="C1240" s="7" t="n">
        <v>2</v>
      </c>
      <c r="D1240" s="7" t="n">
        <v>0.0267</v>
      </c>
      <c r="E1240" s="7" t="n">
        <v>0.0073</v>
      </c>
      <c r="F1240" s="8" t="inlineStr">
        <is>
          <t>Low</t>
        </is>
      </c>
      <c r="G1240" s="8" t="inlineStr">
        <is>
          <t>Low</t>
        </is>
      </c>
      <c r="H1240">
        <f>IF(F1240=G1240,"YES","NO")</f>
        <v/>
      </c>
    </row>
    <row r="1241">
      <c r="A1241" s="6" t="inlineStr">
        <is>
          <t>Lacey Ahrens</t>
        </is>
      </c>
      <c r="B1241" s="7" t="n">
        <v>18</v>
      </c>
      <c r="C1241" s="7" t="n">
        <v>1</v>
      </c>
      <c r="D1241" s="7" t="n">
        <v>0.0556</v>
      </c>
      <c r="E1241" s="7" t="n">
        <v>0.009900000000000001</v>
      </c>
      <c r="F1241" s="8" t="inlineStr">
        <is>
          <t>Low</t>
        </is>
      </c>
      <c r="G1241" s="8" t="inlineStr">
        <is>
          <t>Low</t>
        </is>
      </c>
      <c r="H1241">
        <f>IF(F1241=G1241,"YES","NO")</f>
        <v/>
      </c>
    </row>
    <row r="1242">
      <c r="A1242" s="6" t="inlineStr">
        <is>
          <t>Lance  Ireland</t>
        </is>
      </c>
      <c r="B1242" s="7" t="n">
        <v>147</v>
      </c>
      <c r="C1242" s="7" t="n">
        <v>8</v>
      </c>
      <c r="D1242" s="7" t="n">
        <v>0.0544</v>
      </c>
      <c r="E1242" s="7" t="n">
        <v>0.0278</v>
      </c>
      <c r="F1242" s="8" t="inlineStr">
        <is>
          <t>Low</t>
        </is>
      </c>
      <c r="G1242" s="8" t="inlineStr">
        <is>
          <t>Low</t>
        </is>
      </c>
      <c r="H1242">
        <f>IF(F1242=G1242,"YES","NO")</f>
        <v/>
      </c>
    </row>
    <row r="1243">
      <c r="A1243" s="6" t="inlineStr">
        <is>
          <t>Lance  Ziesemer</t>
        </is>
      </c>
      <c r="B1243" s="7" t="n">
        <v>34</v>
      </c>
      <c r="C1243" s="7" t="n">
        <v>0</v>
      </c>
      <c r="D1243" s="7" t="n">
        <v>0</v>
      </c>
      <c r="E1243" s="7" t="n">
        <v>0</v>
      </c>
      <c r="F1243" s="8" t="inlineStr">
        <is>
          <t>Low</t>
        </is>
      </c>
      <c r="G1243" s="8" t="inlineStr">
        <is>
          <t>Low</t>
        </is>
      </c>
      <c r="H1243">
        <f>IF(F1243=G1243,"YES","NO")</f>
        <v/>
      </c>
    </row>
    <row r="1244">
      <c r="A1244" s="6" t="inlineStr">
        <is>
          <t>Lance Jacklich</t>
        </is>
      </c>
      <c r="B1244" s="7" t="n">
        <v>2</v>
      </c>
      <c r="C1244" s="7" t="n">
        <v>0</v>
      </c>
      <c r="D1244" s="7" t="n">
        <v>0</v>
      </c>
      <c r="E1244" s="7" t="n">
        <v>0</v>
      </c>
      <c r="F1244" s="8" t="inlineStr">
        <is>
          <t>Low</t>
        </is>
      </c>
      <c r="G1244" s="8" t="inlineStr">
        <is>
          <t>High</t>
        </is>
      </c>
      <c r="H1244">
        <f>IF(F1244=G1244,"YES","NO")</f>
        <v/>
      </c>
    </row>
    <row r="1245">
      <c r="A1245" s="6" t="inlineStr">
        <is>
          <t>Lance Landin</t>
        </is>
      </c>
      <c r="B1245" s="7" t="n">
        <v>3</v>
      </c>
      <c r="C1245" s="7" t="n">
        <v>0</v>
      </c>
      <c r="D1245" s="7" t="n">
        <v>0</v>
      </c>
      <c r="E1245" s="7" t="n">
        <v>0</v>
      </c>
      <c r="F1245" s="8" t="inlineStr">
        <is>
          <t>Low</t>
        </is>
      </c>
      <c r="G1245" s="8" t="inlineStr">
        <is>
          <t>Low</t>
        </is>
      </c>
      <c r="H1245">
        <f>IF(F1245=G1245,"YES","NO")</f>
        <v/>
      </c>
    </row>
    <row r="1246">
      <c r="A1246" s="6" t="inlineStr">
        <is>
          <t>Lane Kokoruda</t>
        </is>
      </c>
      <c r="B1246" s="7" t="n">
        <v>23</v>
      </c>
      <c r="C1246" s="7" t="n">
        <v>4</v>
      </c>
      <c r="D1246" s="7" t="n">
        <v>0.1739</v>
      </c>
      <c r="E1246" s="7" t="n">
        <v>0.0698</v>
      </c>
      <c r="F1246" s="8" t="inlineStr">
        <is>
          <t>Low</t>
        </is>
      </c>
      <c r="G1246" s="8" t="inlineStr">
        <is>
          <t>Low</t>
        </is>
      </c>
      <c r="H1246">
        <f>IF(F1246=G1246,"YES","NO")</f>
        <v/>
      </c>
    </row>
    <row r="1247">
      <c r="A1247" s="6" t="inlineStr">
        <is>
          <t>Larry  Cendejas</t>
        </is>
      </c>
      <c r="B1247" s="7" t="n">
        <v>80</v>
      </c>
      <c r="C1247" s="7" t="n">
        <v>4</v>
      </c>
      <c r="D1247" s="7" t="n">
        <v>0.05</v>
      </c>
      <c r="E1247" s="7" t="n">
        <v>0.0196</v>
      </c>
      <c r="F1247" s="8" t="inlineStr">
        <is>
          <t>Low</t>
        </is>
      </c>
      <c r="G1247" s="8" t="inlineStr">
        <is>
          <t>Low</t>
        </is>
      </c>
      <c r="H1247">
        <f>IF(F1247=G1247,"YES","NO")</f>
        <v/>
      </c>
    </row>
    <row r="1248">
      <c r="A1248" s="6" t="inlineStr">
        <is>
          <t>Larry Henderson</t>
        </is>
      </c>
      <c r="B1248" s="7" t="n">
        <v>74</v>
      </c>
      <c r="C1248" s="7" t="n">
        <v>0</v>
      </c>
      <c r="D1248" s="7" t="n">
        <v>0</v>
      </c>
      <c r="E1248" s="7" t="n">
        <v>0</v>
      </c>
      <c r="F1248" s="8" t="inlineStr">
        <is>
          <t>Low</t>
        </is>
      </c>
      <c r="G1248" s="8" t="inlineStr">
        <is>
          <t>Low</t>
        </is>
      </c>
      <c r="H1248">
        <f>IF(F1248=G1248,"YES","NO")</f>
        <v/>
      </c>
    </row>
    <row r="1249">
      <c r="A1249" s="6" t="inlineStr">
        <is>
          <t>Laura Morris</t>
        </is>
      </c>
      <c r="B1249" s="7" t="n">
        <v>52</v>
      </c>
      <c r="C1249" s="7" t="n">
        <v>0</v>
      </c>
      <c r="D1249" s="7" t="n">
        <v>0</v>
      </c>
      <c r="E1249" s="7" t="n">
        <v>0</v>
      </c>
      <c r="F1249" s="8" t="inlineStr">
        <is>
          <t>Low</t>
        </is>
      </c>
      <c r="G1249" s="8" t="inlineStr">
        <is>
          <t>Low</t>
        </is>
      </c>
      <c r="H1249">
        <f>IF(F1249=G1249,"YES","NO")</f>
        <v/>
      </c>
    </row>
    <row r="1250">
      <c r="A1250" s="6" t="inlineStr">
        <is>
          <t>Laura Palmer</t>
        </is>
      </c>
      <c r="B1250" s="7" t="n">
        <v>24</v>
      </c>
      <c r="C1250" s="7" t="n">
        <v>0</v>
      </c>
      <c r="D1250" s="7" t="n">
        <v>0</v>
      </c>
      <c r="E1250" s="7" t="n">
        <v>0</v>
      </c>
      <c r="F1250" s="8" t="inlineStr">
        <is>
          <t>Low</t>
        </is>
      </c>
      <c r="G1250" s="8" t="inlineStr">
        <is>
          <t>Low</t>
        </is>
      </c>
      <c r="H1250">
        <f>IF(F1250=G1250,"YES","NO")</f>
        <v/>
      </c>
    </row>
    <row r="1251">
      <c r="A1251" s="6" t="inlineStr">
        <is>
          <t>Laura Woodard</t>
        </is>
      </c>
      <c r="B1251" s="7" t="n">
        <v>9</v>
      </c>
      <c r="C1251" s="7" t="n">
        <v>0</v>
      </c>
      <c r="D1251" s="7" t="n">
        <v>0</v>
      </c>
      <c r="E1251" s="7" t="n">
        <v>0</v>
      </c>
      <c r="F1251" s="8" t="inlineStr">
        <is>
          <t>Low</t>
        </is>
      </c>
      <c r="G1251" s="8" t="inlineStr">
        <is>
          <t>Low</t>
        </is>
      </c>
      <c r="H1251">
        <f>IF(F1251=G1251,"YES","NO")</f>
        <v/>
      </c>
    </row>
    <row r="1252">
      <c r="A1252" s="6" t="inlineStr">
        <is>
          <t>Lauren Haga</t>
        </is>
      </c>
      <c r="B1252" s="7" t="n">
        <v>8</v>
      </c>
      <c r="C1252" s="7" t="n">
        <v>0</v>
      </c>
      <c r="D1252" s="7" t="n">
        <v>0</v>
      </c>
      <c r="E1252" s="7" t="n">
        <v>0</v>
      </c>
      <c r="F1252" s="8" t="inlineStr">
        <is>
          <t>Low</t>
        </is>
      </c>
      <c r="G1252" s="8" t="inlineStr">
        <is>
          <t>Low</t>
        </is>
      </c>
      <c r="H1252">
        <f>IF(F1252=G1252,"YES","NO")</f>
        <v/>
      </c>
    </row>
    <row r="1253">
      <c r="A1253" s="6" t="inlineStr">
        <is>
          <t>Lauren Hanna</t>
        </is>
      </c>
      <c r="B1253" s="7" t="n">
        <v>16</v>
      </c>
      <c r="C1253" s="7" t="n">
        <v>1</v>
      </c>
      <c r="D1253" s="7" t="n">
        <v>0.0625</v>
      </c>
      <c r="E1253" s="7" t="n">
        <v>0.0111</v>
      </c>
      <c r="F1253" s="8" t="inlineStr">
        <is>
          <t>Low</t>
        </is>
      </c>
      <c r="G1253" s="8" t="inlineStr">
        <is>
          <t>Low</t>
        </is>
      </c>
      <c r="H1253">
        <f>IF(F1253=G1253,"YES","NO")</f>
        <v/>
      </c>
    </row>
    <row r="1254">
      <c r="A1254" s="6" t="inlineStr">
        <is>
          <t>Lauren Herold</t>
        </is>
      </c>
      <c r="B1254" s="7" t="n">
        <v>5</v>
      </c>
      <c r="C1254" s="7" t="n">
        <v>0</v>
      </c>
      <c r="D1254" s="7" t="n">
        <v>0</v>
      </c>
      <c r="E1254" s="7" t="n">
        <v>0</v>
      </c>
      <c r="F1254" s="8" t="inlineStr">
        <is>
          <t>Low</t>
        </is>
      </c>
      <c r="G1254" s="8" t="inlineStr">
        <is>
          <t>Low</t>
        </is>
      </c>
      <c r="H1254">
        <f>IF(F1254=G1254,"YES","NO")</f>
        <v/>
      </c>
    </row>
    <row r="1255">
      <c r="A1255" s="6" t="inlineStr">
        <is>
          <t>Lauren Moore</t>
        </is>
      </c>
      <c r="B1255" s="7" t="n">
        <v>58</v>
      </c>
      <c r="C1255" s="7" t="n">
        <v>0</v>
      </c>
      <c r="D1255" s="7" t="n">
        <v>0</v>
      </c>
      <c r="E1255" s="7" t="n">
        <v>0</v>
      </c>
      <c r="F1255" s="8" t="inlineStr">
        <is>
          <t>Low</t>
        </is>
      </c>
      <c r="G1255" s="8" t="inlineStr">
        <is>
          <t>Low</t>
        </is>
      </c>
      <c r="H1255">
        <f>IF(F1255=G1255,"YES","NO")</f>
        <v/>
      </c>
    </row>
    <row r="1256">
      <c r="A1256" s="6" t="inlineStr">
        <is>
          <t>Lauren Tulba</t>
        </is>
      </c>
      <c r="B1256" s="7" t="n">
        <v>113</v>
      </c>
      <c r="C1256" s="7" t="n">
        <v>0</v>
      </c>
      <c r="D1256" s="7" t="n">
        <v>0</v>
      </c>
      <c r="E1256" s="7" t="n">
        <v>0</v>
      </c>
      <c r="F1256" s="8" t="inlineStr">
        <is>
          <t>Low</t>
        </is>
      </c>
      <c r="G1256" s="8" t="inlineStr">
        <is>
          <t>Low</t>
        </is>
      </c>
      <c r="H1256">
        <f>IF(F1256=G1256,"YES","NO")</f>
        <v/>
      </c>
    </row>
    <row r="1257">
      <c r="A1257" s="6" t="inlineStr">
        <is>
          <t>Lauren Vance</t>
        </is>
      </c>
      <c r="B1257" s="7" t="n">
        <v>14</v>
      </c>
      <c r="C1257" s="7" t="n">
        <v>0</v>
      </c>
      <c r="D1257" s="7" t="n">
        <v>0</v>
      </c>
      <c r="E1257" s="7" t="n">
        <v>0</v>
      </c>
      <c r="F1257" s="8" t="inlineStr">
        <is>
          <t>Low</t>
        </is>
      </c>
      <c r="G1257" s="8" t="inlineStr">
        <is>
          <t>Low</t>
        </is>
      </c>
      <c r="H1257">
        <f>IF(F1257=G1257,"YES","NO")</f>
        <v/>
      </c>
    </row>
    <row r="1258">
      <c r="A1258" s="6" t="inlineStr">
        <is>
          <t>Lavon Milner</t>
        </is>
      </c>
      <c r="B1258" s="7" t="n">
        <v>10</v>
      </c>
      <c r="C1258" s="7" t="n">
        <v>0</v>
      </c>
      <c r="D1258" s="7" t="n">
        <v>0</v>
      </c>
      <c r="E1258" s="7" t="n">
        <v>0</v>
      </c>
      <c r="F1258" s="8" t="inlineStr">
        <is>
          <t>Low</t>
        </is>
      </c>
      <c r="G1258" s="8" t="inlineStr">
        <is>
          <t>Low</t>
        </is>
      </c>
      <c r="H1258">
        <f>IF(F1258=G1258,"YES","NO")</f>
        <v/>
      </c>
    </row>
    <row r="1259">
      <c r="A1259" s="6" t="inlineStr">
        <is>
          <t>Lawrence Johnson</t>
        </is>
      </c>
      <c r="B1259" s="7" t="n">
        <v>18</v>
      </c>
      <c r="C1259" s="7" t="n">
        <v>2</v>
      </c>
      <c r="D1259" s="7" t="n">
        <v>0.1111</v>
      </c>
      <c r="E1259" s="7" t="n">
        <v>0.031</v>
      </c>
      <c r="F1259" s="8" t="inlineStr">
        <is>
          <t>Low</t>
        </is>
      </c>
      <c r="G1259" s="8" t="inlineStr">
        <is>
          <t>Medium</t>
        </is>
      </c>
      <c r="H1259">
        <f>IF(F1259=G1259,"YES","NO")</f>
        <v/>
      </c>
    </row>
    <row r="1260">
      <c r="A1260" s="6" t="inlineStr">
        <is>
          <t>Layne Larson</t>
        </is>
      </c>
      <c r="B1260" s="7" t="n">
        <v>51</v>
      </c>
      <c r="C1260" s="7" t="n">
        <v>0</v>
      </c>
      <c r="D1260" s="7" t="n">
        <v>0</v>
      </c>
      <c r="E1260" s="7" t="n">
        <v>0</v>
      </c>
      <c r="F1260" s="8" t="inlineStr">
        <is>
          <t>Low</t>
        </is>
      </c>
      <c r="G1260" s="8" t="inlineStr">
        <is>
          <t>Low</t>
        </is>
      </c>
      <c r="H1260">
        <f>IF(F1260=G1260,"YES","NO")</f>
        <v/>
      </c>
    </row>
    <row r="1261">
      <c r="A1261" s="6" t="inlineStr">
        <is>
          <t>Leah Mooney</t>
        </is>
      </c>
      <c r="B1261" s="7" t="n">
        <v>9</v>
      </c>
      <c r="C1261" s="7" t="n">
        <v>0</v>
      </c>
      <c r="D1261" s="7" t="n">
        <v>0</v>
      </c>
      <c r="E1261" s="7" t="n">
        <v>0</v>
      </c>
      <c r="F1261" s="8" t="inlineStr">
        <is>
          <t>Low</t>
        </is>
      </c>
      <c r="G1261" s="8" t="inlineStr">
        <is>
          <t>Low</t>
        </is>
      </c>
      <c r="H1261">
        <f>IF(F1261=G1261,"YES","NO")</f>
        <v/>
      </c>
    </row>
    <row r="1262">
      <c r="A1262" s="6" t="inlineStr">
        <is>
          <t>Leah Stefani</t>
        </is>
      </c>
      <c r="B1262" s="7" t="n">
        <v>7</v>
      </c>
      <c r="C1262" s="7" t="n">
        <v>1</v>
      </c>
      <c r="D1262" s="7" t="n">
        <v>0.1429</v>
      </c>
      <c r="E1262" s="7" t="n">
        <v>0.0257</v>
      </c>
      <c r="F1262" s="8" t="inlineStr">
        <is>
          <t>Low</t>
        </is>
      </c>
      <c r="G1262" s="8" t="inlineStr">
        <is>
          <t>Low</t>
        </is>
      </c>
      <c r="H1262">
        <f>IF(F1262=G1262,"YES","NO")</f>
        <v/>
      </c>
    </row>
    <row r="1263">
      <c r="A1263" s="6" t="inlineStr">
        <is>
          <t>Lee Anne Franklin</t>
        </is>
      </c>
      <c r="B1263" s="7" t="n">
        <v>7</v>
      </c>
      <c r="C1263" s="7" t="n">
        <v>0</v>
      </c>
      <c r="D1263" s="7" t="n">
        <v>0</v>
      </c>
      <c r="E1263" s="7" t="n">
        <v>0</v>
      </c>
      <c r="F1263" s="8" t="inlineStr">
        <is>
          <t>Low</t>
        </is>
      </c>
      <c r="G1263" s="8" t="inlineStr">
        <is>
          <t>High</t>
        </is>
      </c>
      <c r="H1263">
        <f>IF(F1263=G1263,"YES","NO")</f>
        <v/>
      </c>
    </row>
    <row r="1264">
      <c r="A1264" s="6" t="inlineStr">
        <is>
          <t>Lee Pietrowski</t>
        </is>
      </c>
      <c r="B1264" s="7" t="n">
        <v>75</v>
      </c>
      <c r="C1264" s="7" t="n">
        <v>1</v>
      </c>
      <c r="D1264" s="7" t="n">
        <v>0.0133</v>
      </c>
      <c r="E1264" s="7" t="n">
        <v>0.0024</v>
      </c>
      <c r="F1264" s="8" t="inlineStr">
        <is>
          <t>Low</t>
        </is>
      </c>
      <c r="G1264" s="8" t="inlineStr">
        <is>
          <t>Low</t>
        </is>
      </c>
      <c r="H1264">
        <f>IF(F1264=G1264,"YES","NO")</f>
        <v/>
      </c>
    </row>
    <row r="1265">
      <c r="A1265" s="6" t="inlineStr">
        <is>
          <t>Leigh Anne  Romaine</t>
        </is>
      </c>
      <c r="B1265" s="7" t="n">
        <v>83</v>
      </c>
      <c r="C1265" s="7" t="n">
        <v>3</v>
      </c>
      <c r="D1265" s="7" t="n">
        <v>0.0361</v>
      </c>
      <c r="E1265" s="7" t="n">
        <v>0.0124</v>
      </c>
      <c r="F1265" s="8" t="inlineStr">
        <is>
          <t>Low</t>
        </is>
      </c>
      <c r="G1265" s="8" t="inlineStr">
        <is>
          <t>Low</t>
        </is>
      </c>
      <c r="H1265">
        <f>IF(F1265=G1265,"YES","NO")</f>
        <v/>
      </c>
    </row>
    <row r="1266">
      <c r="A1266" s="6" t="inlineStr">
        <is>
          <t>Len Colucci</t>
        </is>
      </c>
      <c r="B1266" s="7" t="n">
        <v>5</v>
      </c>
      <c r="C1266" s="7" t="n">
        <v>0</v>
      </c>
      <c r="D1266" s="7" t="n">
        <v>0</v>
      </c>
      <c r="E1266" s="7" t="n">
        <v>0</v>
      </c>
      <c r="F1266" s="8" t="inlineStr">
        <is>
          <t>Low</t>
        </is>
      </c>
      <c r="G1266" s="8" t="inlineStr">
        <is>
          <t>Medium</t>
        </is>
      </c>
      <c r="H1266">
        <f>IF(F1266=G1266,"YES","NO")</f>
        <v/>
      </c>
    </row>
    <row r="1267">
      <c r="A1267" s="6" t="inlineStr">
        <is>
          <t>Leo Agranoff</t>
        </is>
      </c>
      <c r="B1267" s="7" t="n">
        <v>19</v>
      </c>
      <c r="C1267" s="7" t="n">
        <v>0</v>
      </c>
      <c r="D1267" s="7" t="n">
        <v>0</v>
      </c>
      <c r="E1267" s="7" t="n">
        <v>0</v>
      </c>
      <c r="F1267" s="8" t="inlineStr">
        <is>
          <t>Low</t>
        </is>
      </c>
      <c r="G1267" s="8" t="inlineStr">
        <is>
          <t>Low</t>
        </is>
      </c>
      <c r="H1267">
        <f>IF(F1267=G1267,"YES","NO")</f>
        <v/>
      </c>
    </row>
    <row r="1268">
      <c r="A1268" s="6" t="inlineStr">
        <is>
          <t>Lesa Jacobs</t>
        </is>
      </c>
      <c r="B1268" s="7" t="n">
        <v>12</v>
      </c>
      <c r="C1268" s="7" t="n">
        <v>1</v>
      </c>
      <c r="D1268" s="7" t="n">
        <v>0.0833</v>
      </c>
      <c r="E1268" s="7" t="n">
        <v>0.0149</v>
      </c>
      <c r="F1268" s="8" t="inlineStr">
        <is>
          <t>Low</t>
        </is>
      </c>
      <c r="G1268" s="8" t="inlineStr">
        <is>
          <t>Low</t>
        </is>
      </c>
      <c r="H1268">
        <f>IF(F1268=G1268,"YES","NO")</f>
        <v/>
      </c>
    </row>
    <row r="1269">
      <c r="A1269" s="6" t="inlineStr">
        <is>
          <t>Lessia Turner</t>
        </is>
      </c>
      <c r="B1269" s="7" t="n">
        <v>18</v>
      </c>
      <c r="C1269" s="7" t="n">
        <v>0</v>
      </c>
      <c r="D1269" s="7" t="n">
        <v>0</v>
      </c>
      <c r="E1269" s="7" t="n">
        <v>0</v>
      </c>
      <c r="F1269" s="8" t="inlineStr">
        <is>
          <t>Low</t>
        </is>
      </c>
      <c r="G1269" s="8" t="inlineStr">
        <is>
          <t>Low</t>
        </is>
      </c>
      <c r="H1269">
        <f>IF(F1269=G1269,"YES","NO")</f>
        <v/>
      </c>
    </row>
    <row r="1270">
      <c r="A1270" s="6" t="inlineStr">
        <is>
          <t>Leyla Kamaile</t>
        </is>
      </c>
      <c r="B1270" s="7" t="n">
        <v>281</v>
      </c>
      <c r="C1270" s="7" t="n">
        <v>14</v>
      </c>
      <c r="D1270" s="7" t="n">
        <v>0.0498</v>
      </c>
      <c r="E1270" s="7" t="n">
        <v>0.0299</v>
      </c>
      <c r="F1270" s="8" t="inlineStr">
        <is>
          <t>Low</t>
        </is>
      </c>
      <c r="G1270" s="8" t="inlineStr">
        <is>
          <t>Low</t>
        </is>
      </c>
      <c r="H1270">
        <f>IF(F1270=G1270,"YES","NO")</f>
        <v/>
      </c>
    </row>
    <row r="1271">
      <c r="A1271" s="6" t="inlineStr">
        <is>
          <t>Leyla Samimi</t>
        </is>
      </c>
      <c r="B1271" s="7" t="n">
        <v>26</v>
      </c>
      <c r="C1271" s="7" t="n">
        <v>4</v>
      </c>
      <c r="D1271" s="7" t="n">
        <v>0.1538</v>
      </c>
      <c r="E1271" s="7" t="n">
        <v>0.0615</v>
      </c>
      <c r="F1271" s="8" t="inlineStr">
        <is>
          <t>Low</t>
        </is>
      </c>
      <c r="G1271" s="8" t="inlineStr">
        <is>
          <t>High</t>
        </is>
      </c>
      <c r="H1271">
        <f>IF(F1271=G1271,"YES","NO")</f>
        <v/>
      </c>
    </row>
    <row r="1272">
      <c r="A1272" s="6" t="inlineStr">
        <is>
          <t>Lide Denny</t>
        </is>
      </c>
      <c r="B1272" s="7" t="n">
        <v>1</v>
      </c>
      <c r="C1272" s="7" t="n">
        <v>0</v>
      </c>
      <c r="D1272" s="7" t="n">
        <v>0</v>
      </c>
      <c r="E1272" s="7" t="n">
        <v>0</v>
      </c>
      <c r="F1272" s="8" t="inlineStr">
        <is>
          <t>Low</t>
        </is>
      </c>
      <c r="G1272" s="8" t="inlineStr">
        <is>
          <t>Low</t>
        </is>
      </c>
      <c r="H1272">
        <f>IF(F1272=G1272,"YES","NO")</f>
        <v/>
      </c>
    </row>
    <row r="1273">
      <c r="A1273" s="6" t="inlineStr">
        <is>
          <t>Lila Welch</t>
        </is>
      </c>
      <c r="B1273" s="7" t="n">
        <v>25</v>
      </c>
      <c r="C1273" s="7" t="n">
        <v>0</v>
      </c>
      <c r="D1273" s="7" t="n">
        <v>0</v>
      </c>
      <c r="E1273" s="7" t="n">
        <v>0</v>
      </c>
      <c r="F1273" s="8" t="inlineStr">
        <is>
          <t>Low</t>
        </is>
      </c>
      <c r="G1273" s="8" t="inlineStr">
        <is>
          <t>Low</t>
        </is>
      </c>
      <c r="H1273">
        <f>IF(F1273=G1273,"YES","NO")</f>
        <v/>
      </c>
    </row>
    <row r="1274">
      <c r="A1274" s="6" t="inlineStr">
        <is>
          <t>Linda Wilson</t>
        </is>
      </c>
      <c r="B1274" s="7" t="n">
        <v>173</v>
      </c>
      <c r="C1274" s="7" t="n">
        <v>0</v>
      </c>
      <c r="D1274" s="7" t="n">
        <v>0</v>
      </c>
      <c r="E1274" s="7" t="n">
        <v>0</v>
      </c>
      <c r="F1274" s="8" t="inlineStr">
        <is>
          <t>Low</t>
        </is>
      </c>
      <c r="G1274" s="8" t="inlineStr">
        <is>
          <t>Low</t>
        </is>
      </c>
      <c r="H1274">
        <f>IF(F1274=G1274,"YES","NO")</f>
        <v/>
      </c>
    </row>
    <row r="1275">
      <c r="A1275" s="6" t="inlineStr">
        <is>
          <t>Lindsay Greenwood</t>
        </is>
      </c>
      <c r="B1275" s="7" t="n">
        <v>67</v>
      </c>
      <c r="C1275" s="7" t="n">
        <v>0</v>
      </c>
      <c r="D1275" s="7" t="n">
        <v>0</v>
      </c>
      <c r="E1275" s="7" t="n">
        <v>0</v>
      </c>
      <c r="F1275" s="8" t="inlineStr">
        <is>
          <t>Low</t>
        </is>
      </c>
      <c r="G1275" s="8" t="inlineStr">
        <is>
          <t>Low</t>
        </is>
      </c>
      <c r="H1275">
        <f>IF(F1275=G1275,"YES","NO")</f>
        <v/>
      </c>
    </row>
    <row r="1276">
      <c r="A1276" s="6" t="inlineStr">
        <is>
          <t>Lindsay HarshBarger</t>
        </is>
      </c>
      <c r="B1276" s="7" t="n">
        <v>57</v>
      </c>
      <c r="C1276" s="7" t="n">
        <v>4</v>
      </c>
      <c r="D1276" s="7" t="n">
        <v>0.0702</v>
      </c>
      <c r="E1276" s="7" t="n">
        <v>0.0276</v>
      </c>
      <c r="F1276" s="8" t="inlineStr">
        <is>
          <t>Low</t>
        </is>
      </c>
      <c r="G1276" s="8" t="inlineStr">
        <is>
          <t>Low</t>
        </is>
      </c>
      <c r="H1276">
        <f>IF(F1276=G1276,"YES","NO")</f>
        <v/>
      </c>
    </row>
    <row r="1277">
      <c r="A1277" s="6" t="inlineStr">
        <is>
          <t>Lindsay Keller</t>
        </is>
      </c>
      <c r="B1277" s="7" t="n">
        <v>151</v>
      </c>
      <c r="C1277" s="7" t="n">
        <v>4</v>
      </c>
      <c r="D1277" s="7" t="n">
        <v>0.0265</v>
      </c>
      <c r="E1277" s="7" t="n">
        <v>0.0103</v>
      </c>
      <c r="F1277" s="8" t="inlineStr">
        <is>
          <t>Low</t>
        </is>
      </c>
      <c r="G1277" s="8" t="inlineStr">
        <is>
          <t>Low</t>
        </is>
      </c>
      <c r="H1277">
        <f>IF(F1277=G1277,"YES","NO")</f>
        <v/>
      </c>
    </row>
    <row r="1278">
      <c r="A1278" s="6" t="inlineStr">
        <is>
          <t>Linette hermanns</t>
        </is>
      </c>
      <c r="B1278" s="7" t="n">
        <v>162</v>
      </c>
      <c r="C1278" s="7" t="n">
        <v>10</v>
      </c>
      <c r="D1278" s="7" t="n">
        <v>0.0617</v>
      </c>
      <c r="E1278" s="7" t="n">
        <v>0.0339</v>
      </c>
      <c r="F1278" s="8" t="inlineStr">
        <is>
          <t>Low</t>
        </is>
      </c>
      <c r="G1278" s="8" t="inlineStr">
        <is>
          <t>Low</t>
        </is>
      </c>
      <c r="H1278">
        <f>IF(F1278=G1278,"YES","NO")</f>
        <v/>
      </c>
    </row>
    <row r="1279">
      <c r="A1279" s="6" t="inlineStr">
        <is>
          <t>Lisa Burchfield</t>
        </is>
      </c>
      <c r="B1279" s="7" t="n">
        <v>311</v>
      </c>
      <c r="C1279" s="7" t="n">
        <v>17</v>
      </c>
      <c r="D1279" s="7" t="n">
        <v>0.0547</v>
      </c>
      <c r="E1279" s="7" t="n">
        <v>0.0344</v>
      </c>
      <c r="F1279" s="8" t="inlineStr">
        <is>
          <t>Low</t>
        </is>
      </c>
      <c r="G1279" s="8" t="inlineStr">
        <is>
          <t>Low</t>
        </is>
      </c>
      <c r="H1279">
        <f>IF(F1279=G1279,"YES","NO")</f>
        <v/>
      </c>
    </row>
    <row r="1280">
      <c r="A1280" s="6" t="inlineStr">
        <is>
          <t>Lisa Garner</t>
        </is>
      </c>
      <c r="B1280" s="7" t="n">
        <v>51</v>
      </c>
      <c r="C1280" s="7" t="n">
        <v>1</v>
      </c>
      <c r="D1280" s="7" t="n">
        <v>0.0196</v>
      </c>
      <c r="E1280" s="7" t="n">
        <v>0.0035</v>
      </c>
      <c r="F1280" s="8" t="inlineStr">
        <is>
          <t>Low</t>
        </is>
      </c>
      <c r="G1280" s="8" t="inlineStr">
        <is>
          <t>Low</t>
        </is>
      </c>
      <c r="H1280">
        <f>IF(F1280=G1280,"YES","NO")</f>
        <v/>
      </c>
    </row>
    <row r="1281">
      <c r="A1281" s="6" t="inlineStr">
        <is>
          <t>Lisa Jirele</t>
        </is>
      </c>
      <c r="B1281" s="7" t="n">
        <v>2</v>
      </c>
      <c r="C1281" s="7" t="n">
        <v>0</v>
      </c>
      <c r="D1281" s="7" t="n">
        <v>0</v>
      </c>
      <c r="E1281" s="7" t="n">
        <v>0</v>
      </c>
      <c r="F1281" s="8" t="inlineStr">
        <is>
          <t>Low</t>
        </is>
      </c>
      <c r="G1281" s="8" t="inlineStr">
        <is>
          <t>Low</t>
        </is>
      </c>
      <c r="H1281">
        <f>IF(F1281=G1281,"YES","NO")</f>
        <v/>
      </c>
    </row>
    <row r="1282">
      <c r="A1282" s="6" t="inlineStr">
        <is>
          <t>Lisa Tuck</t>
        </is>
      </c>
      <c r="B1282" s="7" t="n">
        <v>72</v>
      </c>
      <c r="C1282" s="7" t="n">
        <v>0</v>
      </c>
      <c r="D1282" s="7" t="n">
        <v>0</v>
      </c>
      <c r="E1282" s="7" t="n">
        <v>0</v>
      </c>
      <c r="F1282" s="8" t="inlineStr">
        <is>
          <t>Low</t>
        </is>
      </c>
      <c r="G1282" s="8" t="inlineStr">
        <is>
          <t>Low</t>
        </is>
      </c>
      <c r="H1282">
        <f>IF(F1282=G1282,"YES","NO")</f>
        <v/>
      </c>
    </row>
    <row r="1283">
      <c r="A1283" s="6" t="inlineStr">
        <is>
          <t>Lisa Vogley</t>
        </is>
      </c>
      <c r="B1283" s="7" t="n">
        <v>1</v>
      </c>
      <c r="C1283" s="7" t="n">
        <v>0</v>
      </c>
      <c r="D1283" s="7" t="n">
        <v>0</v>
      </c>
      <c r="E1283" s="7" t="n">
        <v>0</v>
      </c>
      <c r="F1283" s="8" t="inlineStr">
        <is>
          <t>Low</t>
        </is>
      </c>
      <c r="G1283" s="8" t="inlineStr">
        <is>
          <t>Low</t>
        </is>
      </c>
      <c r="H1283">
        <f>IF(F1283=G1283,"YES","NO")</f>
        <v/>
      </c>
    </row>
    <row r="1284">
      <c r="A1284" s="6" t="inlineStr">
        <is>
          <t>Lizzy Brown</t>
        </is>
      </c>
      <c r="B1284" s="7" t="n">
        <v>258</v>
      </c>
      <c r="C1284" s="7" t="n">
        <v>15</v>
      </c>
      <c r="D1284" s="7" t="n">
        <v>0.0581</v>
      </c>
      <c r="E1284" s="7" t="n">
        <v>0.0355</v>
      </c>
      <c r="F1284" s="8" t="inlineStr">
        <is>
          <t>Low</t>
        </is>
      </c>
      <c r="G1284" s="8" t="inlineStr">
        <is>
          <t>Low</t>
        </is>
      </c>
      <c r="H1284">
        <f>IF(F1284=G1284,"YES","NO")</f>
        <v/>
      </c>
    </row>
    <row r="1285">
      <c r="A1285" s="6" t="inlineStr">
        <is>
          <t>Logan Feybusch</t>
        </is>
      </c>
      <c r="B1285" s="7" t="n">
        <v>140</v>
      </c>
      <c r="C1285" s="7" t="n">
        <v>2</v>
      </c>
      <c r="D1285" s="7" t="n">
        <v>0.0143</v>
      </c>
      <c r="E1285" s="7" t="n">
        <v>0.0039</v>
      </c>
      <c r="F1285" s="8" t="inlineStr">
        <is>
          <t>Low</t>
        </is>
      </c>
      <c r="G1285" s="8" t="inlineStr">
        <is>
          <t>Low</t>
        </is>
      </c>
      <c r="H1285">
        <f>IF(F1285=G1285,"YES","NO")</f>
        <v/>
      </c>
    </row>
    <row r="1286">
      <c r="A1286" s="6" t="inlineStr">
        <is>
          <t>Logan Gowdy</t>
        </is>
      </c>
      <c r="B1286" s="7" t="n">
        <v>5</v>
      </c>
      <c r="C1286" s="7" t="n">
        <v>0</v>
      </c>
      <c r="D1286" s="7" t="n">
        <v>0</v>
      </c>
      <c r="E1286" s="7" t="n">
        <v>0</v>
      </c>
      <c r="F1286" s="8" t="inlineStr">
        <is>
          <t>Low</t>
        </is>
      </c>
      <c r="G1286" s="8" t="inlineStr">
        <is>
          <t>Low</t>
        </is>
      </c>
      <c r="H1286">
        <f>IF(F1286=G1286,"YES","NO")</f>
        <v/>
      </c>
    </row>
    <row r="1287">
      <c r="A1287" s="6" t="inlineStr">
        <is>
          <t>Logan Schott</t>
        </is>
      </c>
      <c r="B1287" s="7" t="n">
        <v>18</v>
      </c>
      <c r="C1287" s="7" t="n">
        <v>3</v>
      </c>
      <c r="D1287" s="7" t="n">
        <v>0.1667</v>
      </c>
      <c r="E1287" s="7" t="n">
        <v>0.0584</v>
      </c>
      <c r="F1287" s="8" t="inlineStr">
        <is>
          <t>Low</t>
        </is>
      </c>
      <c r="G1287" s="8" t="inlineStr">
        <is>
          <t>Medium</t>
        </is>
      </c>
      <c r="H1287">
        <f>IF(F1287=G1287,"YES","NO")</f>
        <v/>
      </c>
    </row>
    <row r="1288">
      <c r="A1288" s="6" t="inlineStr">
        <is>
          <t>Lon Limesand</t>
        </is>
      </c>
      <c r="B1288" s="7" t="n">
        <v>43</v>
      </c>
      <c r="C1288" s="7" t="n">
        <v>0</v>
      </c>
      <c r="D1288" s="7" t="n">
        <v>0</v>
      </c>
      <c r="E1288" s="7" t="n">
        <v>0</v>
      </c>
      <c r="F1288" s="8" t="inlineStr">
        <is>
          <t>Low</t>
        </is>
      </c>
      <c r="G1288" s="8" t="inlineStr">
        <is>
          <t>Low</t>
        </is>
      </c>
      <c r="H1288">
        <f>IF(F1288=G1288,"YES","NO")</f>
        <v/>
      </c>
    </row>
    <row r="1289">
      <c r="A1289" s="6" t="inlineStr">
        <is>
          <t>Lonnie Smith</t>
        </is>
      </c>
      <c r="B1289" s="7" t="n">
        <v>23</v>
      </c>
      <c r="C1289" s="7" t="n">
        <v>0</v>
      </c>
      <c r="D1289" s="7" t="n">
        <v>0</v>
      </c>
      <c r="E1289" s="7" t="n">
        <v>0</v>
      </c>
      <c r="F1289" s="8" t="inlineStr">
        <is>
          <t>Low</t>
        </is>
      </c>
      <c r="G1289" s="8" t="inlineStr">
        <is>
          <t>Low</t>
        </is>
      </c>
      <c r="H1289">
        <f>IF(F1289=G1289,"YES","NO")</f>
        <v/>
      </c>
    </row>
    <row r="1290">
      <c r="A1290" s="6" t="inlineStr">
        <is>
          <t>Loren Hamlin</t>
        </is>
      </c>
      <c r="B1290" s="7" t="n">
        <v>1</v>
      </c>
      <c r="C1290" s="7" t="n">
        <v>0</v>
      </c>
      <c r="D1290" s="7" t="n">
        <v>0</v>
      </c>
      <c r="E1290" s="7" t="n">
        <v>0</v>
      </c>
      <c r="F1290" s="8" t="inlineStr">
        <is>
          <t>Low</t>
        </is>
      </c>
      <c r="G1290" s="8" t="inlineStr">
        <is>
          <t>Low</t>
        </is>
      </c>
      <c r="H1290">
        <f>IF(F1290=G1290,"YES","NO")</f>
        <v/>
      </c>
    </row>
    <row r="1291">
      <c r="A1291" s="6" t="inlineStr">
        <is>
          <t>Lori  Kaye</t>
        </is>
      </c>
      <c r="B1291" s="7" t="n">
        <v>6</v>
      </c>
      <c r="C1291" s="7" t="n">
        <v>0</v>
      </c>
      <c r="D1291" s="7" t="n">
        <v>0</v>
      </c>
      <c r="E1291" s="7" t="n">
        <v>0</v>
      </c>
      <c r="F1291" s="8" t="inlineStr">
        <is>
          <t>Low</t>
        </is>
      </c>
      <c r="G1291" s="8" t="inlineStr">
        <is>
          <t>Low</t>
        </is>
      </c>
      <c r="H1291">
        <f>IF(F1291=G1291,"YES","NO")</f>
        <v/>
      </c>
    </row>
    <row r="1292">
      <c r="A1292" s="6" t="inlineStr">
        <is>
          <t>Lori Heger</t>
        </is>
      </c>
      <c r="B1292" s="7" t="n">
        <v>23</v>
      </c>
      <c r="C1292" s="7" t="n">
        <v>0</v>
      </c>
      <c r="D1292" s="7" t="n">
        <v>0</v>
      </c>
      <c r="E1292" s="7" t="n">
        <v>0</v>
      </c>
      <c r="F1292" s="8" t="inlineStr">
        <is>
          <t>Low</t>
        </is>
      </c>
      <c r="G1292" s="8" t="inlineStr">
        <is>
          <t>Low</t>
        </is>
      </c>
      <c r="H1292">
        <f>IF(F1292=G1292,"YES","NO")</f>
        <v/>
      </c>
    </row>
    <row r="1293">
      <c r="A1293" s="6" t="inlineStr">
        <is>
          <t>Lori Rachal</t>
        </is>
      </c>
      <c r="B1293" s="7" t="n">
        <v>74</v>
      </c>
      <c r="C1293" s="7" t="n">
        <v>2</v>
      </c>
      <c r="D1293" s="7" t="n">
        <v>0.027</v>
      </c>
      <c r="E1293" s="7" t="n">
        <v>0.0074</v>
      </c>
      <c r="F1293" s="8" t="inlineStr">
        <is>
          <t>Low</t>
        </is>
      </c>
      <c r="G1293" s="8" t="inlineStr">
        <is>
          <t>Low</t>
        </is>
      </c>
      <c r="H1293">
        <f>IF(F1293=G1293,"YES","NO")</f>
        <v/>
      </c>
    </row>
    <row r="1294">
      <c r="A1294" s="6" t="inlineStr">
        <is>
          <t>Lorraine  Ganaden</t>
        </is>
      </c>
      <c r="B1294" s="7" t="n">
        <v>191</v>
      </c>
      <c r="C1294" s="7" t="n">
        <v>2</v>
      </c>
      <c r="D1294" s="7" t="n">
        <v>0.0105</v>
      </c>
      <c r="E1294" s="7" t="n">
        <v>0.0029</v>
      </c>
      <c r="F1294" s="8" t="inlineStr">
        <is>
          <t>Low</t>
        </is>
      </c>
      <c r="G1294" s="8" t="inlineStr">
        <is>
          <t>Low</t>
        </is>
      </c>
      <c r="H1294">
        <f>IF(F1294=G1294,"YES","NO")</f>
        <v/>
      </c>
    </row>
    <row r="1295">
      <c r="A1295" s="6" t="inlineStr">
        <is>
          <t>Lucas Collins</t>
        </is>
      </c>
      <c r="B1295" s="7" t="n">
        <v>2</v>
      </c>
      <c r="C1295" s="7" t="n">
        <v>0</v>
      </c>
      <c r="D1295" s="7" t="n">
        <v>0</v>
      </c>
      <c r="E1295" s="7" t="n">
        <v>0</v>
      </c>
      <c r="F1295" s="8" t="inlineStr">
        <is>
          <t>Low</t>
        </is>
      </c>
      <c r="G1295" s="8" t="inlineStr">
        <is>
          <t>Low</t>
        </is>
      </c>
      <c r="H1295">
        <f>IF(F1295=G1295,"YES","NO")</f>
        <v/>
      </c>
    </row>
    <row r="1296">
      <c r="A1296" s="6" t="inlineStr">
        <is>
          <t>Lucinda Goldsmith</t>
        </is>
      </c>
      <c r="B1296" s="7" t="n">
        <v>95</v>
      </c>
      <c r="C1296" s="7" t="n">
        <v>13</v>
      </c>
      <c r="D1296" s="7" t="n">
        <v>0.1368</v>
      </c>
      <c r="E1296" s="7" t="n">
        <v>0.08169999999999999</v>
      </c>
      <c r="F1296" s="8" t="inlineStr">
        <is>
          <t>Low</t>
        </is>
      </c>
      <c r="G1296" s="8" t="inlineStr">
        <is>
          <t>Low</t>
        </is>
      </c>
      <c r="H1296">
        <f>IF(F1296=G1296,"YES","NO")</f>
        <v/>
      </c>
    </row>
    <row r="1297">
      <c r="A1297" s="6" t="inlineStr">
        <is>
          <t>Lucy Tibbetts</t>
        </is>
      </c>
      <c r="B1297" s="7" t="n">
        <v>33</v>
      </c>
      <c r="C1297" s="7" t="n">
        <v>2</v>
      </c>
      <c r="D1297" s="7" t="n">
        <v>0.0606</v>
      </c>
      <c r="E1297" s="7" t="n">
        <v>0.0168</v>
      </c>
      <c r="F1297" s="8" t="inlineStr">
        <is>
          <t>Low</t>
        </is>
      </c>
      <c r="G1297" s="8" t="inlineStr">
        <is>
          <t>Low</t>
        </is>
      </c>
      <c r="H1297">
        <f>IF(F1297=G1297,"YES","NO")</f>
        <v/>
      </c>
    </row>
    <row r="1298">
      <c r="A1298" s="6" t="inlineStr">
        <is>
          <t>Luke  Dahl</t>
        </is>
      </c>
      <c r="B1298" s="7" t="n">
        <v>40</v>
      </c>
      <c r="C1298" s="7" t="n">
        <v>0</v>
      </c>
      <c r="D1298" s="7" t="n">
        <v>0</v>
      </c>
      <c r="E1298" s="7" t="n">
        <v>0</v>
      </c>
      <c r="F1298" s="8" t="inlineStr">
        <is>
          <t>Low</t>
        </is>
      </c>
      <c r="G1298" s="8" t="inlineStr">
        <is>
          <t>Low</t>
        </is>
      </c>
      <c r="H1298">
        <f>IF(F1298=G1298,"YES","NO")</f>
        <v/>
      </c>
    </row>
    <row r="1299">
      <c r="A1299" s="6" t="inlineStr">
        <is>
          <t>Luke Gardner</t>
        </is>
      </c>
      <c r="B1299" s="7" t="n">
        <v>115</v>
      </c>
      <c r="C1299" s="7" t="n">
        <v>0</v>
      </c>
      <c r="D1299" s="7" t="n">
        <v>0</v>
      </c>
      <c r="E1299" s="7" t="n">
        <v>0</v>
      </c>
      <c r="F1299" s="8" t="inlineStr">
        <is>
          <t>Low</t>
        </is>
      </c>
      <c r="G1299" s="8" t="inlineStr">
        <is>
          <t>Low</t>
        </is>
      </c>
      <c r="H1299">
        <f>IF(F1299=G1299,"YES","NO")</f>
        <v/>
      </c>
    </row>
    <row r="1300">
      <c r="A1300" s="6" t="inlineStr">
        <is>
          <t>Luke Lancaster</t>
        </is>
      </c>
      <c r="B1300" s="7" t="n">
        <v>37</v>
      </c>
      <c r="C1300" s="7" t="n">
        <v>1</v>
      </c>
      <c r="D1300" s="7" t="n">
        <v>0.027</v>
      </c>
      <c r="E1300" s="7" t="n">
        <v>0.0048</v>
      </c>
      <c r="F1300" s="8" t="inlineStr">
        <is>
          <t>Low</t>
        </is>
      </c>
      <c r="G1300" s="8" t="inlineStr">
        <is>
          <t>Low</t>
        </is>
      </c>
      <c r="H1300">
        <f>IF(F1300=G1300,"YES","NO")</f>
        <v/>
      </c>
    </row>
    <row r="1301">
      <c r="A1301" s="6" t="inlineStr">
        <is>
          <t>Luke Schiopota</t>
        </is>
      </c>
      <c r="B1301" s="7" t="n">
        <v>8</v>
      </c>
      <c r="C1301" s="7" t="n">
        <v>0</v>
      </c>
      <c r="D1301" s="7" t="n">
        <v>0</v>
      </c>
      <c r="E1301" s="7" t="n">
        <v>0</v>
      </c>
      <c r="F1301" s="8" t="inlineStr">
        <is>
          <t>Low</t>
        </is>
      </c>
      <c r="G1301" s="8" t="inlineStr">
        <is>
          <t>Low</t>
        </is>
      </c>
      <c r="H1301">
        <f>IF(F1301=G1301,"YES","NO")</f>
        <v/>
      </c>
    </row>
    <row r="1302">
      <c r="A1302" s="6" t="inlineStr">
        <is>
          <t>Luke Wagner</t>
        </is>
      </c>
      <c r="B1302" s="7" t="n">
        <v>8</v>
      </c>
      <c r="C1302" s="7" t="n">
        <v>0</v>
      </c>
      <c r="D1302" s="7" t="n">
        <v>0</v>
      </c>
      <c r="E1302" s="7" t="n">
        <v>0</v>
      </c>
      <c r="F1302" s="8" t="inlineStr">
        <is>
          <t>Low</t>
        </is>
      </c>
      <c r="G1302" s="8" t="inlineStr">
        <is>
          <t>Low</t>
        </is>
      </c>
      <c r="H1302">
        <f>IF(F1302=G1302,"YES","NO")</f>
        <v/>
      </c>
    </row>
    <row r="1303">
      <c r="A1303" s="6" t="inlineStr">
        <is>
          <t>MARK CRAIG</t>
        </is>
      </c>
      <c r="B1303" s="7" t="n">
        <v>34</v>
      </c>
      <c r="C1303" s="7" t="n">
        <v>0</v>
      </c>
      <c r="D1303" s="7" t="n">
        <v>0</v>
      </c>
      <c r="E1303" s="7" t="n">
        <v>0</v>
      </c>
      <c r="F1303" s="8" t="inlineStr">
        <is>
          <t>Low</t>
        </is>
      </c>
      <c r="G1303" s="8" t="inlineStr">
        <is>
          <t>Low</t>
        </is>
      </c>
      <c r="H1303">
        <f>IF(F1303=G1303,"YES","NO")</f>
        <v/>
      </c>
    </row>
    <row r="1304">
      <c r="A1304" s="6" t="inlineStr">
        <is>
          <t>MARK SCHULTZ</t>
        </is>
      </c>
      <c r="B1304" s="7" t="n">
        <v>2</v>
      </c>
      <c r="C1304" s="7" t="n">
        <v>0</v>
      </c>
      <c r="D1304" s="7" t="n">
        <v>0</v>
      </c>
      <c r="E1304" s="7" t="n">
        <v>0</v>
      </c>
      <c r="F1304" s="8" t="inlineStr">
        <is>
          <t>Low</t>
        </is>
      </c>
      <c r="G1304" s="8" t="inlineStr">
        <is>
          <t>Low</t>
        </is>
      </c>
      <c r="H1304">
        <f>IF(F1304=G1304,"YES","NO")</f>
        <v/>
      </c>
    </row>
    <row r="1305">
      <c r="A1305" s="6" t="inlineStr">
        <is>
          <t>MARTHA MCNAIR</t>
        </is>
      </c>
      <c r="B1305" s="7" t="n">
        <v>56</v>
      </c>
      <c r="C1305" s="7" t="n">
        <v>7</v>
      </c>
      <c r="D1305" s="7" t="n">
        <v>0.125</v>
      </c>
      <c r="E1305" s="7" t="n">
        <v>0.0619</v>
      </c>
      <c r="F1305" s="8" t="inlineStr">
        <is>
          <t>Low</t>
        </is>
      </c>
      <c r="G1305" s="8" t="inlineStr">
        <is>
          <t>Low</t>
        </is>
      </c>
      <c r="H1305">
        <f>IF(F1305=G1305,"YES","NO")</f>
        <v/>
      </c>
    </row>
    <row r="1306">
      <c r="A1306" s="6" t="inlineStr">
        <is>
          <t>Maclain Stoneking</t>
        </is>
      </c>
      <c r="B1306" s="7" t="n">
        <v>6</v>
      </c>
      <c r="C1306" s="7" t="n">
        <v>0</v>
      </c>
      <c r="D1306" s="7" t="n">
        <v>0</v>
      </c>
      <c r="E1306" s="7" t="n">
        <v>0</v>
      </c>
      <c r="F1306" s="8" t="inlineStr">
        <is>
          <t>Low</t>
        </is>
      </c>
      <c r="G1306" s="8" t="inlineStr">
        <is>
          <t>Low</t>
        </is>
      </c>
      <c r="H1306">
        <f>IF(F1306=G1306,"YES","NO")</f>
        <v/>
      </c>
    </row>
    <row r="1307">
      <c r="A1307" s="6" t="inlineStr">
        <is>
          <t>Macy Jackson</t>
        </is>
      </c>
      <c r="B1307" s="7" t="n">
        <v>13</v>
      </c>
      <c r="C1307" s="7" t="n">
        <v>0</v>
      </c>
      <c r="D1307" s="7" t="n">
        <v>0</v>
      </c>
      <c r="E1307" s="7" t="n">
        <v>0</v>
      </c>
      <c r="F1307" s="8" t="inlineStr">
        <is>
          <t>Low</t>
        </is>
      </c>
      <c r="G1307" s="8" t="inlineStr">
        <is>
          <t>Low</t>
        </is>
      </c>
      <c r="H1307">
        <f>IF(F1307=G1307,"YES","NO")</f>
        <v/>
      </c>
    </row>
    <row r="1308">
      <c r="A1308" s="6" t="inlineStr">
        <is>
          <t>Maddie Light</t>
        </is>
      </c>
      <c r="B1308" s="7" t="n">
        <v>11</v>
      </c>
      <c r="C1308" s="7" t="n">
        <v>0</v>
      </c>
      <c r="D1308" s="7" t="n">
        <v>0</v>
      </c>
      <c r="E1308" s="7" t="n">
        <v>0</v>
      </c>
      <c r="F1308" s="8" t="inlineStr">
        <is>
          <t>Low</t>
        </is>
      </c>
      <c r="G1308" s="8" t="inlineStr">
        <is>
          <t>Low</t>
        </is>
      </c>
      <c r="H1308">
        <f>IF(F1308=G1308,"YES","NO")</f>
        <v/>
      </c>
    </row>
    <row r="1309">
      <c r="A1309" s="6" t="inlineStr">
        <is>
          <t>Maddie Scott</t>
        </is>
      </c>
      <c r="B1309" s="7" t="n">
        <v>5</v>
      </c>
      <c r="C1309" s="7" t="n">
        <v>0</v>
      </c>
      <c r="D1309" s="7" t="n">
        <v>0</v>
      </c>
      <c r="E1309" s="7" t="n">
        <v>0</v>
      </c>
      <c r="F1309" s="8" t="inlineStr">
        <is>
          <t>Low</t>
        </is>
      </c>
      <c r="G1309" s="8" t="inlineStr">
        <is>
          <t>Low</t>
        </is>
      </c>
      <c r="H1309">
        <f>IF(F1309=G1309,"YES","NO")</f>
        <v/>
      </c>
    </row>
    <row r="1310">
      <c r="A1310" s="6" t="inlineStr">
        <is>
          <t>Maddy Recker</t>
        </is>
      </c>
      <c r="B1310" s="7" t="n">
        <v>44</v>
      </c>
      <c r="C1310" s="7" t="n">
        <v>0</v>
      </c>
      <c r="D1310" s="7" t="n">
        <v>0</v>
      </c>
      <c r="E1310" s="7" t="n">
        <v>0</v>
      </c>
      <c r="F1310" s="8" t="inlineStr">
        <is>
          <t>Low</t>
        </is>
      </c>
      <c r="G1310" s="8" t="inlineStr">
        <is>
          <t>Low</t>
        </is>
      </c>
      <c r="H1310">
        <f>IF(F1310=G1310,"YES","NO")</f>
        <v/>
      </c>
    </row>
    <row r="1311">
      <c r="A1311" s="6" t="inlineStr">
        <is>
          <t>Madeleine Parmelee</t>
        </is>
      </c>
      <c r="B1311" s="7" t="n">
        <v>11</v>
      </c>
      <c r="C1311" s="7" t="n">
        <v>0</v>
      </c>
      <c r="D1311" s="7" t="n">
        <v>0</v>
      </c>
      <c r="E1311" s="7" t="n">
        <v>0</v>
      </c>
      <c r="F1311" s="8" t="inlineStr">
        <is>
          <t>Low</t>
        </is>
      </c>
      <c r="G1311" s="8" t="inlineStr">
        <is>
          <t>Low</t>
        </is>
      </c>
      <c r="H1311">
        <f>IF(F1311=G1311,"YES","NO")</f>
        <v/>
      </c>
    </row>
    <row r="1312">
      <c r="A1312" s="6" t="inlineStr">
        <is>
          <t>Madeline Moen</t>
        </is>
      </c>
      <c r="B1312" s="7" t="n">
        <v>20</v>
      </c>
      <c r="C1312" s="7" t="n">
        <v>1</v>
      </c>
      <c r="D1312" s="7" t="n">
        <v>0.05</v>
      </c>
      <c r="E1312" s="7" t="n">
        <v>0.0089</v>
      </c>
      <c r="F1312" s="8" t="inlineStr">
        <is>
          <t>Low</t>
        </is>
      </c>
      <c r="G1312" s="8" t="inlineStr">
        <is>
          <t>Low</t>
        </is>
      </c>
      <c r="H1312">
        <f>IF(F1312=G1312,"YES","NO")</f>
        <v/>
      </c>
    </row>
    <row r="1313">
      <c r="A1313" s="6" t="inlineStr">
        <is>
          <t>Madi Dephillips</t>
        </is>
      </c>
      <c r="B1313" s="7" t="n">
        <v>28</v>
      </c>
      <c r="C1313" s="7" t="n">
        <v>2</v>
      </c>
      <c r="D1313" s="7" t="n">
        <v>0.07140000000000001</v>
      </c>
      <c r="E1313" s="7" t="n">
        <v>0.0198</v>
      </c>
      <c r="F1313" s="8" t="inlineStr">
        <is>
          <t>Low</t>
        </is>
      </c>
      <c r="G1313" s="8" t="inlineStr">
        <is>
          <t>Low</t>
        </is>
      </c>
      <c r="H1313">
        <f>IF(F1313=G1313,"YES","NO")</f>
        <v/>
      </c>
    </row>
    <row r="1314">
      <c r="A1314" s="6" t="inlineStr">
        <is>
          <t>Madison Hawn</t>
        </is>
      </c>
      <c r="B1314" s="7" t="n">
        <v>3</v>
      </c>
      <c r="C1314" s="7" t="n">
        <v>0</v>
      </c>
      <c r="D1314" s="7" t="n">
        <v>0</v>
      </c>
      <c r="E1314" s="7" t="n">
        <v>0</v>
      </c>
      <c r="F1314" s="8" t="inlineStr">
        <is>
          <t>Low</t>
        </is>
      </c>
      <c r="G1314" s="8" t="inlineStr">
        <is>
          <t>Low</t>
        </is>
      </c>
      <c r="H1314">
        <f>IF(F1314=G1314,"YES","NO")</f>
        <v/>
      </c>
    </row>
    <row r="1315">
      <c r="A1315" s="6" t="inlineStr">
        <is>
          <t>Maggie Heinz</t>
        </is>
      </c>
      <c r="B1315" s="7" t="n">
        <v>268</v>
      </c>
      <c r="C1315" s="7" t="n">
        <v>2</v>
      </c>
      <c r="D1315" s="7" t="n">
        <v>0.0075</v>
      </c>
      <c r="E1315" s="7" t="n">
        <v>0.002</v>
      </c>
      <c r="F1315" s="8" t="inlineStr">
        <is>
          <t>Low</t>
        </is>
      </c>
      <c r="G1315" s="8" t="inlineStr">
        <is>
          <t>Low</t>
        </is>
      </c>
      <c r="H1315">
        <f>IF(F1315=G1315,"YES","NO")</f>
        <v/>
      </c>
    </row>
    <row r="1316">
      <c r="A1316" s="6" t="inlineStr">
        <is>
          <t>Maitlyn Hoskins</t>
        </is>
      </c>
      <c r="B1316" s="7" t="n">
        <v>3</v>
      </c>
      <c r="C1316" s="7" t="n">
        <v>0</v>
      </c>
      <c r="D1316" s="7" t="n">
        <v>0</v>
      </c>
      <c r="E1316" s="7" t="n">
        <v>0</v>
      </c>
      <c r="F1316" s="8" t="inlineStr">
        <is>
          <t>Low</t>
        </is>
      </c>
      <c r="G1316" s="8" t="inlineStr">
        <is>
          <t>High</t>
        </is>
      </c>
      <c r="H1316">
        <f>IF(F1316=G1316,"YES","NO")</f>
        <v/>
      </c>
    </row>
    <row r="1317">
      <c r="A1317" s="6" t="inlineStr">
        <is>
          <t>Malachi Stout</t>
        </is>
      </c>
      <c r="B1317" s="7" t="n">
        <v>4</v>
      </c>
      <c r="C1317" s="7" t="n">
        <v>0</v>
      </c>
      <c r="D1317" s="7" t="n">
        <v>0</v>
      </c>
      <c r="E1317" s="7" t="n">
        <v>0</v>
      </c>
      <c r="F1317" s="8" t="inlineStr">
        <is>
          <t>Low</t>
        </is>
      </c>
      <c r="G1317" s="8" t="inlineStr">
        <is>
          <t>Low</t>
        </is>
      </c>
      <c r="H1317">
        <f>IF(F1317=G1317,"YES","NO")</f>
        <v/>
      </c>
    </row>
    <row r="1318">
      <c r="A1318" s="6" t="inlineStr">
        <is>
          <t>Malik Muhammad</t>
        </is>
      </c>
      <c r="B1318" s="7" t="n">
        <v>55</v>
      </c>
      <c r="C1318" s="7" t="n">
        <v>0</v>
      </c>
      <c r="D1318" s="7" t="n">
        <v>0</v>
      </c>
      <c r="E1318" s="7" t="n">
        <v>0</v>
      </c>
      <c r="F1318" s="8" t="inlineStr">
        <is>
          <t>Low</t>
        </is>
      </c>
      <c r="G1318" s="8" t="inlineStr">
        <is>
          <t>Low</t>
        </is>
      </c>
      <c r="H1318">
        <f>IF(F1318=G1318,"YES","NO")</f>
        <v/>
      </c>
    </row>
    <row r="1319">
      <c r="A1319" s="6" t="inlineStr">
        <is>
          <t>Malik Stevenson</t>
        </is>
      </c>
      <c r="B1319" s="7" t="n">
        <v>13</v>
      </c>
      <c r="C1319" s="7" t="n">
        <v>1</v>
      </c>
      <c r="D1319" s="7" t="n">
        <v>0.0769</v>
      </c>
      <c r="E1319" s="7" t="n">
        <v>0.0137</v>
      </c>
      <c r="F1319" s="8" t="inlineStr">
        <is>
          <t>Low</t>
        </is>
      </c>
      <c r="G1319" s="8" t="inlineStr">
        <is>
          <t>Low</t>
        </is>
      </c>
      <c r="H1319">
        <f>IF(F1319=G1319,"YES","NO")</f>
        <v/>
      </c>
    </row>
    <row r="1320">
      <c r="A1320" s="6" t="inlineStr">
        <is>
          <t>Mandan Langley</t>
        </is>
      </c>
      <c r="B1320" s="7" t="n">
        <v>51</v>
      </c>
      <c r="C1320" s="7" t="n">
        <v>1</v>
      </c>
      <c r="D1320" s="7" t="n">
        <v>0.0196</v>
      </c>
      <c r="E1320" s="7" t="n">
        <v>0.0035</v>
      </c>
      <c r="F1320" s="8" t="inlineStr">
        <is>
          <t>Low</t>
        </is>
      </c>
      <c r="G1320" s="8" t="inlineStr">
        <is>
          <t>Low</t>
        </is>
      </c>
      <c r="H1320">
        <f>IF(F1320=G1320,"YES","NO")</f>
        <v/>
      </c>
    </row>
    <row r="1321">
      <c r="A1321" s="6" t="inlineStr">
        <is>
          <t>Mandi Hope</t>
        </is>
      </c>
      <c r="B1321" s="7" t="n">
        <v>73</v>
      </c>
      <c r="C1321" s="7" t="n">
        <v>0</v>
      </c>
      <c r="D1321" s="7" t="n">
        <v>0</v>
      </c>
      <c r="E1321" s="7" t="n">
        <v>0</v>
      </c>
      <c r="F1321" s="8" t="inlineStr">
        <is>
          <t>Low</t>
        </is>
      </c>
      <c r="G1321" s="8" t="inlineStr">
        <is>
          <t>Low</t>
        </is>
      </c>
      <c r="H1321">
        <f>IF(F1321=G1321,"YES","NO")</f>
        <v/>
      </c>
    </row>
    <row r="1322">
      <c r="A1322" s="6" t="inlineStr">
        <is>
          <t>Mandi Ralston</t>
        </is>
      </c>
      <c r="B1322" s="7" t="n">
        <v>4</v>
      </c>
      <c r="C1322" s="7" t="n">
        <v>0</v>
      </c>
      <c r="D1322" s="7" t="n">
        <v>0</v>
      </c>
      <c r="E1322" s="7" t="n">
        <v>0</v>
      </c>
      <c r="F1322" s="8" t="inlineStr">
        <is>
          <t>Low</t>
        </is>
      </c>
      <c r="G1322" s="8" t="inlineStr">
        <is>
          <t>Low</t>
        </is>
      </c>
      <c r="H1322">
        <f>IF(F1322=G1322,"YES","NO")</f>
        <v/>
      </c>
    </row>
    <row r="1323">
      <c r="A1323" s="6" t="inlineStr">
        <is>
          <t>Marc Civittolo</t>
        </is>
      </c>
      <c r="B1323" s="7" t="n">
        <v>241</v>
      </c>
      <c r="C1323" s="7" t="n">
        <v>0</v>
      </c>
      <c r="D1323" s="7" t="n">
        <v>0</v>
      </c>
      <c r="E1323" s="7" t="n">
        <v>0</v>
      </c>
      <c r="F1323" s="8" t="inlineStr">
        <is>
          <t>Low</t>
        </is>
      </c>
      <c r="G1323" s="8" t="inlineStr">
        <is>
          <t>Low</t>
        </is>
      </c>
      <c r="H1323">
        <f>IF(F1323=G1323,"YES","NO")</f>
        <v/>
      </c>
    </row>
    <row r="1324">
      <c r="A1324" s="6" t="inlineStr">
        <is>
          <t>Marcelo Fung</t>
        </is>
      </c>
      <c r="B1324" s="7" t="n">
        <v>3</v>
      </c>
      <c r="C1324" s="7" t="n">
        <v>0</v>
      </c>
      <c r="D1324" s="7" t="n">
        <v>0</v>
      </c>
      <c r="E1324" s="7" t="n">
        <v>0</v>
      </c>
      <c r="F1324" s="8" t="inlineStr">
        <is>
          <t>Low</t>
        </is>
      </c>
      <c r="G1324" s="8" t="inlineStr">
        <is>
          <t>Low</t>
        </is>
      </c>
      <c r="H1324">
        <f>IF(F1324=G1324,"YES","NO")</f>
        <v/>
      </c>
    </row>
    <row r="1325">
      <c r="A1325" s="6" t="inlineStr">
        <is>
          <t>Marcus Leaf</t>
        </is>
      </c>
      <c r="B1325" s="7" t="n">
        <v>2</v>
      </c>
      <c r="C1325" s="7" t="n">
        <v>0</v>
      </c>
      <c r="D1325" s="7" t="n">
        <v>0</v>
      </c>
      <c r="E1325" s="7" t="n">
        <v>0</v>
      </c>
      <c r="F1325" s="8" t="inlineStr">
        <is>
          <t>Low</t>
        </is>
      </c>
      <c r="G1325" s="8" t="inlineStr">
        <is>
          <t>Low</t>
        </is>
      </c>
      <c r="H1325">
        <f>IF(F1325=G1325,"YES","NO")</f>
        <v/>
      </c>
    </row>
    <row r="1326">
      <c r="A1326" s="6" t="inlineStr">
        <is>
          <t>Marcus Noteboom</t>
        </is>
      </c>
      <c r="B1326" s="7" t="n">
        <v>18</v>
      </c>
      <c r="C1326" s="7" t="n">
        <v>0</v>
      </c>
      <c r="D1326" s="7" t="n">
        <v>0</v>
      </c>
      <c r="E1326" s="7" t="n">
        <v>0</v>
      </c>
      <c r="F1326" s="8" t="inlineStr">
        <is>
          <t>Low</t>
        </is>
      </c>
      <c r="G1326" s="8" t="inlineStr">
        <is>
          <t>Low</t>
        </is>
      </c>
      <c r="H1326">
        <f>IF(F1326=G1326,"YES","NO")</f>
        <v/>
      </c>
    </row>
    <row r="1327">
      <c r="A1327" s="6" t="inlineStr">
        <is>
          <t>Marcus Wiley</t>
        </is>
      </c>
      <c r="B1327" s="7" t="n">
        <v>2</v>
      </c>
      <c r="C1327" s="7" t="n">
        <v>0</v>
      </c>
      <c r="D1327" s="7" t="n">
        <v>0</v>
      </c>
      <c r="E1327" s="7" t="n">
        <v>0</v>
      </c>
      <c r="F1327" s="8" t="inlineStr">
        <is>
          <t>Low</t>
        </is>
      </c>
      <c r="G1327" s="8" t="inlineStr">
        <is>
          <t>Medium</t>
        </is>
      </c>
      <c r="H1327">
        <f>IF(F1327=G1327,"YES","NO")</f>
        <v/>
      </c>
    </row>
    <row r="1328">
      <c r="A1328" s="6" t="inlineStr">
        <is>
          <t>Mari Sloan</t>
        </is>
      </c>
      <c r="B1328" s="7" t="n">
        <v>3</v>
      </c>
      <c r="C1328" s="7" t="n">
        <v>0</v>
      </c>
      <c r="D1328" s="7" t="n">
        <v>0</v>
      </c>
      <c r="E1328" s="7" t="n">
        <v>0</v>
      </c>
      <c r="F1328" s="8" t="inlineStr">
        <is>
          <t>Low</t>
        </is>
      </c>
      <c r="G1328" s="8" t="inlineStr">
        <is>
          <t>Low</t>
        </is>
      </c>
      <c r="H1328">
        <f>IF(F1328=G1328,"YES","NO")</f>
        <v/>
      </c>
    </row>
    <row r="1329">
      <c r="A1329" s="6" t="inlineStr">
        <is>
          <t>Maria Hellman</t>
        </is>
      </c>
      <c r="B1329" s="7" t="n">
        <v>1</v>
      </c>
      <c r="C1329" s="7" t="n">
        <v>0</v>
      </c>
      <c r="D1329" s="7" t="n">
        <v>0</v>
      </c>
      <c r="E1329" s="7" t="n">
        <v>0</v>
      </c>
      <c r="F1329" s="8" t="inlineStr">
        <is>
          <t>Low</t>
        </is>
      </c>
      <c r="G1329" s="8" t="inlineStr">
        <is>
          <t>Low</t>
        </is>
      </c>
      <c r="H1329">
        <f>IF(F1329=G1329,"YES","NO")</f>
        <v/>
      </c>
    </row>
    <row r="1330">
      <c r="A1330" s="6" t="inlineStr">
        <is>
          <t>Maria Walsh</t>
        </is>
      </c>
      <c r="B1330" s="7" t="n">
        <v>250</v>
      </c>
      <c r="C1330" s="7" t="n">
        <v>1</v>
      </c>
      <c r="D1330" s="7" t="n">
        <v>0.004</v>
      </c>
      <c r="E1330" s="7" t="n">
        <v>0.0007</v>
      </c>
      <c r="F1330" s="8" t="inlineStr">
        <is>
          <t>Low</t>
        </is>
      </c>
      <c r="G1330" s="8" t="inlineStr">
        <is>
          <t>Low</t>
        </is>
      </c>
      <c r="H1330">
        <f>IF(F1330=G1330,"YES","NO")</f>
        <v/>
      </c>
    </row>
    <row r="1331">
      <c r="A1331" s="6" t="inlineStr">
        <is>
          <t>Marijani Rakiep</t>
        </is>
      </c>
      <c r="B1331" s="7" t="n">
        <v>1</v>
      </c>
      <c r="C1331" s="7" t="n">
        <v>0</v>
      </c>
      <c r="D1331" s="7" t="n">
        <v>0</v>
      </c>
      <c r="E1331" s="7" t="n">
        <v>0</v>
      </c>
      <c r="F1331" s="8" t="inlineStr">
        <is>
          <t>Low</t>
        </is>
      </c>
      <c r="G1331" s="8" t="inlineStr">
        <is>
          <t>Low</t>
        </is>
      </c>
      <c r="H1331">
        <f>IF(F1331=G1331,"YES","NO")</f>
        <v/>
      </c>
    </row>
    <row r="1332">
      <c r="A1332" s="6" t="inlineStr">
        <is>
          <t>Marisa Gibson</t>
        </is>
      </c>
      <c r="B1332" s="7" t="n">
        <v>2</v>
      </c>
      <c r="C1332" s="7" t="n">
        <v>0</v>
      </c>
      <c r="D1332" s="7" t="n">
        <v>0</v>
      </c>
      <c r="E1332" s="7" t="n">
        <v>0</v>
      </c>
      <c r="F1332" s="8" t="inlineStr">
        <is>
          <t>Low</t>
        </is>
      </c>
      <c r="G1332" s="8" t="inlineStr">
        <is>
          <t>High</t>
        </is>
      </c>
      <c r="H1332">
        <f>IF(F1332=G1332,"YES","NO")</f>
        <v/>
      </c>
    </row>
    <row r="1333">
      <c r="A1333" s="6" t="inlineStr">
        <is>
          <t>Mark  Holmes</t>
        </is>
      </c>
      <c r="B1333" s="7" t="n">
        <v>5</v>
      </c>
      <c r="C1333" s="7" t="n">
        <v>0</v>
      </c>
      <c r="D1333" s="7" t="n">
        <v>0</v>
      </c>
      <c r="E1333" s="7" t="n">
        <v>0</v>
      </c>
      <c r="F1333" s="8" t="inlineStr">
        <is>
          <t>Low</t>
        </is>
      </c>
      <c r="G1333" s="8" t="inlineStr">
        <is>
          <t>Low</t>
        </is>
      </c>
      <c r="H1333">
        <f>IF(F1333=G1333,"YES","NO")</f>
        <v/>
      </c>
    </row>
    <row r="1334">
      <c r="A1334" s="6" t="inlineStr">
        <is>
          <t>Mark Blake</t>
        </is>
      </c>
      <c r="B1334" s="7" t="n">
        <v>11</v>
      </c>
      <c r="C1334" s="7" t="n">
        <v>0</v>
      </c>
      <c r="D1334" s="7" t="n">
        <v>0</v>
      </c>
      <c r="E1334" s="7" t="n">
        <v>0</v>
      </c>
      <c r="F1334" s="8" t="inlineStr">
        <is>
          <t>Low</t>
        </is>
      </c>
      <c r="G1334" s="8" t="inlineStr">
        <is>
          <t>Low</t>
        </is>
      </c>
      <c r="H1334">
        <f>IF(F1334=G1334,"YES","NO")</f>
        <v/>
      </c>
    </row>
    <row r="1335">
      <c r="A1335" s="6" t="inlineStr">
        <is>
          <t>Mark Brandt</t>
        </is>
      </c>
      <c r="B1335" s="7" t="n">
        <v>1</v>
      </c>
      <c r="C1335" s="7" t="n">
        <v>0</v>
      </c>
      <c r="D1335" s="7" t="n">
        <v>0</v>
      </c>
      <c r="E1335" s="7" t="n">
        <v>0</v>
      </c>
      <c r="F1335" s="8" t="inlineStr">
        <is>
          <t>Low</t>
        </is>
      </c>
      <c r="G1335" s="8" t="inlineStr">
        <is>
          <t>Low</t>
        </is>
      </c>
      <c r="H1335">
        <f>IF(F1335=G1335,"YES","NO")</f>
        <v/>
      </c>
    </row>
    <row r="1336">
      <c r="A1336" s="6" t="inlineStr">
        <is>
          <t>Mark Cantu</t>
        </is>
      </c>
      <c r="B1336" s="7" t="n">
        <v>4</v>
      </c>
      <c r="C1336" s="7" t="n">
        <v>0</v>
      </c>
      <c r="D1336" s="7" t="n">
        <v>0</v>
      </c>
      <c r="E1336" s="7" t="n">
        <v>0</v>
      </c>
      <c r="F1336" s="8" t="inlineStr">
        <is>
          <t>Low</t>
        </is>
      </c>
      <c r="G1336" s="8" t="inlineStr">
        <is>
          <t>Low</t>
        </is>
      </c>
      <c r="H1336">
        <f>IF(F1336=G1336,"YES","NO")</f>
        <v/>
      </c>
    </row>
    <row r="1337">
      <c r="A1337" s="6" t="inlineStr">
        <is>
          <t>Mark Demee</t>
        </is>
      </c>
      <c r="B1337" s="7" t="n">
        <v>150</v>
      </c>
      <c r="C1337" s="7" t="n">
        <v>23</v>
      </c>
      <c r="D1337" s="7" t="n">
        <v>0.1533</v>
      </c>
      <c r="E1337" s="7" t="n">
        <v>0.1044</v>
      </c>
      <c r="F1337" s="8" t="inlineStr">
        <is>
          <t>Low</t>
        </is>
      </c>
      <c r="G1337" s="8" t="inlineStr">
        <is>
          <t>High</t>
        </is>
      </c>
      <c r="H1337">
        <f>IF(F1337=G1337,"YES","NO")</f>
        <v/>
      </c>
    </row>
    <row r="1338">
      <c r="A1338" s="6" t="inlineStr">
        <is>
          <t>Mark Dodge</t>
        </is>
      </c>
      <c r="B1338" s="7" t="n">
        <v>241</v>
      </c>
      <c r="C1338" s="7" t="n">
        <v>0</v>
      </c>
      <c r="D1338" s="7" t="n">
        <v>0</v>
      </c>
      <c r="E1338" s="7" t="n">
        <v>0</v>
      </c>
      <c r="F1338" s="8" t="inlineStr">
        <is>
          <t>Low</t>
        </is>
      </c>
      <c r="G1338" s="8" t="inlineStr">
        <is>
          <t>Low</t>
        </is>
      </c>
      <c r="H1338">
        <f>IF(F1338=G1338,"YES","NO")</f>
        <v/>
      </c>
    </row>
    <row r="1339">
      <c r="A1339" s="6" t="inlineStr">
        <is>
          <t>Mark Ellis</t>
        </is>
      </c>
      <c r="B1339" s="7" t="n">
        <v>36</v>
      </c>
      <c r="C1339" s="7" t="n">
        <v>1</v>
      </c>
      <c r="D1339" s="7" t="n">
        <v>0.0278</v>
      </c>
      <c r="E1339" s="7" t="n">
        <v>0.0049</v>
      </c>
      <c r="F1339" s="8" t="inlineStr">
        <is>
          <t>Low</t>
        </is>
      </c>
      <c r="G1339" s="8" t="inlineStr">
        <is>
          <t>Low</t>
        </is>
      </c>
      <c r="H1339">
        <f>IF(F1339=G1339,"YES","NO")</f>
        <v/>
      </c>
    </row>
    <row r="1340">
      <c r="A1340" s="6" t="inlineStr">
        <is>
          <t>Mark Feld</t>
        </is>
      </c>
      <c r="B1340" s="7" t="n">
        <v>6</v>
      </c>
      <c r="C1340" s="7" t="n">
        <v>0</v>
      </c>
      <c r="D1340" s="7" t="n">
        <v>0</v>
      </c>
      <c r="E1340" s="7" t="n">
        <v>0</v>
      </c>
      <c r="F1340" s="8" t="inlineStr">
        <is>
          <t>Low</t>
        </is>
      </c>
      <c r="G1340" s="8" t="inlineStr">
        <is>
          <t>Low</t>
        </is>
      </c>
      <c r="H1340">
        <f>IF(F1340=G1340,"YES","NO")</f>
        <v/>
      </c>
    </row>
    <row r="1341">
      <c r="A1341" s="6" t="inlineStr">
        <is>
          <t>Mark Foster</t>
        </is>
      </c>
      <c r="B1341" s="7" t="n">
        <v>11</v>
      </c>
      <c r="C1341" s="7" t="n">
        <v>0</v>
      </c>
      <c r="D1341" s="7" t="n">
        <v>0</v>
      </c>
      <c r="E1341" s="7" t="n">
        <v>0</v>
      </c>
      <c r="F1341" s="8" t="inlineStr">
        <is>
          <t>Low</t>
        </is>
      </c>
      <c r="G1341" s="8" t="inlineStr">
        <is>
          <t>Low</t>
        </is>
      </c>
      <c r="H1341">
        <f>IF(F1341=G1341,"YES","NO")</f>
        <v/>
      </c>
    </row>
    <row r="1342">
      <c r="A1342" s="6" t="inlineStr">
        <is>
          <t>Mark French Franca</t>
        </is>
      </c>
      <c r="B1342" s="7" t="n">
        <v>9</v>
      </c>
      <c r="C1342" s="7" t="n">
        <v>0</v>
      </c>
      <c r="D1342" s="7" t="n">
        <v>0</v>
      </c>
      <c r="E1342" s="7" t="n">
        <v>0</v>
      </c>
      <c r="F1342" s="8" t="inlineStr">
        <is>
          <t>Low</t>
        </is>
      </c>
      <c r="G1342" s="8" t="inlineStr">
        <is>
          <t>High</t>
        </is>
      </c>
      <c r="H1342">
        <f>IF(F1342=G1342,"YES","NO")</f>
        <v/>
      </c>
    </row>
    <row r="1343">
      <c r="A1343" s="6" t="inlineStr">
        <is>
          <t>Mark Harris</t>
        </is>
      </c>
      <c r="B1343" s="7" t="n">
        <v>17</v>
      </c>
      <c r="C1343" s="7" t="n">
        <v>0</v>
      </c>
      <c r="D1343" s="7" t="n">
        <v>0</v>
      </c>
      <c r="E1343" s="7" t="n">
        <v>0</v>
      </c>
      <c r="F1343" s="8" t="inlineStr">
        <is>
          <t>Low</t>
        </is>
      </c>
      <c r="G1343" s="8" t="inlineStr">
        <is>
          <t>Low</t>
        </is>
      </c>
      <c r="H1343">
        <f>IF(F1343=G1343,"YES","NO")</f>
        <v/>
      </c>
    </row>
    <row r="1344">
      <c r="A1344" s="6" t="inlineStr">
        <is>
          <t>Mark Hawks</t>
        </is>
      </c>
      <c r="B1344" s="7" t="n">
        <v>4</v>
      </c>
      <c r="C1344" s="7" t="n">
        <v>0</v>
      </c>
      <c r="D1344" s="7" t="n">
        <v>0</v>
      </c>
      <c r="E1344" s="7" t="n">
        <v>0</v>
      </c>
      <c r="F1344" s="8" t="inlineStr">
        <is>
          <t>Low</t>
        </is>
      </c>
      <c r="G1344" s="8" t="inlineStr">
        <is>
          <t>Low</t>
        </is>
      </c>
      <c r="H1344">
        <f>IF(F1344=G1344,"YES","NO")</f>
        <v/>
      </c>
    </row>
    <row r="1345">
      <c r="A1345" s="6" t="inlineStr">
        <is>
          <t>Mark Heidrich</t>
        </is>
      </c>
      <c r="B1345" s="7" t="n">
        <v>315</v>
      </c>
      <c r="C1345" s="7" t="n">
        <v>1</v>
      </c>
      <c r="D1345" s="7" t="n">
        <v>0.0032</v>
      </c>
      <c r="E1345" s="7" t="n">
        <v>0.0005999999999999999</v>
      </c>
      <c r="F1345" s="8" t="inlineStr">
        <is>
          <t>Low</t>
        </is>
      </c>
      <c r="G1345" s="8" t="inlineStr">
        <is>
          <t>Low</t>
        </is>
      </c>
      <c r="H1345">
        <f>IF(F1345=G1345,"YES","NO")</f>
        <v/>
      </c>
    </row>
    <row r="1346">
      <c r="A1346" s="6" t="inlineStr">
        <is>
          <t>Mark Norris</t>
        </is>
      </c>
      <c r="B1346" s="7" t="n">
        <v>26</v>
      </c>
      <c r="C1346" s="7" t="n">
        <v>4</v>
      </c>
      <c r="D1346" s="7" t="n">
        <v>0.1538</v>
      </c>
      <c r="E1346" s="7" t="n">
        <v>0.0615</v>
      </c>
      <c r="F1346" s="8" t="inlineStr">
        <is>
          <t>Low</t>
        </is>
      </c>
      <c r="G1346" s="8" t="inlineStr">
        <is>
          <t>Medium</t>
        </is>
      </c>
      <c r="H1346">
        <f>IF(F1346=G1346,"YES","NO")</f>
        <v/>
      </c>
    </row>
    <row r="1347">
      <c r="A1347" s="6" t="inlineStr">
        <is>
          <t>Mark Roy</t>
        </is>
      </c>
      <c r="B1347" s="7" t="n">
        <v>48</v>
      </c>
      <c r="C1347" s="7" t="n">
        <v>0</v>
      </c>
      <c r="D1347" s="7" t="n">
        <v>0</v>
      </c>
      <c r="E1347" s="7" t="n">
        <v>0</v>
      </c>
      <c r="F1347" s="8" t="inlineStr">
        <is>
          <t>Low</t>
        </is>
      </c>
      <c r="G1347" s="8" t="inlineStr">
        <is>
          <t>Low</t>
        </is>
      </c>
      <c r="H1347">
        <f>IF(F1347=G1347,"YES","NO")</f>
        <v/>
      </c>
    </row>
    <row r="1348">
      <c r="A1348" s="6" t="inlineStr">
        <is>
          <t>Mark Slambrook</t>
        </is>
      </c>
      <c r="B1348" s="7" t="n">
        <v>188</v>
      </c>
      <c r="C1348" s="7" t="n">
        <v>0</v>
      </c>
      <c r="D1348" s="7" t="n">
        <v>0</v>
      </c>
      <c r="E1348" s="7" t="n">
        <v>0</v>
      </c>
      <c r="F1348" s="8" t="inlineStr">
        <is>
          <t>Low</t>
        </is>
      </c>
      <c r="G1348" s="8" t="inlineStr">
        <is>
          <t>Low</t>
        </is>
      </c>
      <c r="H1348">
        <f>IF(F1348=G1348,"YES","NO")</f>
        <v/>
      </c>
    </row>
    <row r="1349">
      <c r="A1349" s="6" t="inlineStr">
        <is>
          <t>Mark Slivka</t>
        </is>
      </c>
      <c r="B1349" s="7" t="n">
        <v>35</v>
      </c>
      <c r="C1349" s="7" t="n">
        <v>0</v>
      </c>
      <c r="D1349" s="7" t="n">
        <v>0</v>
      </c>
      <c r="E1349" s="7" t="n">
        <v>0</v>
      </c>
      <c r="F1349" s="8" t="inlineStr">
        <is>
          <t>Low</t>
        </is>
      </c>
      <c r="G1349" s="8" t="inlineStr">
        <is>
          <t>Low</t>
        </is>
      </c>
      <c r="H1349">
        <f>IF(F1349=G1349,"YES","NO")</f>
        <v/>
      </c>
    </row>
    <row r="1350">
      <c r="A1350" s="6" t="inlineStr">
        <is>
          <t>Mark Walkowiak</t>
        </is>
      </c>
      <c r="B1350" s="7" t="n">
        <v>8</v>
      </c>
      <c r="C1350" s="7" t="n">
        <v>0</v>
      </c>
      <c r="D1350" s="7" t="n">
        <v>0</v>
      </c>
      <c r="E1350" s="7" t="n">
        <v>0</v>
      </c>
      <c r="F1350" s="8" t="inlineStr">
        <is>
          <t>Low</t>
        </is>
      </c>
      <c r="G1350" s="8" t="inlineStr">
        <is>
          <t>Low</t>
        </is>
      </c>
      <c r="H1350">
        <f>IF(F1350=G1350,"YES","NO")</f>
        <v/>
      </c>
    </row>
    <row r="1351">
      <c r="A1351" s="6" t="inlineStr">
        <is>
          <t>Martha Doumet</t>
        </is>
      </c>
      <c r="B1351" s="7" t="n">
        <v>15</v>
      </c>
      <c r="C1351" s="7" t="n">
        <v>0</v>
      </c>
      <c r="D1351" s="7" t="n">
        <v>0</v>
      </c>
      <c r="E1351" s="7" t="n">
        <v>0</v>
      </c>
      <c r="F1351" s="8" t="inlineStr">
        <is>
          <t>Low</t>
        </is>
      </c>
      <c r="G1351" s="8" t="inlineStr">
        <is>
          <t>Low</t>
        </is>
      </c>
      <c r="H1351">
        <f>IF(F1351=G1351,"YES","NO")</f>
        <v/>
      </c>
    </row>
    <row r="1352">
      <c r="A1352" s="6" t="inlineStr">
        <is>
          <t>Martin Noci</t>
        </is>
      </c>
      <c r="B1352" s="7" t="n">
        <v>2</v>
      </c>
      <c r="C1352" s="7" t="n">
        <v>0</v>
      </c>
      <c r="D1352" s="7" t="n">
        <v>0</v>
      </c>
      <c r="E1352" s="7" t="n">
        <v>0</v>
      </c>
      <c r="F1352" s="8" t="inlineStr">
        <is>
          <t>Low</t>
        </is>
      </c>
      <c r="G1352" s="8" t="inlineStr">
        <is>
          <t>Low</t>
        </is>
      </c>
      <c r="H1352">
        <f>IF(F1352=G1352,"YES","NO")</f>
        <v/>
      </c>
    </row>
    <row r="1353">
      <c r="A1353" s="6" t="inlineStr">
        <is>
          <t>Martin Tartaglia</t>
        </is>
      </c>
      <c r="B1353" s="7" t="n">
        <v>8</v>
      </c>
      <c r="C1353" s="7" t="n">
        <v>1</v>
      </c>
      <c r="D1353" s="7" t="n">
        <v>0.125</v>
      </c>
      <c r="E1353" s="7" t="n">
        <v>0.0224</v>
      </c>
      <c r="F1353" s="8" t="inlineStr">
        <is>
          <t>Low</t>
        </is>
      </c>
      <c r="G1353" s="8" t="inlineStr">
        <is>
          <t>Low</t>
        </is>
      </c>
      <c r="H1353">
        <f>IF(F1353=G1353,"YES","NO")</f>
        <v/>
      </c>
    </row>
    <row r="1354">
      <c r="A1354" s="6" t="inlineStr">
        <is>
          <t>Marty Easterly</t>
        </is>
      </c>
      <c r="B1354" s="7" t="n">
        <v>15</v>
      </c>
      <c r="C1354" s="7" t="n">
        <v>0</v>
      </c>
      <c r="D1354" s="7" t="n">
        <v>0</v>
      </c>
      <c r="E1354" s="7" t="n">
        <v>0</v>
      </c>
      <c r="F1354" s="8" t="inlineStr">
        <is>
          <t>Low</t>
        </is>
      </c>
      <c r="G1354" s="8" t="inlineStr">
        <is>
          <t>Low</t>
        </is>
      </c>
      <c r="H1354">
        <f>IF(F1354=G1354,"YES","NO")</f>
        <v/>
      </c>
    </row>
    <row r="1355">
      <c r="A1355" s="6" t="inlineStr">
        <is>
          <t>Marty Patton</t>
        </is>
      </c>
      <c r="B1355" s="7" t="n">
        <v>116</v>
      </c>
      <c r="C1355" s="7" t="n">
        <v>17</v>
      </c>
      <c r="D1355" s="7" t="n">
        <v>0.1466</v>
      </c>
      <c r="E1355" s="7" t="n">
        <v>0.0936</v>
      </c>
      <c r="F1355" s="8" t="inlineStr">
        <is>
          <t>Low</t>
        </is>
      </c>
      <c r="G1355" s="8" t="inlineStr">
        <is>
          <t>Low</t>
        </is>
      </c>
      <c r="H1355">
        <f>IF(F1355=G1355,"YES","NO")</f>
        <v/>
      </c>
    </row>
    <row r="1356">
      <c r="A1356" s="6" t="inlineStr">
        <is>
          <t>Mary Kiger</t>
        </is>
      </c>
      <c r="B1356" s="7" t="n">
        <v>8</v>
      </c>
      <c r="C1356" s="7" t="n">
        <v>0</v>
      </c>
      <c r="D1356" s="7" t="n">
        <v>0</v>
      </c>
      <c r="E1356" s="7" t="n">
        <v>0</v>
      </c>
      <c r="F1356" s="8" t="inlineStr">
        <is>
          <t>Low</t>
        </is>
      </c>
      <c r="G1356" s="8" t="inlineStr">
        <is>
          <t>Low</t>
        </is>
      </c>
      <c r="H1356">
        <f>IF(F1356=G1356,"YES","NO")</f>
        <v/>
      </c>
    </row>
    <row r="1357">
      <c r="A1357" s="6" t="inlineStr">
        <is>
          <t>Mary Larsen</t>
        </is>
      </c>
      <c r="B1357" s="7" t="n">
        <v>127</v>
      </c>
      <c r="C1357" s="7" t="n">
        <v>0</v>
      </c>
      <c r="D1357" s="7" t="n">
        <v>0</v>
      </c>
      <c r="E1357" s="7" t="n">
        <v>0</v>
      </c>
      <c r="F1357" s="8" t="inlineStr">
        <is>
          <t>Low</t>
        </is>
      </c>
      <c r="G1357" s="8" t="inlineStr">
        <is>
          <t>Low</t>
        </is>
      </c>
      <c r="H1357">
        <f>IF(F1357=G1357,"YES","NO")</f>
        <v/>
      </c>
    </row>
    <row r="1358">
      <c r="A1358" s="6" t="inlineStr">
        <is>
          <t>Mathew Bloch</t>
        </is>
      </c>
      <c r="B1358" s="7" t="n">
        <v>2</v>
      </c>
      <c r="C1358" s="7" t="n">
        <v>0</v>
      </c>
      <c r="D1358" s="7" t="n">
        <v>0</v>
      </c>
      <c r="E1358" s="7" t="n">
        <v>0</v>
      </c>
      <c r="F1358" s="8" t="inlineStr">
        <is>
          <t>Low</t>
        </is>
      </c>
      <c r="G1358" s="8" t="inlineStr">
        <is>
          <t>Low</t>
        </is>
      </c>
      <c r="H1358">
        <f>IF(F1358=G1358,"YES","NO")</f>
        <v/>
      </c>
    </row>
    <row r="1359">
      <c r="A1359" s="6" t="inlineStr">
        <is>
          <t>Matt Bell</t>
        </is>
      </c>
      <c r="B1359" s="7" t="n">
        <v>105</v>
      </c>
      <c r="C1359" s="7" t="n">
        <v>0</v>
      </c>
      <c r="D1359" s="7" t="n">
        <v>0</v>
      </c>
      <c r="E1359" s="7" t="n">
        <v>0</v>
      </c>
      <c r="F1359" s="8" t="inlineStr">
        <is>
          <t>Low</t>
        </is>
      </c>
      <c r="G1359" s="8" t="inlineStr">
        <is>
          <t>Low</t>
        </is>
      </c>
      <c r="H1359">
        <f>IF(F1359=G1359,"YES","NO")</f>
        <v/>
      </c>
    </row>
    <row r="1360">
      <c r="A1360" s="6" t="inlineStr">
        <is>
          <t>Matt Giacheri</t>
        </is>
      </c>
      <c r="B1360" s="7" t="n">
        <v>5</v>
      </c>
      <c r="C1360" s="7" t="n">
        <v>0</v>
      </c>
      <c r="D1360" s="7" t="n">
        <v>0</v>
      </c>
      <c r="E1360" s="7" t="n">
        <v>0</v>
      </c>
      <c r="F1360" s="8" t="inlineStr">
        <is>
          <t>Low</t>
        </is>
      </c>
      <c r="G1360" s="8" t="inlineStr">
        <is>
          <t>Low</t>
        </is>
      </c>
      <c r="H1360">
        <f>IF(F1360=G1360,"YES","NO")</f>
        <v/>
      </c>
    </row>
    <row r="1361">
      <c r="A1361" s="6" t="inlineStr">
        <is>
          <t>Matt Happe</t>
        </is>
      </c>
      <c r="B1361" s="7" t="n">
        <v>293</v>
      </c>
      <c r="C1361" s="7" t="n">
        <v>6</v>
      </c>
      <c r="D1361" s="7" t="n">
        <v>0.0205</v>
      </c>
      <c r="E1361" s="7" t="n">
        <v>0.0094</v>
      </c>
      <c r="F1361" s="8" t="inlineStr">
        <is>
          <t>Low</t>
        </is>
      </c>
      <c r="G1361" s="8" t="inlineStr">
        <is>
          <t>Low</t>
        </is>
      </c>
      <c r="H1361">
        <f>IF(F1361=G1361,"YES","NO")</f>
        <v/>
      </c>
    </row>
    <row r="1362">
      <c r="A1362" s="6" t="inlineStr">
        <is>
          <t>Matt Heister</t>
        </is>
      </c>
      <c r="B1362" s="7" t="n">
        <v>2</v>
      </c>
      <c r="C1362" s="7" t="n">
        <v>0</v>
      </c>
      <c r="D1362" s="7" t="n">
        <v>0</v>
      </c>
      <c r="E1362" s="7" t="n">
        <v>0</v>
      </c>
      <c r="F1362" s="8" t="inlineStr">
        <is>
          <t>Low</t>
        </is>
      </c>
      <c r="G1362" s="8" t="inlineStr">
        <is>
          <t>Low</t>
        </is>
      </c>
      <c r="H1362">
        <f>IF(F1362=G1362,"YES","NO")</f>
        <v/>
      </c>
    </row>
    <row r="1363">
      <c r="A1363" s="6" t="inlineStr">
        <is>
          <t>Matt Hoover</t>
        </is>
      </c>
      <c r="B1363" s="7" t="n">
        <v>6</v>
      </c>
      <c r="C1363" s="7" t="n">
        <v>0</v>
      </c>
      <c r="D1363" s="7" t="n">
        <v>0</v>
      </c>
      <c r="E1363" s="7" t="n">
        <v>0</v>
      </c>
      <c r="F1363" s="8" t="inlineStr">
        <is>
          <t>Low</t>
        </is>
      </c>
      <c r="G1363" s="8" t="inlineStr">
        <is>
          <t>Low</t>
        </is>
      </c>
      <c r="H1363">
        <f>IF(F1363=G1363,"YES","NO")</f>
        <v/>
      </c>
    </row>
    <row r="1364">
      <c r="A1364" s="6" t="inlineStr">
        <is>
          <t>Matt Keating</t>
        </is>
      </c>
      <c r="B1364" s="7" t="n">
        <v>82</v>
      </c>
      <c r="C1364" s="7" t="n">
        <v>0</v>
      </c>
      <c r="D1364" s="7" t="n">
        <v>0</v>
      </c>
      <c r="E1364" s="7" t="n">
        <v>0</v>
      </c>
      <c r="F1364" s="8" t="inlineStr">
        <is>
          <t>Low</t>
        </is>
      </c>
      <c r="G1364" s="8" t="inlineStr">
        <is>
          <t>Low</t>
        </is>
      </c>
      <c r="H1364">
        <f>IF(F1364=G1364,"YES","NO")</f>
        <v/>
      </c>
    </row>
    <row r="1365">
      <c r="A1365" s="6" t="inlineStr">
        <is>
          <t>Matt Pate</t>
        </is>
      </c>
      <c r="B1365" s="7" t="n">
        <v>7</v>
      </c>
      <c r="C1365" s="7" t="n">
        <v>0</v>
      </c>
      <c r="D1365" s="7" t="n">
        <v>0</v>
      </c>
      <c r="E1365" s="7" t="n">
        <v>0</v>
      </c>
      <c r="F1365" s="8" t="inlineStr">
        <is>
          <t>Low</t>
        </is>
      </c>
      <c r="G1365" s="8" t="inlineStr">
        <is>
          <t>Low</t>
        </is>
      </c>
      <c r="H1365">
        <f>IF(F1365=G1365,"YES","NO")</f>
        <v/>
      </c>
    </row>
    <row r="1366">
      <c r="A1366" s="6" t="inlineStr">
        <is>
          <t>Matt Paulik</t>
        </is>
      </c>
      <c r="B1366" s="7" t="n">
        <v>169</v>
      </c>
      <c r="C1366" s="7" t="n">
        <v>0</v>
      </c>
      <c r="D1366" s="7" t="n">
        <v>0</v>
      </c>
      <c r="E1366" s="7" t="n">
        <v>0</v>
      </c>
      <c r="F1366" s="8" t="inlineStr">
        <is>
          <t>Low</t>
        </is>
      </c>
      <c r="G1366" s="8" t="inlineStr">
        <is>
          <t>Low</t>
        </is>
      </c>
      <c r="H1366">
        <f>IF(F1366=G1366,"YES","NO")</f>
        <v/>
      </c>
    </row>
    <row r="1367">
      <c r="A1367" s="6" t="inlineStr">
        <is>
          <t>Matt Ringel</t>
        </is>
      </c>
      <c r="B1367" s="7" t="n">
        <v>11</v>
      </c>
      <c r="C1367" s="7" t="n">
        <v>0</v>
      </c>
      <c r="D1367" s="7" t="n">
        <v>0</v>
      </c>
      <c r="E1367" s="7" t="n">
        <v>0</v>
      </c>
      <c r="F1367" s="8" t="inlineStr">
        <is>
          <t>Low</t>
        </is>
      </c>
      <c r="G1367" s="8" t="inlineStr">
        <is>
          <t>Low</t>
        </is>
      </c>
      <c r="H1367">
        <f>IF(F1367=G1367,"YES","NO")</f>
        <v/>
      </c>
    </row>
    <row r="1368">
      <c r="A1368" s="6" t="inlineStr">
        <is>
          <t>Matt Shorter</t>
        </is>
      </c>
      <c r="B1368" s="7" t="n">
        <v>5</v>
      </c>
      <c r="C1368" s="7" t="n">
        <v>0</v>
      </c>
      <c r="D1368" s="7" t="n">
        <v>0</v>
      </c>
      <c r="E1368" s="7" t="n">
        <v>0</v>
      </c>
      <c r="F1368" s="8" t="inlineStr">
        <is>
          <t>Low</t>
        </is>
      </c>
      <c r="G1368" s="8" t="inlineStr">
        <is>
          <t>Low</t>
        </is>
      </c>
      <c r="H1368">
        <f>IF(F1368=G1368,"YES","NO")</f>
        <v/>
      </c>
    </row>
    <row r="1369">
      <c r="A1369" s="6" t="inlineStr">
        <is>
          <t>Matt Smith</t>
        </is>
      </c>
      <c r="B1369" s="7" t="n">
        <v>5</v>
      </c>
      <c r="C1369" s="7" t="n">
        <v>1</v>
      </c>
      <c r="D1369" s="7" t="n">
        <v>0.2</v>
      </c>
      <c r="E1369" s="7" t="n">
        <v>0.0362</v>
      </c>
      <c r="F1369" s="8" t="inlineStr">
        <is>
          <t>Low</t>
        </is>
      </c>
      <c r="G1369" s="8" t="inlineStr">
        <is>
          <t>Low</t>
        </is>
      </c>
      <c r="H1369">
        <f>IF(F1369=G1369,"YES","NO")</f>
        <v/>
      </c>
    </row>
    <row r="1370">
      <c r="A1370" s="6" t="inlineStr">
        <is>
          <t>Matt Stratton</t>
        </is>
      </c>
      <c r="B1370" s="7" t="n">
        <v>3</v>
      </c>
      <c r="C1370" s="7" t="n">
        <v>0</v>
      </c>
      <c r="D1370" s="7" t="n">
        <v>0</v>
      </c>
      <c r="E1370" s="7" t="n">
        <v>0</v>
      </c>
      <c r="F1370" s="8" t="inlineStr">
        <is>
          <t>Low</t>
        </is>
      </c>
      <c r="G1370" s="8" t="inlineStr">
        <is>
          <t>Low</t>
        </is>
      </c>
      <c r="H1370">
        <f>IF(F1370=G1370,"YES","NO")</f>
        <v/>
      </c>
    </row>
    <row r="1371">
      <c r="A1371" s="6" t="inlineStr">
        <is>
          <t>Matt Taylor</t>
        </is>
      </c>
      <c r="B1371" s="7" t="n">
        <v>22</v>
      </c>
      <c r="C1371" s="7" t="n">
        <v>0</v>
      </c>
      <c r="D1371" s="7" t="n">
        <v>0</v>
      </c>
      <c r="E1371" s="7" t="n">
        <v>0</v>
      </c>
      <c r="F1371" s="8" t="inlineStr">
        <is>
          <t>Low</t>
        </is>
      </c>
      <c r="G1371" s="8" t="inlineStr">
        <is>
          <t>Low</t>
        </is>
      </c>
      <c r="H1371">
        <f>IF(F1371=G1371,"YES","NO")</f>
        <v/>
      </c>
    </row>
    <row r="1372">
      <c r="A1372" s="6" t="inlineStr">
        <is>
          <t>Matt Thompson</t>
        </is>
      </c>
      <c r="B1372" s="7" t="n">
        <v>5</v>
      </c>
      <c r="C1372" s="7" t="n">
        <v>0</v>
      </c>
      <c r="D1372" s="7" t="n">
        <v>0</v>
      </c>
      <c r="E1372" s="7" t="n">
        <v>0</v>
      </c>
      <c r="F1372" s="8" t="inlineStr">
        <is>
          <t>Low</t>
        </is>
      </c>
      <c r="G1372" s="8" t="inlineStr">
        <is>
          <t>Low</t>
        </is>
      </c>
      <c r="H1372">
        <f>IF(F1372=G1372,"YES","NO")</f>
        <v/>
      </c>
    </row>
    <row r="1373">
      <c r="A1373" s="6" t="inlineStr">
        <is>
          <t>Matt Westgate</t>
        </is>
      </c>
      <c r="B1373" s="7" t="n">
        <v>33</v>
      </c>
      <c r="C1373" s="7" t="n">
        <v>0</v>
      </c>
      <c r="D1373" s="7" t="n">
        <v>0</v>
      </c>
      <c r="E1373" s="7" t="n">
        <v>0</v>
      </c>
      <c r="F1373" s="8" t="inlineStr">
        <is>
          <t>Low</t>
        </is>
      </c>
      <c r="G1373" s="8" t="inlineStr">
        <is>
          <t>Low</t>
        </is>
      </c>
      <c r="H1373">
        <f>IF(F1373=G1373,"YES","NO")</f>
        <v/>
      </c>
    </row>
    <row r="1374">
      <c r="A1374" s="6" t="inlineStr">
        <is>
          <t>Matt Zieman</t>
        </is>
      </c>
      <c r="B1374" s="7" t="n">
        <v>34</v>
      </c>
      <c r="C1374" s="7" t="n">
        <v>0</v>
      </c>
      <c r="D1374" s="7" t="n">
        <v>0</v>
      </c>
      <c r="E1374" s="7" t="n">
        <v>0</v>
      </c>
      <c r="F1374" s="8" t="inlineStr">
        <is>
          <t>Low</t>
        </is>
      </c>
      <c r="G1374" s="8" t="inlineStr">
        <is>
          <t>Low</t>
        </is>
      </c>
      <c r="H1374">
        <f>IF(F1374=G1374,"YES","NO")</f>
        <v/>
      </c>
    </row>
    <row r="1375">
      <c r="A1375" s="6" t="inlineStr">
        <is>
          <t>Matthew Campione</t>
        </is>
      </c>
      <c r="B1375" s="7" t="n">
        <v>1</v>
      </c>
      <c r="C1375" s="7" t="n">
        <v>0</v>
      </c>
      <c r="D1375" s="7" t="n">
        <v>0</v>
      </c>
      <c r="E1375" s="7" t="n">
        <v>0</v>
      </c>
      <c r="F1375" s="8" t="inlineStr">
        <is>
          <t>Low</t>
        </is>
      </c>
      <c r="G1375" s="8" t="inlineStr">
        <is>
          <t>Low</t>
        </is>
      </c>
      <c r="H1375">
        <f>IF(F1375=G1375,"YES","NO")</f>
        <v/>
      </c>
    </row>
    <row r="1376">
      <c r="A1376" s="6" t="inlineStr">
        <is>
          <t>Matthew Craig</t>
        </is>
      </c>
      <c r="B1376" s="7" t="n">
        <v>2</v>
      </c>
      <c r="C1376" s="7" t="n">
        <v>0</v>
      </c>
      <c r="D1376" s="7" t="n">
        <v>0</v>
      </c>
      <c r="E1376" s="7" t="n">
        <v>0</v>
      </c>
      <c r="F1376" s="8" t="inlineStr">
        <is>
          <t>Low</t>
        </is>
      </c>
      <c r="G1376" s="8" t="inlineStr">
        <is>
          <t>Low</t>
        </is>
      </c>
      <c r="H1376">
        <f>IF(F1376=G1376,"YES","NO")</f>
        <v/>
      </c>
    </row>
    <row r="1377">
      <c r="A1377" s="6" t="inlineStr">
        <is>
          <t>Matthew Esposito</t>
        </is>
      </c>
      <c r="B1377" s="7" t="n">
        <v>1</v>
      </c>
      <c r="C1377" s="7" t="n">
        <v>0</v>
      </c>
      <c r="D1377" s="7" t="n">
        <v>0</v>
      </c>
      <c r="E1377" s="7" t="n">
        <v>0</v>
      </c>
      <c r="F1377" s="8" t="inlineStr">
        <is>
          <t>Low</t>
        </is>
      </c>
      <c r="G1377" s="8" t="inlineStr">
        <is>
          <t>Low</t>
        </is>
      </c>
      <c r="H1377">
        <f>IF(F1377=G1377,"YES","NO")</f>
        <v/>
      </c>
    </row>
    <row r="1378">
      <c r="A1378" s="6" t="inlineStr">
        <is>
          <t>Matthew Garnett</t>
        </is>
      </c>
      <c r="B1378" s="7" t="n">
        <v>3</v>
      </c>
      <c r="C1378" s="7" t="n">
        <v>0</v>
      </c>
      <c r="D1378" s="7" t="n">
        <v>0</v>
      </c>
      <c r="E1378" s="7" t="n">
        <v>0</v>
      </c>
      <c r="F1378" s="8" t="inlineStr">
        <is>
          <t>Low</t>
        </is>
      </c>
      <c r="G1378" s="8" t="inlineStr">
        <is>
          <t>Low</t>
        </is>
      </c>
      <c r="H1378">
        <f>IF(F1378=G1378,"YES","NO")</f>
        <v/>
      </c>
    </row>
    <row r="1379">
      <c r="A1379" s="6" t="inlineStr">
        <is>
          <t>Matthew Goetz</t>
        </is>
      </c>
      <c r="B1379" s="7" t="n">
        <v>1</v>
      </c>
      <c r="C1379" s="7" t="n">
        <v>0</v>
      </c>
      <c r="D1379" s="7" t="n">
        <v>0</v>
      </c>
      <c r="E1379" s="7" t="n">
        <v>0</v>
      </c>
      <c r="F1379" s="8" t="inlineStr">
        <is>
          <t>Low</t>
        </is>
      </c>
      <c r="G1379" s="8" t="inlineStr">
        <is>
          <t>Low</t>
        </is>
      </c>
      <c r="H1379">
        <f>IF(F1379=G1379,"YES","NO")</f>
        <v/>
      </c>
    </row>
    <row r="1380">
      <c r="A1380" s="6" t="inlineStr">
        <is>
          <t>Matthew Moser</t>
        </is>
      </c>
      <c r="B1380" s="7" t="n">
        <v>189</v>
      </c>
      <c r="C1380" s="7" t="n">
        <v>1</v>
      </c>
      <c r="D1380" s="7" t="n">
        <v>0.0053</v>
      </c>
      <c r="E1380" s="7" t="n">
        <v>0.0009</v>
      </c>
      <c r="F1380" s="8" t="inlineStr">
        <is>
          <t>Low</t>
        </is>
      </c>
      <c r="G1380" s="8" t="inlineStr">
        <is>
          <t>Low</t>
        </is>
      </c>
      <c r="H1380">
        <f>IF(F1380=G1380,"YES","NO")</f>
        <v/>
      </c>
    </row>
    <row r="1381">
      <c r="A1381" s="6" t="inlineStr">
        <is>
          <t>Matthew Salzano</t>
        </is>
      </c>
      <c r="B1381" s="7" t="n">
        <v>59</v>
      </c>
      <c r="C1381" s="7" t="n">
        <v>2</v>
      </c>
      <c r="D1381" s="7" t="n">
        <v>0.0339</v>
      </c>
      <c r="E1381" s="7" t="n">
        <v>0.009299999999999999</v>
      </c>
      <c r="F1381" s="8" t="inlineStr">
        <is>
          <t>Low</t>
        </is>
      </c>
      <c r="G1381" s="8" t="inlineStr">
        <is>
          <t>Low</t>
        </is>
      </c>
      <c r="H1381">
        <f>IF(F1381=G1381,"YES","NO")</f>
        <v/>
      </c>
    </row>
    <row r="1382">
      <c r="A1382" s="6" t="inlineStr">
        <is>
          <t>Matthew Scheehle</t>
        </is>
      </c>
      <c r="B1382" s="7" t="n">
        <v>208</v>
      </c>
      <c r="C1382" s="7" t="n">
        <v>7</v>
      </c>
      <c r="D1382" s="7" t="n">
        <v>0.0337</v>
      </c>
      <c r="E1382" s="7" t="n">
        <v>0.0164</v>
      </c>
      <c r="F1382" s="8" t="inlineStr">
        <is>
          <t>Low</t>
        </is>
      </c>
      <c r="G1382" s="8" t="inlineStr">
        <is>
          <t>Low</t>
        </is>
      </c>
      <c r="H1382">
        <f>IF(F1382=G1382,"YES","NO")</f>
        <v/>
      </c>
    </row>
    <row r="1383">
      <c r="A1383" s="6" t="inlineStr">
        <is>
          <t>Max Belhaj</t>
        </is>
      </c>
      <c r="B1383" s="7" t="n">
        <v>1</v>
      </c>
      <c r="C1383" s="7" t="n">
        <v>0</v>
      </c>
      <c r="D1383" s="7" t="n">
        <v>0</v>
      </c>
      <c r="E1383" s="7" t="n">
        <v>0</v>
      </c>
      <c r="F1383" s="8" t="inlineStr">
        <is>
          <t>Low</t>
        </is>
      </c>
      <c r="G1383" s="8" t="inlineStr">
        <is>
          <t>Low</t>
        </is>
      </c>
      <c r="H1383">
        <f>IF(F1383=G1383,"YES","NO")</f>
        <v/>
      </c>
    </row>
    <row r="1384">
      <c r="A1384" s="6" t="inlineStr">
        <is>
          <t>Max Gustafson</t>
        </is>
      </c>
      <c r="B1384" s="7" t="n">
        <v>78</v>
      </c>
      <c r="C1384" s="7" t="n">
        <v>0</v>
      </c>
      <c r="D1384" s="7" t="n">
        <v>0</v>
      </c>
      <c r="E1384" s="7" t="n">
        <v>0</v>
      </c>
      <c r="F1384" s="8" t="inlineStr">
        <is>
          <t>Low</t>
        </is>
      </c>
      <c r="G1384" s="8" t="inlineStr">
        <is>
          <t>Low</t>
        </is>
      </c>
      <c r="H1384">
        <f>IF(F1384=G1384,"YES","NO")</f>
        <v/>
      </c>
    </row>
    <row r="1385">
      <c r="A1385" s="6" t="inlineStr">
        <is>
          <t>Max Jernigan</t>
        </is>
      </c>
      <c r="B1385" s="7" t="n">
        <v>15</v>
      </c>
      <c r="C1385" s="7" t="n">
        <v>0</v>
      </c>
      <c r="D1385" s="7" t="n">
        <v>0</v>
      </c>
      <c r="E1385" s="7" t="n">
        <v>0</v>
      </c>
      <c r="F1385" s="8" t="inlineStr">
        <is>
          <t>Low</t>
        </is>
      </c>
      <c r="G1385" s="8" t="inlineStr">
        <is>
          <t>Low</t>
        </is>
      </c>
      <c r="H1385">
        <f>IF(F1385=G1385,"YES","NO")</f>
        <v/>
      </c>
    </row>
    <row r="1386">
      <c r="A1386" s="6" t="inlineStr">
        <is>
          <t>Max McLaughlin</t>
        </is>
      </c>
      <c r="B1386" s="7" t="n">
        <v>34</v>
      </c>
      <c r="C1386" s="7" t="n">
        <v>4</v>
      </c>
      <c r="D1386" s="7" t="n">
        <v>0.1176</v>
      </c>
      <c r="E1386" s="7" t="n">
        <v>0.0467</v>
      </c>
      <c r="F1386" s="8" t="inlineStr">
        <is>
          <t>Low</t>
        </is>
      </c>
      <c r="G1386" s="8" t="inlineStr">
        <is>
          <t>Low</t>
        </is>
      </c>
      <c r="H1386">
        <f>IF(F1386=G1386,"YES","NO")</f>
        <v/>
      </c>
    </row>
    <row r="1387">
      <c r="A1387" s="6" t="inlineStr">
        <is>
          <t>McKenzie Hollenbeck</t>
        </is>
      </c>
      <c r="B1387" s="7" t="n">
        <v>10</v>
      </c>
      <c r="C1387" s="7" t="n">
        <v>0</v>
      </c>
      <c r="D1387" s="7" t="n">
        <v>0</v>
      </c>
      <c r="E1387" s="7" t="n">
        <v>0</v>
      </c>
      <c r="F1387" s="8" t="inlineStr">
        <is>
          <t>Low</t>
        </is>
      </c>
      <c r="G1387" s="8" t="inlineStr">
        <is>
          <t>Low</t>
        </is>
      </c>
      <c r="H1387">
        <f>IF(F1387=G1387,"YES","NO")</f>
        <v/>
      </c>
    </row>
    <row r="1388">
      <c r="A1388" s="6" t="inlineStr">
        <is>
          <t>Mea Marti</t>
        </is>
      </c>
      <c r="B1388" s="7" t="n">
        <v>1</v>
      </c>
      <c r="C1388" s="7" t="n">
        <v>0</v>
      </c>
      <c r="D1388" s="7" t="n">
        <v>0</v>
      </c>
      <c r="E1388" s="7" t="n">
        <v>0</v>
      </c>
      <c r="F1388" s="8" t="inlineStr">
        <is>
          <t>Low</t>
        </is>
      </c>
      <c r="G1388" s="8" t="inlineStr">
        <is>
          <t>Low</t>
        </is>
      </c>
      <c r="H1388">
        <f>IF(F1388=G1388,"YES","NO")</f>
        <v/>
      </c>
    </row>
    <row r="1389">
      <c r="A1389" s="6" t="inlineStr">
        <is>
          <t>Megan Jedry</t>
        </is>
      </c>
      <c r="B1389" s="7" t="n">
        <v>47</v>
      </c>
      <c r="C1389" s="7" t="n">
        <v>0</v>
      </c>
      <c r="D1389" s="7" t="n">
        <v>0</v>
      </c>
      <c r="E1389" s="7" t="n">
        <v>0</v>
      </c>
      <c r="F1389" s="8" t="inlineStr">
        <is>
          <t>Low</t>
        </is>
      </c>
      <c r="G1389" s="8" t="inlineStr">
        <is>
          <t>Low</t>
        </is>
      </c>
      <c r="H1389">
        <f>IF(F1389=G1389,"YES","NO")</f>
        <v/>
      </c>
    </row>
    <row r="1390">
      <c r="A1390" s="6" t="inlineStr">
        <is>
          <t>Megan Landreneau</t>
        </is>
      </c>
      <c r="B1390" s="7" t="n">
        <v>48</v>
      </c>
      <c r="C1390" s="7" t="n">
        <v>3</v>
      </c>
      <c r="D1390" s="7" t="n">
        <v>0.0625</v>
      </c>
      <c r="E1390" s="7" t="n">
        <v>0.0215</v>
      </c>
      <c r="F1390" s="8" t="inlineStr">
        <is>
          <t>Low</t>
        </is>
      </c>
      <c r="G1390" s="8" t="inlineStr">
        <is>
          <t>Low</t>
        </is>
      </c>
      <c r="H1390">
        <f>IF(F1390=G1390,"YES","NO")</f>
        <v/>
      </c>
    </row>
    <row r="1391">
      <c r="A1391" s="6" t="inlineStr">
        <is>
          <t>Meghan Flett</t>
        </is>
      </c>
      <c r="B1391" s="7" t="n">
        <v>24</v>
      </c>
      <c r="C1391" s="7" t="n">
        <v>0</v>
      </c>
      <c r="D1391" s="7" t="n">
        <v>0</v>
      </c>
      <c r="E1391" s="7" t="n">
        <v>0</v>
      </c>
      <c r="F1391" s="8" t="inlineStr">
        <is>
          <t>Low</t>
        </is>
      </c>
      <c r="G1391" s="8" t="inlineStr">
        <is>
          <t>Low</t>
        </is>
      </c>
      <c r="H1391">
        <f>IF(F1391=G1391,"YES","NO")</f>
        <v/>
      </c>
    </row>
    <row r="1392">
      <c r="A1392" s="6" t="inlineStr">
        <is>
          <t>Meghan Hatfield</t>
        </is>
      </c>
      <c r="B1392" s="7" t="n">
        <v>2</v>
      </c>
      <c r="C1392" s="7" t="n">
        <v>0</v>
      </c>
      <c r="D1392" s="7" t="n">
        <v>0</v>
      </c>
      <c r="E1392" s="7" t="n">
        <v>0</v>
      </c>
      <c r="F1392" s="8" t="inlineStr">
        <is>
          <t>Low</t>
        </is>
      </c>
      <c r="G1392" s="8" t="inlineStr">
        <is>
          <t>Low</t>
        </is>
      </c>
      <c r="H1392">
        <f>IF(F1392=G1392,"YES","NO")</f>
        <v/>
      </c>
    </row>
    <row r="1393">
      <c r="A1393" s="6" t="inlineStr">
        <is>
          <t>Mehdi Ali</t>
        </is>
      </c>
      <c r="B1393" s="7" t="n">
        <v>1</v>
      </c>
      <c r="C1393" s="7" t="n">
        <v>0</v>
      </c>
      <c r="D1393" s="7" t="n">
        <v>0</v>
      </c>
      <c r="E1393" s="7" t="n">
        <v>0</v>
      </c>
      <c r="F1393" s="8" t="inlineStr">
        <is>
          <t>Low</t>
        </is>
      </c>
      <c r="G1393" s="8" t="inlineStr">
        <is>
          <t>Low</t>
        </is>
      </c>
      <c r="H1393">
        <f>IF(F1393=G1393,"YES","NO")</f>
        <v/>
      </c>
    </row>
    <row r="1394">
      <c r="A1394" s="6" t="inlineStr">
        <is>
          <t>Mel Matthews</t>
        </is>
      </c>
      <c r="B1394" s="7" t="n">
        <v>70</v>
      </c>
      <c r="C1394" s="7" t="n">
        <v>0</v>
      </c>
      <c r="D1394" s="7" t="n">
        <v>0</v>
      </c>
      <c r="E1394" s="7" t="n">
        <v>0</v>
      </c>
      <c r="F1394" s="8" t="inlineStr">
        <is>
          <t>Low</t>
        </is>
      </c>
      <c r="G1394" s="8" t="inlineStr">
        <is>
          <t>Low</t>
        </is>
      </c>
      <c r="H1394">
        <f>IF(F1394=G1394,"YES","NO")</f>
        <v/>
      </c>
    </row>
    <row r="1395">
      <c r="A1395" s="6" t="inlineStr">
        <is>
          <t>Melanie Bouffard</t>
        </is>
      </c>
      <c r="B1395" s="7" t="n">
        <v>2</v>
      </c>
      <c r="C1395" s="7" t="n">
        <v>0</v>
      </c>
      <c r="D1395" s="7" t="n">
        <v>0</v>
      </c>
      <c r="E1395" s="7" t="n">
        <v>0</v>
      </c>
      <c r="F1395" s="8" t="inlineStr">
        <is>
          <t>Low</t>
        </is>
      </c>
      <c r="G1395" s="8" t="inlineStr">
        <is>
          <t>Low</t>
        </is>
      </c>
      <c r="H1395">
        <f>IF(F1395=G1395,"YES","NO")</f>
        <v/>
      </c>
    </row>
    <row r="1396">
      <c r="A1396" s="6" t="inlineStr">
        <is>
          <t>Melissa Castor</t>
        </is>
      </c>
      <c r="B1396" s="7" t="n">
        <v>389</v>
      </c>
      <c r="C1396" s="7" t="n">
        <v>20</v>
      </c>
      <c r="D1396" s="7" t="n">
        <v>0.0514</v>
      </c>
      <c r="E1396" s="7" t="n">
        <v>0.0335</v>
      </c>
      <c r="F1396" s="8" t="inlineStr">
        <is>
          <t>Low</t>
        </is>
      </c>
      <c r="G1396" s="8" t="inlineStr">
        <is>
          <t>Low</t>
        </is>
      </c>
      <c r="H1396">
        <f>IF(F1396=G1396,"YES","NO")</f>
        <v/>
      </c>
    </row>
    <row r="1397">
      <c r="A1397" s="6" t="inlineStr">
        <is>
          <t>Melissa Hawkins</t>
        </is>
      </c>
      <c r="B1397" s="7" t="n">
        <v>78</v>
      </c>
      <c r="C1397" s="7" t="n">
        <v>0</v>
      </c>
      <c r="D1397" s="7" t="n">
        <v>0</v>
      </c>
      <c r="E1397" s="7" t="n">
        <v>0</v>
      </c>
      <c r="F1397" s="8" t="inlineStr">
        <is>
          <t>Low</t>
        </is>
      </c>
      <c r="G1397" s="8" t="inlineStr">
        <is>
          <t>Low</t>
        </is>
      </c>
      <c r="H1397">
        <f>IF(F1397=G1397,"YES","NO")</f>
        <v/>
      </c>
    </row>
    <row r="1398">
      <c r="A1398" s="6" t="inlineStr">
        <is>
          <t>Melissa Skinner</t>
        </is>
      </c>
      <c r="B1398" s="7" t="n">
        <v>1</v>
      </c>
      <c r="C1398" s="7" t="n">
        <v>0</v>
      </c>
      <c r="D1398" s="7" t="n">
        <v>0</v>
      </c>
      <c r="E1398" s="7" t="n">
        <v>0</v>
      </c>
      <c r="F1398" s="8" t="inlineStr">
        <is>
          <t>Low</t>
        </is>
      </c>
      <c r="G1398" s="8" t="inlineStr">
        <is>
          <t>High</t>
        </is>
      </c>
      <c r="H1398">
        <f>IF(F1398=G1398,"YES","NO")</f>
        <v/>
      </c>
    </row>
    <row r="1399">
      <c r="A1399" s="6" t="inlineStr">
        <is>
          <t>Meredith Caddell</t>
        </is>
      </c>
      <c r="B1399" s="7" t="n">
        <v>38</v>
      </c>
      <c r="C1399" s="7" t="n">
        <v>5</v>
      </c>
      <c r="D1399" s="7" t="n">
        <v>0.1316</v>
      </c>
      <c r="E1399" s="7" t="n">
        <v>0.0575</v>
      </c>
      <c r="F1399" s="8" t="inlineStr">
        <is>
          <t>Low</t>
        </is>
      </c>
      <c r="G1399" s="8" t="inlineStr">
        <is>
          <t>Low</t>
        </is>
      </c>
      <c r="H1399">
        <f>IF(F1399=G1399,"YES","NO")</f>
        <v/>
      </c>
    </row>
    <row r="1400">
      <c r="A1400" s="6" t="inlineStr">
        <is>
          <t>Michael Allred</t>
        </is>
      </c>
      <c r="B1400" s="7" t="n">
        <v>3</v>
      </c>
      <c r="C1400" s="7" t="n">
        <v>0</v>
      </c>
      <c r="D1400" s="7" t="n">
        <v>0</v>
      </c>
      <c r="E1400" s="7" t="n">
        <v>0</v>
      </c>
      <c r="F1400" s="8" t="inlineStr">
        <is>
          <t>Low</t>
        </is>
      </c>
      <c r="G1400" s="8" t="inlineStr">
        <is>
          <t>Low</t>
        </is>
      </c>
      <c r="H1400">
        <f>IF(F1400=G1400,"YES","NO")</f>
        <v/>
      </c>
    </row>
    <row r="1401">
      <c r="A1401" s="6" t="inlineStr">
        <is>
          <t>Michael Ankney</t>
        </is>
      </c>
      <c r="B1401" s="7" t="n">
        <v>136</v>
      </c>
      <c r="C1401" s="7" t="n">
        <v>2</v>
      </c>
      <c r="D1401" s="7" t="n">
        <v>0.0147</v>
      </c>
      <c r="E1401" s="7" t="n">
        <v>0.004</v>
      </c>
      <c r="F1401" s="8" t="inlineStr">
        <is>
          <t>Low</t>
        </is>
      </c>
      <c r="G1401" s="8" t="inlineStr">
        <is>
          <t>Low</t>
        </is>
      </c>
      <c r="H1401">
        <f>IF(F1401=G1401,"YES","NO")</f>
        <v/>
      </c>
    </row>
    <row r="1402">
      <c r="A1402" s="6" t="inlineStr">
        <is>
          <t>Michael Bodis</t>
        </is>
      </c>
      <c r="B1402" s="7" t="n">
        <v>74</v>
      </c>
      <c r="C1402" s="7" t="n">
        <v>8</v>
      </c>
      <c r="D1402" s="7" t="n">
        <v>0.1081</v>
      </c>
      <c r="E1402" s="7" t="n">
        <v>0.0558</v>
      </c>
      <c r="F1402" s="8" t="inlineStr">
        <is>
          <t>Low</t>
        </is>
      </c>
      <c r="G1402" s="8" t="inlineStr">
        <is>
          <t>Low</t>
        </is>
      </c>
      <c r="H1402">
        <f>IF(F1402=G1402,"YES","NO")</f>
        <v/>
      </c>
    </row>
    <row r="1403">
      <c r="A1403" s="6" t="inlineStr">
        <is>
          <t>Michael Bonk</t>
        </is>
      </c>
      <c r="B1403" s="7" t="n">
        <v>12</v>
      </c>
      <c r="C1403" s="7" t="n">
        <v>0</v>
      </c>
      <c r="D1403" s="7" t="n">
        <v>0</v>
      </c>
      <c r="E1403" s="7" t="n">
        <v>0</v>
      </c>
      <c r="F1403" s="8" t="inlineStr">
        <is>
          <t>Low</t>
        </is>
      </c>
      <c r="G1403" s="8" t="inlineStr">
        <is>
          <t>Low</t>
        </is>
      </c>
      <c r="H1403">
        <f>IF(F1403=G1403,"YES","NO")</f>
        <v/>
      </c>
    </row>
    <row r="1404">
      <c r="A1404" s="6" t="inlineStr">
        <is>
          <t>Michael Burmaster</t>
        </is>
      </c>
      <c r="B1404" s="7" t="n">
        <v>138</v>
      </c>
      <c r="C1404" s="7" t="n">
        <v>21</v>
      </c>
      <c r="D1404" s="7" t="n">
        <v>0.1522</v>
      </c>
      <c r="E1404" s="7" t="n">
        <v>0.1017</v>
      </c>
      <c r="F1404" s="8" t="inlineStr">
        <is>
          <t>Low</t>
        </is>
      </c>
      <c r="G1404" s="8" t="inlineStr">
        <is>
          <t>High</t>
        </is>
      </c>
      <c r="H1404">
        <f>IF(F1404=G1404,"YES","NO")</f>
        <v/>
      </c>
    </row>
    <row r="1405">
      <c r="A1405" s="6" t="inlineStr">
        <is>
          <t>Michael Dominick</t>
        </is>
      </c>
      <c r="B1405" s="7" t="n">
        <v>26</v>
      </c>
      <c r="C1405" s="7" t="n">
        <v>2</v>
      </c>
      <c r="D1405" s="7" t="n">
        <v>0.0769</v>
      </c>
      <c r="E1405" s="7" t="n">
        <v>0.0214</v>
      </c>
      <c r="F1405" s="8" t="inlineStr">
        <is>
          <t>Low</t>
        </is>
      </c>
      <c r="G1405" s="8" t="inlineStr">
        <is>
          <t>Low</t>
        </is>
      </c>
      <c r="H1405">
        <f>IF(F1405=G1405,"YES","NO")</f>
        <v/>
      </c>
    </row>
    <row r="1406">
      <c r="A1406" s="6" t="inlineStr">
        <is>
          <t>Michael Drumm</t>
        </is>
      </c>
      <c r="B1406" s="7" t="n">
        <v>11</v>
      </c>
      <c r="C1406" s="7" t="n">
        <v>0</v>
      </c>
      <c r="D1406" s="7" t="n">
        <v>0</v>
      </c>
      <c r="E1406" s="7" t="n">
        <v>0</v>
      </c>
      <c r="F1406" s="8" t="inlineStr">
        <is>
          <t>Low</t>
        </is>
      </c>
      <c r="G1406" s="8" t="inlineStr">
        <is>
          <t>Low</t>
        </is>
      </c>
      <c r="H1406">
        <f>IF(F1406=G1406,"YES","NO")</f>
        <v/>
      </c>
    </row>
    <row r="1407">
      <c r="A1407" s="6" t="inlineStr">
        <is>
          <t>Michael Gosnell</t>
        </is>
      </c>
      <c r="B1407" s="7" t="n">
        <v>64</v>
      </c>
      <c r="C1407" s="7" t="n">
        <v>1</v>
      </c>
      <c r="D1407" s="7" t="n">
        <v>0.0156</v>
      </c>
      <c r="E1407" s="7" t="n">
        <v>0.0028</v>
      </c>
      <c r="F1407" s="8" t="inlineStr">
        <is>
          <t>Low</t>
        </is>
      </c>
      <c r="G1407" s="8" t="inlineStr">
        <is>
          <t>Low</t>
        </is>
      </c>
      <c r="H1407">
        <f>IF(F1407=G1407,"YES","NO")</f>
        <v/>
      </c>
    </row>
    <row r="1408">
      <c r="A1408" s="6" t="inlineStr">
        <is>
          <t>Michael Hall</t>
        </is>
      </c>
      <c r="B1408" s="7" t="n">
        <v>2</v>
      </c>
      <c r="C1408" s="7" t="n">
        <v>0</v>
      </c>
      <c r="D1408" s="7" t="n">
        <v>0</v>
      </c>
      <c r="E1408" s="7" t="n">
        <v>0</v>
      </c>
      <c r="F1408" s="8" t="inlineStr">
        <is>
          <t>Low</t>
        </is>
      </c>
      <c r="G1408" s="8" t="inlineStr">
        <is>
          <t>Low</t>
        </is>
      </c>
      <c r="H1408">
        <f>IF(F1408=G1408,"YES","NO")</f>
        <v/>
      </c>
    </row>
    <row r="1409">
      <c r="A1409" s="6" t="inlineStr">
        <is>
          <t>Michael Harmon</t>
        </is>
      </c>
      <c r="B1409" s="7" t="n">
        <v>55</v>
      </c>
      <c r="C1409" s="7" t="n">
        <v>3</v>
      </c>
      <c r="D1409" s="7" t="n">
        <v>0.0545</v>
      </c>
      <c r="E1409" s="7" t="n">
        <v>0.0187</v>
      </c>
      <c r="F1409" s="8" t="inlineStr">
        <is>
          <t>Low</t>
        </is>
      </c>
      <c r="G1409" s="8" t="inlineStr">
        <is>
          <t>Low</t>
        </is>
      </c>
      <c r="H1409">
        <f>IF(F1409=G1409,"YES","NO")</f>
        <v/>
      </c>
    </row>
    <row r="1410">
      <c r="A1410" s="6" t="inlineStr">
        <is>
          <t>Michael Hayes</t>
        </is>
      </c>
      <c r="B1410" s="7" t="n">
        <v>6</v>
      </c>
      <c r="C1410" s="7" t="n">
        <v>0</v>
      </c>
      <c r="D1410" s="7" t="n">
        <v>0</v>
      </c>
      <c r="E1410" s="7" t="n">
        <v>0</v>
      </c>
      <c r="F1410" s="8" t="inlineStr">
        <is>
          <t>Low</t>
        </is>
      </c>
      <c r="G1410" s="8" t="inlineStr">
        <is>
          <t>Low</t>
        </is>
      </c>
      <c r="H1410">
        <f>IF(F1410=G1410,"YES","NO")</f>
        <v/>
      </c>
    </row>
    <row r="1411">
      <c r="A1411" s="6" t="inlineStr">
        <is>
          <t>Michael Healey</t>
        </is>
      </c>
      <c r="B1411" s="7" t="n">
        <v>332</v>
      </c>
      <c r="C1411" s="7" t="n">
        <v>31</v>
      </c>
      <c r="D1411" s="7" t="n">
        <v>0.0934</v>
      </c>
      <c r="E1411" s="7" t="n">
        <v>0.06660000000000001</v>
      </c>
      <c r="F1411" s="8" t="inlineStr">
        <is>
          <t>Low</t>
        </is>
      </c>
      <c r="G1411" s="8" t="inlineStr">
        <is>
          <t>Low</t>
        </is>
      </c>
      <c r="H1411">
        <f>IF(F1411=G1411,"YES","NO")</f>
        <v/>
      </c>
    </row>
    <row r="1412">
      <c r="A1412" s="6" t="inlineStr">
        <is>
          <t>Michael Koons</t>
        </is>
      </c>
      <c r="B1412" s="7" t="n">
        <v>4</v>
      </c>
      <c r="C1412" s="7" t="n">
        <v>0</v>
      </c>
      <c r="D1412" s="7" t="n">
        <v>0</v>
      </c>
      <c r="E1412" s="7" t="n">
        <v>0</v>
      </c>
      <c r="F1412" s="8" t="inlineStr">
        <is>
          <t>Low</t>
        </is>
      </c>
      <c r="G1412" s="8" t="inlineStr">
        <is>
          <t>Medium</t>
        </is>
      </c>
      <c r="H1412">
        <f>IF(F1412=G1412,"YES","NO")</f>
        <v/>
      </c>
    </row>
    <row r="1413">
      <c r="A1413" s="6" t="inlineStr">
        <is>
          <t>Michael Koza</t>
        </is>
      </c>
      <c r="B1413" s="7" t="n">
        <v>67</v>
      </c>
      <c r="C1413" s="7" t="n">
        <v>0</v>
      </c>
      <c r="D1413" s="7" t="n">
        <v>0</v>
      </c>
      <c r="E1413" s="7" t="n">
        <v>0</v>
      </c>
      <c r="F1413" s="8" t="inlineStr">
        <is>
          <t>Low</t>
        </is>
      </c>
      <c r="G1413" s="8" t="inlineStr">
        <is>
          <t>Low</t>
        </is>
      </c>
      <c r="H1413">
        <f>IF(F1413=G1413,"YES","NO")</f>
        <v/>
      </c>
    </row>
    <row r="1414">
      <c r="A1414" s="6" t="inlineStr">
        <is>
          <t>Michael Latona</t>
        </is>
      </c>
      <c r="B1414" s="7" t="n">
        <v>161</v>
      </c>
      <c r="C1414" s="7" t="n">
        <v>0</v>
      </c>
      <c r="D1414" s="7" t="n">
        <v>0</v>
      </c>
      <c r="E1414" s="7" t="n">
        <v>0</v>
      </c>
      <c r="F1414" s="8" t="inlineStr">
        <is>
          <t>Low</t>
        </is>
      </c>
      <c r="G1414" s="8" t="inlineStr">
        <is>
          <t>Low</t>
        </is>
      </c>
      <c r="H1414">
        <f>IF(F1414=G1414,"YES","NO")</f>
        <v/>
      </c>
    </row>
    <row r="1415">
      <c r="A1415" s="6" t="inlineStr">
        <is>
          <t>Michael Leveque</t>
        </is>
      </c>
      <c r="B1415" s="7" t="n">
        <v>47</v>
      </c>
      <c r="C1415" s="7" t="n">
        <v>0</v>
      </c>
      <c r="D1415" s="7" t="n">
        <v>0</v>
      </c>
      <c r="E1415" s="7" t="n">
        <v>0</v>
      </c>
      <c r="F1415" s="8" t="inlineStr">
        <is>
          <t>Low</t>
        </is>
      </c>
      <c r="G1415" s="8" t="inlineStr">
        <is>
          <t>Low</t>
        </is>
      </c>
      <c r="H1415">
        <f>IF(F1415=G1415,"YES","NO")</f>
        <v/>
      </c>
    </row>
    <row r="1416">
      <c r="A1416" s="6" t="inlineStr">
        <is>
          <t>Michael Mathews</t>
        </is>
      </c>
      <c r="B1416" s="7" t="n">
        <v>213</v>
      </c>
      <c r="C1416" s="7" t="n">
        <v>18</v>
      </c>
      <c r="D1416" s="7" t="n">
        <v>0.08450000000000001</v>
      </c>
      <c r="E1416" s="7" t="n">
        <v>0.0541</v>
      </c>
      <c r="F1416" s="8" t="inlineStr">
        <is>
          <t>Low</t>
        </is>
      </c>
      <c r="G1416" s="8" t="inlineStr">
        <is>
          <t>Low</t>
        </is>
      </c>
      <c r="H1416">
        <f>IF(F1416=G1416,"YES","NO")</f>
        <v/>
      </c>
    </row>
    <row r="1417">
      <c r="A1417" s="6" t="inlineStr">
        <is>
          <t>Michael Meador</t>
        </is>
      </c>
      <c r="B1417" s="7" t="n">
        <v>64</v>
      </c>
      <c r="C1417" s="7" t="n">
        <v>0</v>
      </c>
      <c r="D1417" s="7" t="n">
        <v>0</v>
      </c>
      <c r="E1417" s="7" t="n">
        <v>0</v>
      </c>
      <c r="F1417" s="8" t="inlineStr">
        <is>
          <t>Low</t>
        </is>
      </c>
      <c r="G1417" s="8" t="inlineStr">
        <is>
          <t>Low</t>
        </is>
      </c>
      <c r="H1417">
        <f>IF(F1417=G1417,"YES","NO")</f>
        <v/>
      </c>
    </row>
    <row r="1418">
      <c r="A1418" s="6" t="inlineStr">
        <is>
          <t>Michael Miller</t>
        </is>
      </c>
      <c r="B1418" s="7" t="n">
        <v>547</v>
      </c>
      <c r="C1418" s="7" t="n">
        <v>5</v>
      </c>
      <c r="D1418" s="7" t="n">
        <v>0.0091</v>
      </c>
      <c r="E1418" s="7" t="n">
        <v>0.0039</v>
      </c>
      <c r="F1418" s="8" t="inlineStr">
        <is>
          <t>Low</t>
        </is>
      </c>
      <c r="G1418" s="8" t="inlineStr">
        <is>
          <t>Low</t>
        </is>
      </c>
      <c r="H1418">
        <f>IF(F1418=G1418,"YES","NO")</f>
        <v/>
      </c>
    </row>
    <row r="1419">
      <c r="A1419" s="6" t="inlineStr">
        <is>
          <t>Michael Popp</t>
        </is>
      </c>
      <c r="B1419" s="7" t="n">
        <v>3</v>
      </c>
      <c r="C1419" s="7" t="n">
        <v>0</v>
      </c>
      <c r="D1419" s="7" t="n">
        <v>0</v>
      </c>
      <c r="E1419" s="7" t="n">
        <v>0</v>
      </c>
      <c r="F1419" s="8" t="inlineStr">
        <is>
          <t>Low</t>
        </is>
      </c>
      <c r="G1419" s="8" t="inlineStr">
        <is>
          <t>Low</t>
        </is>
      </c>
      <c r="H1419">
        <f>IF(F1419=G1419,"YES","NO")</f>
        <v/>
      </c>
    </row>
    <row r="1420">
      <c r="A1420" s="6" t="inlineStr">
        <is>
          <t>Michael Rogers</t>
        </is>
      </c>
      <c r="B1420" s="7" t="n">
        <v>505</v>
      </c>
      <c r="C1420" s="7" t="n">
        <v>19</v>
      </c>
      <c r="D1420" s="7" t="n">
        <v>0.0376</v>
      </c>
      <c r="E1420" s="7" t="n">
        <v>0.0242</v>
      </c>
      <c r="F1420" s="8" t="inlineStr">
        <is>
          <t>Low</t>
        </is>
      </c>
      <c r="G1420" s="8" t="inlineStr">
        <is>
          <t>Low</t>
        </is>
      </c>
      <c r="H1420">
        <f>IF(F1420=G1420,"YES","NO")</f>
        <v/>
      </c>
    </row>
    <row r="1421">
      <c r="A1421" s="6" t="inlineStr">
        <is>
          <t>Michael Schrimpf</t>
        </is>
      </c>
      <c r="B1421" s="7" t="n">
        <v>4</v>
      </c>
      <c r="C1421" s="7" t="n">
        <v>0</v>
      </c>
      <c r="D1421" s="7" t="n">
        <v>0</v>
      </c>
      <c r="E1421" s="7" t="n">
        <v>0</v>
      </c>
      <c r="F1421" s="8" t="inlineStr">
        <is>
          <t>Low</t>
        </is>
      </c>
      <c r="G1421" s="8" t="inlineStr">
        <is>
          <t>Low</t>
        </is>
      </c>
      <c r="H1421">
        <f>IF(F1421=G1421,"YES","NO")</f>
        <v/>
      </c>
    </row>
    <row r="1422">
      <c r="A1422" s="6" t="inlineStr">
        <is>
          <t>Michael Shearer</t>
        </is>
      </c>
      <c r="B1422" s="7" t="n">
        <v>48</v>
      </c>
      <c r="C1422" s="7" t="n">
        <v>3</v>
      </c>
      <c r="D1422" s="7" t="n">
        <v>0.0625</v>
      </c>
      <c r="E1422" s="7" t="n">
        <v>0.0215</v>
      </c>
      <c r="F1422" s="8" t="inlineStr">
        <is>
          <t>Low</t>
        </is>
      </c>
      <c r="G1422" s="8" t="inlineStr">
        <is>
          <t>Low</t>
        </is>
      </c>
      <c r="H1422">
        <f>IF(F1422=G1422,"YES","NO")</f>
        <v/>
      </c>
    </row>
    <row r="1423">
      <c r="A1423" s="6" t="inlineStr">
        <is>
          <t>Michael Walsh</t>
        </is>
      </c>
      <c r="B1423" s="7" t="n">
        <v>59</v>
      </c>
      <c r="C1423" s="7" t="n">
        <v>2</v>
      </c>
      <c r="D1423" s="7" t="n">
        <v>0.0339</v>
      </c>
      <c r="E1423" s="7" t="n">
        <v>0.009299999999999999</v>
      </c>
      <c r="F1423" s="8" t="inlineStr">
        <is>
          <t>Low</t>
        </is>
      </c>
      <c r="G1423" s="8" t="inlineStr">
        <is>
          <t>Low</t>
        </is>
      </c>
      <c r="H1423">
        <f>IF(F1423=G1423,"YES","NO")</f>
        <v/>
      </c>
    </row>
    <row r="1424">
      <c r="A1424" s="6" t="inlineStr">
        <is>
          <t>Michael White</t>
        </is>
      </c>
      <c r="B1424" s="7" t="n">
        <v>29</v>
      </c>
      <c r="C1424" s="7" t="n">
        <v>1</v>
      </c>
      <c r="D1424" s="7" t="n">
        <v>0.0345</v>
      </c>
      <c r="E1424" s="7" t="n">
        <v>0.0061</v>
      </c>
      <c r="F1424" s="8" t="inlineStr">
        <is>
          <t>Low</t>
        </is>
      </c>
      <c r="G1424" s="8" t="inlineStr">
        <is>
          <t>Low</t>
        </is>
      </c>
      <c r="H1424">
        <f>IF(F1424=G1424,"YES","NO")</f>
        <v/>
      </c>
    </row>
    <row r="1425">
      <c r="A1425" s="6" t="inlineStr">
        <is>
          <t>Michael Zecchino</t>
        </is>
      </c>
      <c r="B1425" s="7" t="n">
        <v>46</v>
      </c>
      <c r="C1425" s="7" t="n">
        <v>0</v>
      </c>
      <c r="D1425" s="7" t="n">
        <v>0</v>
      </c>
      <c r="E1425" s="7" t="n">
        <v>0</v>
      </c>
      <c r="F1425" s="8" t="inlineStr">
        <is>
          <t>Low</t>
        </is>
      </c>
      <c r="G1425" s="8" t="inlineStr">
        <is>
          <t>Low</t>
        </is>
      </c>
      <c r="H1425">
        <f>IF(F1425=G1425,"YES","NO")</f>
        <v/>
      </c>
    </row>
    <row r="1426">
      <c r="A1426" s="6" t="inlineStr">
        <is>
          <t>Michaela Elkobtan</t>
        </is>
      </c>
      <c r="B1426" s="7" t="n">
        <v>2</v>
      </c>
      <c r="C1426" s="7" t="n">
        <v>0</v>
      </c>
      <c r="D1426" s="7" t="n">
        <v>0</v>
      </c>
      <c r="E1426" s="7" t="n">
        <v>0</v>
      </c>
      <c r="F1426" s="8" t="inlineStr">
        <is>
          <t>Low</t>
        </is>
      </c>
      <c r="G1426" s="8" t="inlineStr">
        <is>
          <t>Low</t>
        </is>
      </c>
      <c r="H1426">
        <f>IF(F1426=G1426,"YES","NO")</f>
        <v/>
      </c>
    </row>
    <row r="1427">
      <c r="A1427" s="6" t="inlineStr">
        <is>
          <t>Micheal Rousseau</t>
        </is>
      </c>
      <c r="B1427" s="7" t="n">
        <v>1</v>
      </c>
      <c r="C1427" s="7" t="n">
        <v>0</v>
      </c>
      <c r="D1427" s="7" t="n">
        <v>0</v>
      </c>
      <c r="E1427" s="7" t="n">
        <v>0</v>
      </c>
      <c r="F1427" s="8" t="inlineStr">
        <is>
          <t>Low</t>
        </is>
      </c>
      <c r="G1427" s="8" t="inlineStr">
        <is>
          <t>Low</t>
        </is>
      </c>
      <c r="H1427">
        <f>IF(F1427=G1427,"YES","NO")</f>
        <v/>
      </c>
    </row>
    <row r="1428">
      <c r="A1428" s="6" t="inlineStr">
        <is>
          <t>Michel Boulet</t>
        </is>
      </c>
      <c r="B1428" s="7" t="n">
        <v>1</v>
      </c>
      <c r="C1428" s="7" t="n">
        <v>0</v>
      </c>
      <c r="D1428" s="7" t="n">
        <v>0</v>
      </c>
      <c r="E1428" s="7" t="n">
        <v>0</v>
      </c>
      <c r="F1428" s="8" t="inlineStr">
        <is>
          <t>Low</t>
        </is>
      </c>
      <c r="G1428" s="8" t="inlineStr">
        <is>
          <t>Low</t>
        </is>
      </c>
      <c r="H1428">
        <f>IF(F1428=G1428,"YES","NO")</f>
        <v/>
      </c>
    </row>
    <row r="1429">
      <c r="A1429" s="6" t="inlineStr">
        <is>
          <t>Michel Kehdy</t>
        </is>
      </c>
      <c r="B1429" s="7" t="n">
        <v>1</v>
      </c>
      <c r="C1429" s="7" t="n">
        <v>0</v>
      </c>
      <c r="D1429" s="7" t="n">
        <v>0</v>
      </c>
      <c r="E1429" s="7" t="n">
        <v>0</v>
      </c>
      <c r="F1429" s="8" t="inlineStr">
        <is>
          <t>Low</t>
        </is>
      </c>
      <c r="G1429" s="8" t="inlineStr">
        <is>
          <t>Low</t>
        </is>
      </c>
      <c r="H1429">
        <f>IF(F1429=G1429,"YES","NO")</f>
        <v/>
      </c>
    </row>
    <row r="1430">
      <c r="A1430" s="6" t="inlineStr">
        <is>
          <t>Michelle Brill</t>
        </is>
      </c>
      <c r="B1430" s="7" t="n">
        <v>321</v>
      </c>
      <c r="C1430" s="7" t="n">
        <v>11</v>
      </c>
      <c r="D1430" s="7" t="n">
        <v>0.0343</v>
      </c>
      <c r="E1430" s="7" t="n">
        <v>0.0192</v>
      </c>
      <c r="F1430" s="8" t="inlineStr">
        <is>
          <t>Low</t>
        </is>
      </c>
      <c r="G1430" s="8" t="inlineStr">
        <is>
          <t>Low</t>
        </is>
      </c>
      <c r="H1430">
        <f>IF(F1430=G1430,"YES","NO")</f>
        <v/>
      </c>
    </row>
    <row r="1431">
      <c r="A1431" s="6" t="inlineStr">
        <is>
          <t>Michelle Gilbert</t>
        </is>
      </c>
      <c r="B1431" s="7" t="n">
        <v>3</v>
      </c>
      <c r="C1431" s="7" t="n">
        <v>0</v>
      </c>
      <c r="D1431" s="7" t="n">
        <v>0</v>
      </c>
      <c r="E1431" s="7" t="n">
        <v>0</v>
      </c>
      <c r="F1431" s="8" t="inlineStr">
        <is>
          <t>Low</t>
        </is>
      </c>
      <c r="G1431" s="8" t="inlineStr">
        <is>
          <t>Medium</t>
        </is>
      </c>
      <c r="H1431">
        <f>IF(F1431=G1431,"YES","NO")</f>
        <v/>
      </c>
    </row>
    <row r="1432">
      <c r="A1432" s="6" t="inlineStr">
        <is>
          <t>Michelle Herring</t>
        </is>
      </c>
      <c r="B1432" s="7" t="n">
        <v>5</v>
      </c>
      <c r="C1432" s="7" t="n">
        <v>0</v>
      </c>
      <c r="D1432" s="7" t="n">
        <v>0</v>
      </c>
      <c r="E1432" s="7" t="n">
        <v>0</v>
      </c>
      <c r="F1432" s="8" t="inlineStr">
        <is>
          <t>Low</t>
        </is>
      </c>
      <c r="G1432" s="8" t="inlineStr">
        <is>
          <t>Low</t>
        </is>
      </c>
      <c r="H1432">
        <f>IF(F1432=G1432,"YES","NO")</f>
        <v/>
      </c>
    </row>
    <row r="1433">
      <c r="A1433" s="6" t="inlineStr">
        <is>
          <t>Mika  Cohen</t>
        </is>
      </c>
      <c r="B1433" s="7" t="n">
        <v>8</v>
      </c>
      <c r="C1433" s="7" t="n">
        <v>0</v>
      </c>
      <c r="D1433" s="7" t="n">
        <v>0</v>
      </c>
      <c r="E1433" s="7" t="n">
        <v>0</v>
      </c>
      <c r="F1433" s="8" t="inlineStr">
        <is>
          <t>Low</t>
        </is>
      </c>
      <c r="G1433" s="8" t="inlineStr">
        <is>
          <t>Low</t>
        </is>
      </c>
      <c r="H1433">
        <f>IF(F1433=G1433,"YES","NO")</f>
        <v/>
      </c>
    </row>
    <row r="1434">
      <c r="A1434" s="6" t="inlineStr">
        <is>
          <t>Mike  Scully</t>
        </is>
      </c>
      <c r="B1434" s="7" t="n">
        <v>101</v>
      </c>
      <c r="C1434" s="7" t="n">
        <v>4</v>
      </c>
      <c r="D1434" s="7" t="n">
        <v>0.0396</v>
      </c>
      <c r="E1434" s="7" t="n">
        <v>0.0155</v>
      </c>
      <c r="F1434" s="8" t="inlineStr">
        <is>
          <t>Low</t>
        </is>
      </c>
      <c r="G1434" s="8" t="inlineStr">
        <is>
          <t>Low</t>
        </is>
      </c>
      <c r="H1434">
        <f>IF(F1434=G1434,"YES","NO")</f>
        <v/>
      </c>
    </row>
    <row r="1435">
      <c r="A1435" s="6" t="inlineStr">
        <is>
          <t>Mike Beardemphl</t>
        </is>
      </c>
      <c r="B1435" s="7" t="n">
        <v>1</v>
      </c>
      <c r="C1435" s="7" t="n">
        <v>0</v>
      </c>
      <c r="D1435" s="7" t="n">
        <v>0</v>
      </c>
      <c r="E1435" s="7" t="n">
        <v>0</v>
      </c>
      <c r="F1435" s="8" t="inlineStr">
        <is>
          <t>Low</t>
        </is>
      </c>
      <c r="G1435" s="8" t="inlineStr">
        <is>
          <t>Low</t>
        </is>
      </c>
      <c r="H1435">
        <f>IF(F1435=G1435,"YES","NO")</f>
        <v/>
      </c>
    </row>
    <row r="1436">
      <c r="A1436" s="6" t="inlineStr">
        <is>
          <t>Mike Brettl</t>
        </is>
      </c>
      <c r="B1436" s="7" t="n">
        <v>1</v>
      </c>
      <c r="C1436" s="7" t="n">
        <v>0</v>
      </c>
      <c r="D1436" s="7" t="n">
        <v>0</v>
      </c>
      <c r="E1436" s="7" t="n">
        <v>0</v>
      </c>
      <c r="F1436" s="8" t="inlineStr">
        <is>
          <t>Low</t>
        </is>
      </c>
      <c r="G1436" s="8" t="inlineStr">
        <is>
          <t>High</t>
        </is>
      </c>
      <c r="H1436">
        <f>IF(F1436=G1436,"YES","NO")</f>
        <v/>
      </c>
    </row>
    <row r="1437">
      <c r="A1437" s="6" t="inlineStr">
        <is>
          <t>Mike Burgio</t>
        </is>
      </c>
      <c r="B1437" s="7" t="n">
        <v>18</v>
      </c>
      <c r="C1437" s="7" t="n">
        <v>0</v>
      </c>
      <c r="D1437" s="7" t="n">
        <v>0</v>
      </c>
      <c r="E1437" s="7" t="n">
        <v>0</v>
      </c>
      <c r="F1437" s="8" t="inlineStr">
        <is>
          <t>Low</t>
        </is>
      </c>
      <c r="G1437" s="8" t="inlineStr">
        <is>
          <t>Low</t>
        </is>
      </c>
      <c r="H1437">
        <f>IF(F1437=G1437,"YES","NO")</f>
        <v/>
      </c>
    </row>
    <row r="1438">
      <c r="A1438" s="6" t="inlineStr">
        <is>
          <t>Mike Cook</t>
        </is>
      </c>
      <c r="B1438" s="7" t="n">
        <v>15</v>
      </c>
      <c r="C1438" s="7" t="n">
        <v>0</v>
      </c>
      <c r="D1438" s="7" t="n">
        <v>0</v>
      </c>
      <c r="E1438" s="7" t="n">
        <v>0</v>
      </c>
      <c r="F1438" s="8" t="inlineStr">
        <is>
          <t>Low</t>
        </is>
      </c>
      <c r="G1438" s="8" t="inlineStr">
        <is>
          <t>Low</t>
        </is>
      </c>
      <c r="H1438">
        <f>IF(F1438=G1438,"YES","NO")</f>
        <v/>
      </c>
    </row>
    <row r="1439">
      <c r="A1439" s="6" t="inlineStr">
        <is>
          <t>Mike Cornell</t>
        </is>
      </c>
      <c r="B1439" s="7" t="n">
        <v>16</v>
      </c>
      <c r="C1439" s="7" t="n">
        <v>0</v>
      </c>
      <c r="D1439" s="7" t="n">
        <v>0</v>
      </c>
      <c r="E1439" s="7" t="n">
        <v>0</v>
      </c>
      <c r="F1439" s="8" t="inlineStr">
        <is>
          <t>Low</t>
        </is>
      </c>
      <c r="G1439" s="8" t="inlineStr">
        <is>
          <t>Low</t>
        </is>
      </c>
      <c r="H1439">
        <f>IF(F1439=G1439,"YES","NO")</f>
        <v/>
      </c>
    </row>
    <row r="1440">
      <c r="A1440" s="6" t="inlineStr">
        <is>
          <t>Mike Davis</t>
        </is>
      </c>
      <c r="B1440" s="7" t="n">
        <v>228</v>
      </c>
      <c r="C1440" s="7" t="n">
        <v>2</v>
      </c>
      <c r="D1440" s="7" t="n">
        <v>0.008800000000000001</v>
      </c>
      <c r="E1440" s="7" t="n">
        <v>0.0024</v>
      </c>
      <c r="F1440" s="8" t="inlineStr">
        <is>
          <t>Low</t>
        </is>
      </c>
      <c r="G1440" s="8" t="inlineStr">
        <is>
          <t>Low</t>
        </is>
      </c>
      <c r="H1440">
        <f>IF(F1440=G1440,"YES","NO")</f>
        <v/>
      </c>
    </row>
    <row r="1441">
      <c r="A1441" s="6" t="inlineStr">
        <is>
          <t>Mike Eakins</t>
        </is>
      </c>
      <c r="B1441" s="7" t="n">
        <v>40</v>
      </c>
      <c r="C1441" s="7" t="n">
        <v>1</v>
      </c>
      <c r="D1441" s="7" t="n">
        <v>0.025</v>
      </c>
      <c r="E1441" s="7" t="n">
        <v>0.0044</v>
      </c>
      <c r="F1441" s="8" t="inlineStr">
        <is>
          <t>Low</t>
        </is>
      </c>
      <c r="G1441" s="8" t="inlineStr">
        <is>
          <t>Low</t>
        </is>
      </c>
      <c r="H1441">
        <f>IF(F1441=G1441,"YES","NO")</f>
        <v/>
      </c>
    </row>
    <row r="1442">
      <c r="A1442" s="6" t="inlineStr">
        <is>
          <t>Mike Garofola</t>
        </is>
      </c>
      <c r="B1442" s="7" t="n">
        <v>1</v>
      </c>
      <c r="C1442" s="7" t="n">
        <v>0</v>
      </c>
      <c r="D1442" s="7" t="n">
        <v>0</v>
      </c>
      <c r="E1442" s="7" t="n">
        <v>0</v>
      </c>
      <c r="F1442" s="8" t="inlineStr">
        <is>
          <t>Low</t>
        </is>
      </c>
      <c r="G1442" s="8" t="inlineStr">
        <is>
          <t>Low</t>
        </is>
      </c>
      <c r="H1442">
        <f>IF(F1442=G1442,"YES","NO")</f>
        <v/>
      </c>
    </row>
    <row r="1443">
      <c r="A1443" s="6" t="inlineStr">
        <is>
          <t>Mike Gossett</t>
        </is>
      </c>
      <c r="B1443" s="7" t="n">
        <v>32</v>
      </c>
      <c r="C1443" s="7" t="n">
        <v>0</v>
      </c>
      <c r="D1443" s="7" t="n">
        <v>0</v>
      </c>
      <c r="E1443" s="7" t="n">
        <v>0</v>
      </c>
      <c r="F1443" s="8" t="inlineStr">
        <is>
          <t>Low</t>
        </is>
      </c>
      <c r="G1443" s="8" t="inlineStr">
        <is>
          <t>Low</t>
        </is>
      </c>
      <c r="H1443">
        <f>IF(F1443=G1443,"YES","NO")</f>
        <v/>
      </c>
    </row>
    <row r="1444">
      <c r="A1444" s="6" t="inlineStr">
        <is>
          <t>Mike Grove</t>
        </is>
      </c>
      <c r="B1444" s="7" t="n">
        <v>1</v>
      </c>
      <c r="C1444" s="7" t="n">
        <v>0</v>
      </c>
      <c r="D1444" s="7" t="n">
        <v>0</v>
      </c>
      <c r="E1444" s="7" t="n">
        <v>0</v>
      </c>
      <c r="F1444" s="8" t="inlineStr">
        <is>
          <t>Low</t>
        </is>
      </c>
      <c r="G1444" s="8" t="inlineStr">
        <is>
          <t>Low</t>
        </is>
      </c>
      <c r="H1444">
        <f>IF(F1444=G1444,"YES","NO")</f>
        <v/>
      </c>
    </row>
    <row r="1445">
      <c r="A1445" s="6" t="inlineStr">
        <is>
          <t>Mike Langelier</t>
        </is>
      </c>
      <c r="B1445" s="7" t="n">
        <v>29</v>
      </c>
      <c r="C1445" s="7" t="n">
        <v>0</v>
      </c>
      <c r="D1445" s="7" t="n">
        <v>0</v>
      </c>
      <c r="E1445" s="7" t="n">
        <v>0</v>
      </c>
      <c r="F1445" s="8" t="inlineStr">
        <is>
          <t>Low</t>
        </is>
      </c>
      <c r="G1445" s="8" t="inlineStr">
        <is>
          <t>Low</t>
        </is>
      </c>
      <c r="H1445">
        <f>IF(F1445=G1445,"YES","NO")</f>
        <v/>
      </c>
    </row>
    <row r="1446">
      <c r="A1446" s="6" t="inlineStr">
        <is>
          <t>Mike Leibham</t>
        </is>
      </c>
      <c r="B1446" s="7" t="n">
        <v>13</v>
      </c>
      <c r="C1446" s="7" t="n">
        <v>0</v>
      </c>
      <c r="D1446" s="7" t="n">
        <v>0</v>
      </c>
      <c r="E1446" s="7" t="n">
        <v>0</v>
      </c>
      <c r="F1446" s="8" t="inlineStr">
        <is>
          <t>Low</t>
        </is>
      </c>
      <c r="G1446" s="8" t="inlineStr">
        <is>
          <t>Low</t>
        </is>
      </c>
      <c r="H1446">
        <f>IF(F1446=G1446,"YES","NO")</f>
        <v/>
      </c>
    </row>
    <row r="1447">
      <c r="A1447" s="6" t="inlineStr">
        <is>
          <t>Mike Mannella</t>
        </is>
      </c>
      <c r="B1447" s="7" t="n">
        <v>8</v>
      </c>
      <c r="C1447" s="7" t="n">
        <v>0</v>
      </c>
      <c r="D1447" s="7" t="n">
        <v>0</v>
      </c>
      <c r="E1447" s="7" t="n">
        <v>0</v>
      </c>
      <c r="F1447" s="8" t="inlineStr">
        <is>
          <t>Low</t>
        </is>
      </c>
      <c r="G1447" s="8" t="inlineStr">
        <is>
          <t>Low</t>
        </is>
      </c>
      <c r="H1447">
        <f>IF(F1447=G1447,"YES","NO")</f>
        <v/>
      </c>
    </row>
    <row r="1448">
      <c r="A1448" s="6" t="inlineStr">
        <is>
          <t>Mike Marlow</t>
        </is>
      </c>
      <c r="B1448" s="7" t="n">
        <v>31</v>
      </c>
      <c r="C1448" s="7" t="n">
        <v>2</v>
      </c>
      <c r="D1448" s="7" t="n">
        <v>0.0645</v>
      </c>
      <c r="E1448" s="7" t="n">
        <v>0.0179</v>
      </c>
      <c r="F1448" s="8" t="inlineStr">
        <is>
          <t>Low</t>
        </is>
      </c>
      <c r="G1448" s="8" t="inlineStr">
        <is>
          <t>Low</t>
        </is>
      </c>
      <c r="H1448">
        <f>IF(F1448=G1448,"YES","NO")</f>
        <v/>
      </c>
    </row>
    <row r="1449">
      <c r="A1449" s="6" t="inlineStr">
        <is>
          <t>Mike Molodow</t>
        </is>
      </c>
      <c r="B1449" s="7" t="n">
        <v>104</v>
      </c>
      <c r="C1449" s="7" t="n">
        <v>3</v>
      </c>
      <c r="D1449" s="7" t="n">
        <v>0.0288</v>
      </c>
      <c r="E1449" s="7" t="n">
        <v>0.009900000000000001</v>
      </c>
      <c r="F1449" s="8" t="inlineStr">
        <is>
          <t>Low</t>
        </is>
      </c>
      <c r="G1449" s="8" t="inlineStr">
        <is>
          <t>Low</t>
        </is>
      </c>
      <c r="H1449">
        <f>IF(F1449=G1449,"YES","NO")</f>
        <v/>
      </c>
    </row>
    <row r="1450">
      <c r="A1450" s="6" t="inlineStr">
        <is>
          <t>Mike Moser</t>
        </is>
      </c>
      <c r="B1450" s="7" t="n">
        <v>56</v>
      </c>
      <c r="C1450" s="7" t="n">
        <v>9</v>
      </c>
      <c r="D1450" s="7" t="n">
        <v>0.1607</v>
      </c>
      <c r="E1450" s="7" t="n">
        <v>0.08690000000000001</v>
      </c>
      <c r="F1450" s="8" t="inlineStr">
        <is>
          <t>Low</t>
        </is>
      </c>
      <c r="G1450" s="8" t="inlineStr">
        <is>
          <t>Low</t>
        </is>
      </c>
      <c r="H1450">
        <f>IF(F1450=G1450,"YES","NO")</f>
        <v/>
      </c>
    </row>
    <row r="1451">
      <c r="A1451" s="6" t="inlineStr">
        <is>
          <t>Mike Murdoch</t>
        </is>
      </c>
      <c r="B1451" s="7" t="n">
        <v>136</v>
      </c>
      <c r="C1451" s="7" t="n">
        <v>14</v>
      </c>
      <c r="D1451" s="7" t="n">
        <v>0.1029</v>
      </c>
      <c r="E1451" s="7" t="n">
        <v>0.0623</v>
      </c>
      <c r="F1451" s="8" t="inlineStr">
        <is>
          <t>Low</t>
        </is>
      </c>
      <c r="G1451" s="8" t="inlineStr">
        <is>
          <t>Low</t>
        </is>
      </c>
      <c r="H1451">
        <f>IF(F1451=G1451,"YES","NO")</f>
        <v/>
      </c>
    </row>
    <row r="1452">
      <c r="A1452" s="6" t="inlineStr">
        <is>
          <t>Mike Nelson</t>
        </is>
      </c>
      <c r="B1452" s="7" t="n">
        <v>49</v>
      </c>
      <c r="C1452" s="7" t="n">
        <v>2</v>
      </c>
      <c r="D1452" s="7" t="n">
        <v>0.0408</v>
      </c>
      <c r="E1452" s="7" t="n">
        <v>0.0113</v>
      </c>
      <c r="F1452" s="8" t="inlineStr">
        <is>
          <t>Low</t>
        </is>
      </c>
      <c r="G1452" s="8" t="inlineStr">
        <is>
          <t>Low</t>
        </is>
      </c>
      <c r="H1452">
        <f>IF(F1452=G1452,"YES","NO")</f>
        <v/>
      </c>
    </row>
    <row r="1453">
      <c r="A1453" s="6" t="inlineStr">
        <is>
          <t>Mike Qualls</t>
        </is>
      </c>
      <c r="B1453" s="7" t="n">
        <v>6</v>
      </c>
      <c r="C1453" s="7" t="n">
        <v>1</v>
      </c>
      <c r="D1453" s="7" t="n">
        <v>0.1667</v>
      </c>
      <c r="E1453" s="7" t="n">
        <v>0.0301</v>
      </c>
      <c r="F1453" s="8" t="inlineStr">
        <is>
          <t>Low</t>
        </is>
      </c>
      <c r="G1453" s="8" t="inlineStr">
        <is>
          <t>Low</t>
        </is>
      </c>
      <c r="H1453">
        <f>IF(F1453=G1453,"YES","NO")</f>
        <v/>
      </c>
    </row>
    <row r="1454">
      <c r="A1454" s="6" t="inlineStr">
        <is>
          <t>Mike Sanderford</t>
        </is>
      </c>
      <c r="B1454" s="7" t="n">
        <v>296</v>
      </c>
      <c r="C1454" s="7" t="n">
        <v>14</v>
      </c>
      <c r="D1454" s="7" t="n">
        <v>0.0473</v>
      </c>
      <c r="E1454" s="7" t="n">
        <v>0.0284</v>
      </c>
      <c r="F1454" s="8" t="inlineStr">
        <is>
          <t>Low</t>
        </is>
      </c>
      <c r="G1454" s="8" t="inlineStr">
        <is>
          <t>Low</t>
        </is>
      </c>
      <c r="H1454">
        <f>IF(F1454=G1454,"YES","NO")</f>
        <v/>
      </c>
    </row>
    <row r="1455">
      <c r="A1455" s="6" t="inlineStr">
        <is>
          <t>Mike Stephens</t>
        </is>
      </c>
      <c r="B1455" s="7" t="n">
        <v>13</v>
      </c>
      <c r="C1455" s="7" t="n">
        <v>1</v>
      </c>
      <c r="D1455" s="7" t="n">
        <v>0.0769</v>
      </c>
      <c r="E1455" s="7" t="n">
        <v>0.0137</v>
      </c>
      <c r="F1455" s="8" t="inlineStr">
        <is>
          <t>Low</t>
        </is>
      </c>
      <c r="G1455" s="8" t="inlineStr">
        <is>
          <t>Medium</t>
        </is>
      </c>
      <c r="H1455">
        <f>IF(F1455=G1455,"YES","NO")</f>
        <v/>
      </c>
    </row>
    <row r="1456">
      <c r="A1456" s="6" t="inlineStr">
        <is>
          <t>Mikel Mahoney</t>
        </is>
      </c>
      <c r="B1456" s="7" t="n">
        <v>9</v>
      </c>
      <c r="C1456" s="7" t="n">
        <v>0</v>
      </c>
      <c r="D1456" s="7" t="n">
        <v>0</v>
      </c>
      <c r="E1456" s="7" t="n">
        <v>0</v>
      </c>
      <c r="F1456" s="8" t="inlineStr">
        <is>
          <t>Low</t>
        </is>
      </c>
      <c r="G1456" s="8" t="inlineStr">
        <is>
          <t>Low</t>
        </is>
      </c>
      <c r="H1456">
        <f>IF(F1456=G1456,"YES","NO")</f>
        <v/>
      </c>
    </row>
    <row r="1457">
      <c r="A1457" s="6" t="inlineStr">
        <is>
          <t>Miriam Gunter</t>
        </is>
      </c>
      <c r="B1457" s="7" t="n">
        <v>14</v>
      </c>
      <c r="C1457" s="7" t="n">
        <v>0</v>
      </c>
      <c r="D1457" s="7" t="n">
        <v>0</v>
      </c>
      <c r="E1457" s="7" t="n">
        <v>0</v>
      </c>
      <c r="F1457" s="8" t="inlineStr">
        <is>
          <t>Low</t>
        </is>
      </c>
      <c r="G1457" s="8" t="inlineStr">
        <is>
          <t>Low</t>
        </is>
      </c>
      <c r="H1457">
        <f>IF(F1457=G1457,"YES","NO")</f>
        <v/>
      </c>
    </row>
    <row r="1458">
      <c r="A1458" s="6" t="inlineStr">
        <is>
          <t>Miriam Johnson</t>
        </is>
      </c>
      <c r="B1458" s="7" t="n">
        <v>14</v>
      </c>
      <c r="C1458" s="7" t="n">
        <v>0</v>
      </c>
      <c r="D1458" s="7" t="n">
        <v>0</v>
      </c>
      <c r="E1458" s="7" t="n">
        <v>0</v>
      </c>
      <c r="F1458" s="8" t="inlineStr">
        <is>
          <t>Low</t>
        </is>
      </c>
      <c r="G1458" s="8" t="inlineStr">
        <is>
          <t>Low</t>
        </is>
      </c>
      <c r="H1458">
        <f>IF(F1458=G1458,"YES","NO")</f>
        <v/>
      </c>
    </row>
    <row r="1459">
      <c r="A1459" s="6" t="inlineStr">
        <is>
          <t>Mishelle Maher</t>
        </is>
      </c>
      <c r="B1459" s="7" t="n">
        <v>11</v>
      </c>
      <c r="C1459" s="7" t="n">
        <v>0</v>
      </c>
      <c r="D1459" s="7" t="n">
        <v>0</v>
      </c>
      <c r="E1459" s="7" t="n">
        <v>0</v>
      </c>
      <c r="F1459" s="8" t="inlineStr">
        <is>
          <t>Low</t>
        </is>
      </c>
      <c r="G1459" s="8" t="inlineStr">
        <is>
          <t>Low</t>
        </is>
      </c>
      <c r="H1459">
        <f>IF(F1459=G1459,"YES","NO")</f>
        <v/>
      </c>
    </row>
    <row r="1460">
      <c r="A1460" s="6" t="inlineStr">
        <is>
          <t>Mitch Lowrey</t>
        </is>
      </c>
      <c r="B1460" s="7" t="n">
        <v>13</v>
      </c>
      <c r="C1460" s="7" t="n">
        <v>0</v>
      </c>
      <c r="D1460" s="7" t="n">
        <v>0</v>
      </c>
      <c r="E1460" s="7" t="n">
        <v>0</v>
      </c>
      <c r="F1460" s="8" t="inlineStr">
        <is>
          <t>Low</t>
        </is>
      </c>
      <c r="G1460" s="8" t="inlineStr">
        <is>
          <t>Low</t>
        </is>
      </c>
      <c r="H1460">
        <f>IF(F1460=G1460,"YES","NO")</f>
        <v/>
      </c>
    </row>
    <row r="1461">
      <c r="A1461" s="6" t="inlineStr">
        <is>
          <t>Mitch Molbeck</t>
        </is>
      </c>
      <c r="B1461" s="7" t="n">
        <v>2</v>
      </c>
      <c r="C1461" s="7" t="n">
        <v>0</v>
      </c>
      <c r="D1461" s="7" t="n">
        <v>0</v>
      </c>
      <c r="E1461" s="7" t="n">
        <v>0</v>
      </c>
      <c r="F1461" s="8" t="inlineStr">
        <is>
          <t>Low</t>
        </is>
      </c>
      <c r="G1461" s="8" t="inlineStr">
        <is>
          <t>Low</t>
        </is>
      </c>
      <c r="H1461">
        <f>IF(F1461=G1461,"YES","NO")</f>
        <v/>
      </c>
    </row>
    <row r="1462">
      <c r="A1462" s="6" t="inlineStr">
        <is>
          <t>Mitch Werner</t>
        </is>
      </c>
      <c r="B1462" s="7" t="n">
        <v>92</v>
      </c>
      <c r="C1462" s="7" t="n">
        <v>4</v>
      </c>
      <c r="D1462" s="7" t="n">
        <v>0.0435</v>
      </c>
      <c r="E1462" s="7" t="n">
        <v>0.017</v>
      </c>
      <c r="F1462" s="8" t="inlineStr">
        <is>
          <t>Low</t>
        </is>
      </c>
      <c r="G1462" s="8" t="inlineStr">
        <is>
          <t>Low</t>
        </is>
      </c>
      <c r="H1462">
        <f>IF(F1462=G1462,"YES","NO")</f>
        <v/>
      </c>
    </row>
    <row r="1463">
      <c r="A1463" s="6" t="inlineStr">
        <is>
          <t>Mitchell Bradshaw</t>
        </is>
      </c>
      <c r="B1463" s="7" t="n">
        <v>62</v>
      </c>
      <c r="C1463" s="7" t="n">
        <v>0</v>
      </c>
      <c r="D1463" s="7" t="n">
        <v>0</v>
      </c>
      <c r="E1463" s="7" t="n">
        <v>0</v>
      </c>
      <c r="F1463" s="8" t="inlineStr">
        <is>
          <t>Low</t>
        </is>
      </c>
      <c r="G1463" s="8" t="inlineStr">
        <is>
          <t>Low</t>
        </is>
      </c>
      <c r="H1463">
        <f>IF(F1463=G1463,"YES","NO")</f>
        <v/>
      </c>
    </row>
    <row r="1464">
      <c r="A1464" s="6" t="inlineStr">
        <is>
          <t>Mitchell Klompas</t>
        </is>
      </c>
      <c r="B1464" s="7" t="n">
        <v>2</v>
      </c>
      <c r="C1464" s="7" t="n">
        <v>0</v>
      </c>
      <c r="D1464" s="7" t="n">
        <v>0</v>
      </c>
      <c r="E1464" s="7" t="n">
        <v>0</v>
      </c>
      <c r="F1464" s="8" t="inlineStr">
        <is>
          <t>Low</t>
        </is>
      </c>
      <c r="G1464" s="8" t="inlineStr">
        <is>
          <t>Low</t>
        </is>
      </c>
      <c r="H1464">
        <f>IF(F1464=G1464,"YES","NO")</f>
        <v/>
      </c>
    </row>
    <row r="1465">
      <c r="A1465" s="6" t="inlineStr">
        <is>
          <t>Mitchell Steadman</t>
        </is>
      </c>
      <c r="B1465" s="7" t="n">
        <v>59</v>
      </c>
      <c r="C1465" s="7" t="n">
        <v>3</v>
      </c>
      <c r="D1465" s="7" t="n">
        <v>0.0508</v>
      </c>
      <c r="E1465" s="7" t="n">
        <v>0.0174</v>
      </c>
      <c r="F1465" s="8" t="inlineStr">
        <is>
          <t>Low</t>
        </is>
      </c>
      <c r="G1465" s="8" t="inlineStr">
        <is>
          <t>Low</t>
        </is>
      </c>
      <c r="H1465">
        <f>IF(F1465=G1465,"YES","NO")</f>
        <v/>
      </c>
    </row>
    <row r="1466">
      <c r="A1466" s="6" t="inlineStr">
        <is>
          <t>Molissa  Spradley</t>
        </is>
      </c>
      <c r="B1466" s="7" t="n">
        <v>27</v>
      </c>
      <c r="C1466" s="7" t="n">
        <v>4</v>
      </c>
      <c r="D1466" s="7" t="n">
        <v>0.1481</v>
      </c>
      <c r="E1466" s="7" t="n">
        <v>0.0592</v>
      </c>
      <c r="F1466" s="8" t="inlineStr">
        <is>
          <t>Low</t>
        </is>
      </c>
      <c r="G1466" s="8" t="inlineStr">
        <is>
          <t>Medium</t>
        </is>
      </c>
      <c r="H1466">
        <f>IF(F1466=G1466,"YES","NO")</f>
        <v/>
      </c>
    </row>
    <row r="1467">
      <c r="A1467" s="6" t="inlineStr">
        <is>
          <t>Monet Fisher</t>
        </is>
      </c>
      <c r="B1467" s="7" t="n">
        <v>63</v>
      </c>
      <c r="C1467" s="7" t="n">
        <v>9</v>
      </c>
      <c r="D1467" s="7" t="n">
        <v>0.1429</v>
      </c>
      <c r="E1467" s="7" t="n">
        <v>0.077</v>
      </c>
      <c r="F1467" s="8" t="inlineStr">
        <is>
          <t>Low</t>
        </is>
      </c>
      <c r="G1467" s="8" t="inlineStr">
        <is>
          <t>High</t>
        </is>
      </c>
      <c r="H1467">
        <f>IF(F1467=G1467,"YES","NO")</f>
        <v/>
      </c>
    </row>
    <row r="1468">
      <c r="A1468" s="6" t="inlineStr">
        <is>
          <t>Monica Hinton</t>
        </is>
      </c>
      <c r="B1468" s="7" t="n">
        <v>5</v>
      </c>
      <c r="C1468" s="7" t="n">
        <v>0</v>
      </c>
      <c r="D1468" s="7" t="n">
        <v>0</v>
      </c>
      <c r="E1468" s="7" t="n">
        <v>0</v>
      </c>
      <c r="F1468" s="8" t="inlineStr">
        <is>
          <t>Low</t>
        </is>
      </c>
      <c r="G1468" s="8" t="inlineStr">
        <is>
          <t>Low</t>
        </is>
      </c>
      <c r="H1468">
        <f>IF(F1468=G1468,"YES","NO")</f>
        <v/>
      </c>
    </row>
    <row r="1469">
      <c r="A1469" s="6" t="inlineStr">
        <is>
          <t>Monica Noonan</t>
        </is>
      </c>
      <c r="B1469" s="7" t="n">
        <v>17</v>
      </c>
      <c r="C1469" s="7" t="n">
        <v>0</v>
      </c>
      <c r="D1469" s="7" t="n">
        <v>0</v>
      </c>
      <c r="E1469" s="7" t="n">
        <v>0</v>
      </c>
      <c r="F1469" s="8" t="inlineStr">
        <is>
          <t>Low</t>
        </is>
      </c>
      <c r="G1469" s="8" t="inlineStr">
        <is>
          <t>Low</t>
        </is>
      </c>
      <c r="H1469">
        <f>IF(F1469=G1469,"YES","NO")</f>
        <v/>
      </c>
    </row>
    <row r="1470">
      <c r="A1470" s="6" t="inlineStr">
        <is>
          <t>Morgan McDonnell</t>
        </is>
      </c>
      <c r="B1470" s="7" t="n">
        <v>47</v>
      </c>
      <c r="C1470" s="7" t="n">
        <v>0</v>
      </c>
      <c r="D1470" s="7" t="n">
        <v>0</v>
      </c>
      <c r="E1470" s="7" t="n">
        <v>0</v>
      </c>
      <c r="F1470" s="8" t="inlineStr">
        <is>
          <t>Low</t>
        </is>
      </c>
      <c r="G1470" s="8" t="inlineStr">
        <is>
          <t>Low</t>
        </is>
      </c>
      <c r="H1470">
        <f>IF(F1470=G1470,"YES","NO")</f>
        <v/>
      </c>
    </row>
    <row r="1471">
      <c r="A1471" s="6" t="inlineStr">
        <is>
          <t>Morgan Smith</t>
        </is>
      </c>
      <c r="B1471" s="7" t="n">
        <v>59</v>
      </c>
      <c r="C1471" s="7" t="n">
        <v>0</v>
      </c>
      <c r="D1471" s="7" t="n">
        <v>0</v>
      </c>
      <c r="E1471" s="7" t="n">
        <v>0</v>
      </c>
      <c r="F1471" s="8" t="inlineStr">
        <is>
          <t>Low</t>
        </is>
      </c>
      <c r="G1471" s="8" t="inlineStr">
        <is>
          <t>Low</t>
        </is>
      </c>
      <c r="H1471">
        <f>IF(F1471=G1471,"YES","NO")</f>
        <v/>
      </c>
    </row>
    <row r="1472">
      <c r="A1472" s="6" t="inlineStr">
        <is>
          <t>Nastashia Savoie</t>
        </is>
      </c>
      <c r="B1472" s="7" t="n">
        <v>1</v>
      </c>
      <c r="C1472" s="7" t="n">
        <v>0</v>
      </c>
      <c r="D1472" s="7" t="n">
        <v>0</v>
      </c>
      <c r="E1472" s="7" t="n">
        <v>0</v>
      </c>
      <c r="F1472" s="8" t="inlineStr">
        <is>
          <t>Low</t>
        </is>
      </c>
      <c r="G1472" s="8" t="inlineStr">
        <is>
          <t>Low</t>
        </is>
      </c>
      <c r="H1472">
        <f>IF(F1472=G1472,"YES","NO")</f>
        <v/>
      </c>
    </row>
    <row r="1473">
      <c r="A1473" s="6" t="inlineStr">
        <is>
          <t>Natalie DePinto</t>
        </is>
      </c>
      <c r="B1473" s="7" t="n">
        <v>1</v>
      </c>
      <c r="C1473" s="7" t="n">
        <v>0</v>
      </c>
      <c r="D1473" s="7" t="n">
        <v>0</v>
      </c>
      <c r="E1473" s="7" t="n">
        <v>0</v>
      </c>
      <c r="F1473" s="8" t="inlineStr">
        <is>
          <t>Low</t>
        </is>
      </c>
      <c r="G1473" s="8" t="inlineStr">
        <is>
          <t>Low</t>
        </is>
      </c>
      <c r="H1473">
        <f>IF(F1473=G1473,"YES","NO")</f>
        <v/>
      </c>
    </row>
    <row r="1474">
      <c r="A1474" s="6" t="inlineStr">
        <is>
          <t>Natalie Fisher</t>
        </is>
      </c>
      <c r="B1474" s="7" t="n">
        <v>6</v>
      </c>
      <c r="C1474" s="7" t="n">
        <v>0</v>
      </c>
      <c r="D1474" s="7" t="n">
        <v>0</v>
      </c>
      <c r="E1474" s="7" t="n">
        <v>0</v>
      </c>
      <c r="F1474" s="8" t="inlineStr">
        <is>
          <t>Low</t>
        </is>
      </c>
      <c r="G1474" s="8" t="inlineStr">
        <is>
          <t>Low</t>
        </is>
      </c>
      <c r="H1474">
        <f>IF(F1474=G1474,"YES","NO")</f>
        <v/>
      </c>
    </row>
    <row r="1475">
      <c r="A1475" s="6" t="inlineStr">
        <is>
          <t>Natalie Graybill</t>
        </is>
      </c>
      <c r="B1475" s="7" t="n">
        <v>21</v>
      </c>
      <c r="C1475" s="7" t="n">
        <v>1</v>
      </c>
      <c r="D1475" s="7" t="n">
        <v>0.0476</v>
      </c>
      <c r="E1475" s="7" t="n">
        <v>0.008500000000000001</v>
      </c>
      <c r="F1475" s="8" t="inlineStr">
        <is>
          <t>Low</t>
        </is>
      </c>
      <c r="G1475" s="8" t="inlineStr">
        <is>
          <t>Low</t>
        </is>
      </c>
      <c r="H1475">
        <f>IF(F1475=G1475,"YES","NO")</f>
        <v/>
      </c>
    </row>
    <row r="1476">
      <c r="A1476" s="6" t="inlineStr">
        <is>
          <t>Natalie Merenda</t>
        </is>
      </c>
      <c r="B1476" s="7" t="n">
        <v>20</v>
      </c>
      <c r="C1476" s="7" t="n">
        <v>3</v>
      </c>
      <c r="D1476" s="7" t="n">
        <v>0.15</v>
      </c>
      <c r="E1476" s="7" t="n">
        <v>0.0524</v>
      </c>
      <c r="F1476" s="8" t="inlineStr">
        <is>
          <t>Low</t>
        </is>
      </c>
      <c r="G1476" s="8" t="inlineStr">
        <is>
          <t>Low</t>
        </is>
      </c>
      <c r="H1476">
        <f>IF(F1476=G1476,"YES","NO")</f>
        <v/>
      </c>
    </row>
    <row r="1477">
      <c r="A1477" s="6" t="inlineStr">
        <is>
          <t>Natalie Miguez</t>
        </is>
      </c>
      <c r="B1477" s="7" t="n">
        <v>198</v>
      </c>
      <c r="C1477" s="7" t="n">
        <v>11</v>
      </c>
      <c r="D1477" s="7" t="n">
        <v>0.0556</v>
      </c>
      <c r="E1477" s="7" t="n">
        <v>0.0313</v>
      </c>
      <c r="F1477" s="8" t="inlineStr">
        <is>
          <t>Low</t>
        </is>
      </c>
      <c r="G1477" s="8" t="inlineStr">
        <is>
          <t>Low</t>
        </is>
      </c>
      <c r="H1477">
        <f>IF(F1477=G1477,"YES","NO")</f>
        <v/>
      </c>
    </row>
    <row r="1478">
      <c r="A1478" s="6" t="inlineStr">
        <is>
          <t>Natasha Flint</t>
        </is>
      </c>
      <c r="B1478" s="7" t="n">
        <v>1</v>
      </c>
      <c r="C1478" s="7" t="n">
        <v>0</v>
      </c>
      <c r="D1478" s="7" t="n">
        <v>0</v>
      </c>
      <c r="E1478" s="7" t="n">
        <v>0</v>
      </c>
      <c r="F1478" s="8" t="inlineStr">
        <is>
          <t>Low</t>
        </is>
      </c>
      <c r="G1478" s="8" t="inlineStr">
        <is>
          <t>Low</t>
        </is>
      </c>
      <c r="H1478">
        <f>IF(F1478=G1478,"YES","NO")</f>
        <v/>
      </c>
    </row>
    <row r="1479">
      <c r="A1479" s="6" t="inlineStr">
        <is>
          <t>Nate Eddy</t>
        </is>
      </c>
      <c r="B1479" s="7" t="n">
        <v>200</v>
      </c>
      <c r="C1479" s="7" t="n">
        <v>30</v>
      </c>
      <c r="D1479" s="7" t="n">
        <v>0.15</v>
      </c>
      <c r="E1479" s="7" t="n">
        <v>0.1071</v>
      </c>
      <c r="F1479" s="8" t="inlineStr">
        <is>
          <t>Low</t>
        </is>
      </c>
      <c r="G1479" s="8" t="inlineStr">
        <is>
          <t>Low</t>
        </is>
      </c>
      <c r="H1479">
        <f>IF(F1479=G1479,"YES","NO")</f>
        <v/>
      </c>
    </row>
    <row r="1480">
      <c r="A1480" s="6" t="inlineStr">
        <is>
          <t>Nate Parker</t>
        </is>
      </c>
      <c r="B1480" s="7" t="n">
        <v>4</v>
      </c>
      <c r="C1480" s="7" t="n">
        <v>0</v>
      </c>
      <c r="D1480" s="7" t="n">
        <v>0</v>
      </c>
      <c r="E1480" s="7" t="n">
        <v>0</v>
      </c>
      <c r="F1480" s="8" t="inlineStr">
        <is>
          <t>Low</t>
        </is>
      </c>
      <c r="G1480" s="8" t="inlineStr">
        <is>
          <t>Low</t>
        </is>
      </c>
      <c r="H1480">
        <f>IF(F1480=G1480,"YES","NO")</f>
        <v/>
      </c>
    </row>
    <row r="1481">
      <c r="A1481" s="6" t="inlineStr">
        <is>
          <t>Nathan Edwards</t>
        </is>
      </c>
      <c r="B1481" s="7" t="n">
        <v>12</v>
      </c>
      <c r="C1481" s="7" t="n">
        <v>0</v>
      </c>
      <c r="D1481" s="7" t="n">
        <v>0</v>
      </c>
      <c r="E1481" s="7" t="n">
        <v>0</v>
      </c>
      <c r="F1481" s="8" t="inlineStr">
        <is>
          <t>Low</t>
        </is>
      </c>
      <c r="G1481" s="8" t="inlineStr">
        <is>
          <t>Low</t>
        </is>
      </c>
      <c r="H1481">
        <f>IF(F1481=G1481,"YES","NO")</f>
        <v/>
      </c>
    </row>
    <row r="1482">
      <c r="A1482" s="6" t="inlineStr">
        <is>
          <t>Nathan Hayman</t>
        </is>
      </c>
      <c r="B1482" s="7" t="n">
        <v>15</v>
      </c>
      <c r="C1482" s="7" t="n">
        <v>1</v>
      </c>
      <c r="D1482" s="7" t="n">
        <v>0.0667</v>
      </c>
      <c r="E1482" s="7" t="n">
        <v>0.0119</v>
      </c>
      <c r="F1482" s="8" t="inlineStr">
        <is>
          <t>Low</t>
        </is>
      </c>
      <c r="G1482" s="8" t="inlineStr">
        <is>
          <t>Low</t>
        </is>
      </c>
      <c r="H1482">
        <f>IF(F1482=G1482,"YES","NO")</f>
        <v/>
      </c>
    </row>
    <row r="1483">
      <c r="A1483" s="6" t="inlineStr">
        <is>
          <t>Ned Dashner</t>
        </is>
      </c>
      <c r="B1483" s="7" t="n">
        <v>86</v>
      </c>
      <c r="C1483" s="7" t="n">
        <v>3</v>
      </c>
      <c r="D1483" s="7" t="n">
        <v>0.0349</v>
      </c>
      <c r="E1483" s="7" t="n">
        <v>0.0119</v>
      </c>
      <c r="F1483" s="8" t="inlineStr">
        <is>
          <t>Low</t>
        </is>
      </c>
      <c r="G1483" s="8" t="inlineStr">
        <is>
          <t>Low</t>
        </is>
      </c>
      <c r="H1483">
        <f>IF(F1483=G1483,"YES","NO")</f>
        <v/>
      </c>
    </row>
    <row r="1484">
      <c r="A1484" s="6" t="inlineStr">
        <is>
          <t>Neil Anglen</t>
        </is>
      </c>
      <c r="B1484" s="7" t="n">
        <v>10</v>
      </c>
      <c r="C1484" s="7" t="n">
        <v>0</v>
      </c>
      <c r="D1484" s="7" t="n">
        <v>0</v>
      </c>
      <c r="E1484" s="7" t="n">
        <v>0</v>
      </c>
      <c r="F1484" s="8" t="inlineStr">
        <is>
          <t>Low</t>
        </is>
      </c>
      <c r="G1484" s="8" t="inlineStr">
        <is>
          <t>Low</t>
        </is>
      </c>
      <c r="H1484">
        <f>IF(F1484=G1484,"YES","NO")</f>
        <v/>
      </c>
    </row>
    <row r="1485">
      <c r="A1485" s="6" t="inlineStr">
        <is>
          <t>Neil Birkby</t>
        </is>
      </c>
      <c r="B1485" s="7" t="n">
        <v>19</v>
      </c>
      <c r="C1485" s="7" t="n">
        <v>0</v>
      </c>
      <c r="D1485" s="7" t="n">
        <v>0</v>
      </c>
      <c r="E1485" s="7" t="n">
        <v>0</v>
      </c>
      <c r="F1485" s="8" t="inlineStr">
        <is>
          <t>Low</t>
        </is>
      </c>
      <c r="G1485" s="8" t="inlineStr">
        <is>
          <t>Low</t>
        </is>
      </c>
      <c r="H1485">
        <f>IF(F1485=G1485,"YES","NO")</f>
        <v/>
      </c>
    </row>
    <row r="1486">
      <c r="A1486" s="6" t="inlineStr">
        <is>
          <t>Neil Christian</t>
        </is>
      </c>
      <c r="B1486" s="7" t="n">
        <v>1</v>
      </c>
      <c r="C1486" s="7" t="n">
        <v>0</v>
      </c>
      <c r="D1486" s="7" t="n">
        <v>0</v>
      </c>
      <c r="E1486" s="7" t="n">
        <v>0</v>
      </c>
      <c r="F1486" s="8" t="inlineStr">
        <is>
          <t>Low</t>
        </is>
      </c>
      <c r="G1486" s="8" t="inlineStr">
        <is>
          <t>Low</t>
        </is>
      </c>
      <c r="H1486">
        <f>IF(F1486=G1486,"YES","NO")</f>
        <v/>
      </c>
    </row>
    <row r="1487">
      <c r="A1487" s="6" t="inlineStr">
        <is>
          <t>Neil Figler</t>
        </is>
      </c>
      <c r="B1487" s="7" t="n">
        <v>40</v>
      </c>
      <c r="C1487" s="7" t="n">
        <v>0</v>
      </c>
      <c r="D1487" s="7" t="n">
        <v>0</v>
      </c>
      <c r="E1487" s="7" t="n">
        <v>0</v>
      </c>
      <c r="F1487" s="8" t="inlineStr">
        <is>
          <t>Low</t>
        </is>
      </c>
      <c r="G1487" s="8" t="inlineStr">
        <is>
          <t>Low</t>
        </is>
      </c>
      <c r="H1487">
        <f>IF(F1487=G1487,"YES","NO")</f>
        <v/>
      </c>
    </row>
    <row r="1488">
      <c r="A1488" s="6" t="inlineStr">
        <is>
          <t>Neil Slocum</t>
        </is>
      </c>
      <c r="B1488" s="7" t="n">
        <v>27</v>
      </c>
      <c r="C1488" s="7" t="n">
        <v>2</v>
      </c>
      <c r="D1488" s="7" t="n">
        <v>0.0741</v>
      </c>
      <c r="E1488" s="7" t="n">
        <v>0.0206</v>
      </c>
      <c r="F1488" s="8" t="inlineStr">
        <is>
          <t>Low</t>
        </is>
      </c>
      <c r="G1488" s="8" t="inlineStr">
        <is>
          <t>Low</t>
        </is>
      </c>
      <c r="H1488">
        <f>IF(F1488=G1488,"YES","NO")</f>
        <v/>
      </c>
    </row>
    <row r="1489">
      <c r="A1489" s="6" t="inlineStr">
        <is>
          <t>Nicholas Dissly</t>
        </is>
      </c>
      <c r="B1489" s="7" t="n">
        <v>56</v>
      </c>
      <c r="C1489" s="7" t="n">
        <v>3</v>
      </c>
      <c r="D1489" s="7" t="n">
        <v>0.0536</v>
      </c>
      <c r="E1489" s="7" t="n">
        <v>0.0184</v>
      </c>
      <c r="F1489" s="8" t="inlineStr">
        <is>
          <t>Low</t>
        </is>
      </c>
      <c r="G1489" s="8" t="inlineStr">
        <is>
          <t>Low</t>
        </is>
      </c>
      <c r="H1489">
        <f>IF(F1489=G1489,"YES","NO")</f>
        <v/>
      </c>
    </row>
    <row r="1490">
      <c r="A1490" s="6" t="inlineStr">
        <is>
          <t>Nicholas Ruggeri</t>
        </is>
      </c>
      <c r="B1490" s="7" t="n">
        <v>15</v>
      </c>
      <c r="C1490" s="7" t="n">
        <v>2</v>
      </c>
      <c r="D1490" s="7" t="n">
        <v>0.1333</v>
      </c>
      <c r="E1490" s="7" t="n">
        <v>0.0374</v>
      </c>
      <c r="F1490" s="8" t="inlineStr">
        <is>
          <t>Low</t>
        </is>
      </c>
      <c r="G1490" s="8" t="inlineStr">
        <is>
          <t>Low</t>
        </is>
      </c>
      <c r="H1490">
        <f>IF(F1490=G1490,"YES","NO")</f>
        <v/>
      </c>
    </row>
    <row r="1491">
      <c r="A1491" s="6" t="inlineStr">
        <is>
          <t>Nicholas Tracia</t>
        </is>
      </c>
      <c r="B1491" s="7" t="n">
        <v>1</v>
      </c>
      <c r="C1491" s="7" t="n">
        <v>0</v>
      </c>
      <c r="D1491" s="7" t="n">
        <v>0</v>
      </c>
      <c r="E1491" s="7" t="n">
        <v>0</v>
      </c>
      <c r="F1491" s="8" t="inlineStr">
        <is>
          <t>Low</t>
        </is>
      </c>
      <c r="G1491" s="8" t="inlineStr">
        <is>
          <t>Low</t>
        </is>
      </c>
      <c r="H1491">
        <f>IF(F1491=G1491,"YES","NO")</f>
        <v/>
      </c>
    </row>
    <row r="1492">
      <c r="A1492" s="6" t="inlineStr">
        <is>
          <t>Nicholas Wherry</t>
        </is>
      </c>
      <c r="B1492" s="7" t="n">
        <v>6</v>
      </c>
      <c r="C1492" s="7" t="n">
        <v>1</v>
      </c>
      <c r="D1492" s="7" t="n">
        <v>0.1667</v>
      </c>
      <c r="E1492" s="7" t="n">
        <v>0.0301</v>
      </c>
      <c r="F1492" s="8" t="inlineStr">
        <is>
          <t>Low</t>
        </is>
      </c>
      <c r="G1492" s="8" t="inlineStr">
        <is>
          <t>Low</t>
        </is>
      </c>
      <c r="H1492">
        <f>IF(F1492=G1492,"YES","NO")</f>
        <v/>
      </c>
    </row>
    <row r="1493">
      <c r="A1493" s="6" t="inlineStr">
        <is>
          <t>Nick  Edwards</t>
        </is>
      </c>
      <c r="B1493" s="7" t="n">
        <v>31</v>
      </c>
      <c r="C1493" s="7" t="n">
        <v>4</v>
      </c>
      <c r="D1493" s="7" t="n">
        <v>0.129</v>
      </c>
      <c r="E1493" s="7" t="n">
        <v>0.0513</v>
      </c>
      <c r="F1493" s="8" t="inlineStr">
        <is>
          <t>Low</t>
        </is>
      </c>
      <c r="G1493" s="8" t="inlineStr">
        <is>
          <t>Low</t>
        </is>
      </c>
      <c r="H1493">
        <f>IF(F1493=G1493,"YES","NO")</f>
        <v/>
      </c>
    </row>
    <row r="1494">
      <c r="A1494" s="6" t="inlineStr">
        <is>
          <t>Nick  Lawson</t>
        </is>
      </c>
      <c r="B1494" s="7" t="n">
        <v>56</v>
      </c>
      <c r="C1494" s="7" t="n">
        <v>4</v>
      </c>
      <c r="D1494" s="7" t="n">
        <v>0.07140000000000001</v>
      </c>
      <c r="E1494" s="7" t="n">
        <v>0.0281</v>
      </c>
      <c r="F1494" s="8" t="inlineStr">
        <is>
          <t>Low</t>
        </is>
      </c>
      <c r="G1494" s="8" t="inlineStr">
        <is>
          <t>Low</t>
        </is>
      </c>
      <c r="H1494">
        <f>IF(F1494=G1494,"YES","NO")</f>
        <v/>
      </c>
    </row>
    <row r="1495">
      <c r="A1495" s="6" t="inlineStr">
        <is>
          <t>Nick Allgood</t>
        </is>
      </c>
      <c r="B1495" s="7" t="n">
        <v>8</v>
      </c>
      <c r="C1495" s="7" t="n">
        <v>0</v>
      </c>
      <c r="D1495" s="7" t="n">
        <v>0</v>
      </c>
      <c r="E1495" s="7" t="n">
        <v>0</v>
      </c>
      <c r="F1495" s="8" t="inlineStr">
        <is>
          <t>Low</t>
        </is>
      </c>
      <c r="G1495" s="8" t="inlineStr">
        <is>
          <t>Low</t>
        </is>
      </c>
      <c r="H1495">
        <f>IF(F1495=G1495,"YES","NO")</f>
        <v/>
      </c>
    </row>
    <row r="1496">
      <c r="A1496" s="6" t="inlineStr">
        <is>
          <t>Nick Bristow</t>
        </is>
      </c>
      <c r="B1496" s="7" t="n">
        <v>2</v>
      </c>
      <c r="C1496" s="7" t="n">
        <v>0</v>
      </c>
      <c r="D1496" s="7" t="n">
        <v>0</v>
      </c>
      <c r="E1496" s="7" t="n">
        <v>0</v>
      </c>
      <c r="F1496" s="8" t="inlineStr">
        <is>
          <t>Low</t>
        </is>
      </c>
      <c r="G1496" s="8" t="inlineStr">
        <is>
          <t>Low</t>
        </is>
      </c>
      <c r="H1496">
        <f>IF(F1496=G1496,"YES","NO")</f>
        <v/>
      </c>
    </row>
    <row r="1497">
      <c r="A1497" s="6" t="inlineStr">
        <is>
          <t>Nick Cirrintano</t>
        </is>
      </c>
      <c r="B1497" s="7" t="n">
        <v>184</v>
      </c>
      <c r="C1497" s="7" t="n">
        <v>2</v>
      </c>
      <c r="D1497" s="7" t="n">
        <v>0.0109</v>
      </c>
      <c r="E1497" s="7" t="n">
        <v>0.003</v>
      </c>
      <c r="F1497" s="8" t="inlineStr">
        <is>
          <t>Low</t>
        </is>
      </c>
      <c r="G1497" s="8" t="inlineStr">
        <is>
          <t>Low</t>
        </is>
      </c>
      <c r="H1497">
        <f>IF(F1497=G1497,"YES","NO")</f>
        <v/>
      </c>
    </row>
    <row r="1498">
      <c r="A1498" s="6" t="inlineStr">
        <is>
          <t>Nick Coleman</t>
        </is>
      </c>
      <c r="B1498" s="7" t="n">
        <v>2</v>
      </c>
      <c r="C1498" s="7" t="n">
        <v>0</v>
      </c>
      <c r="D1498" s="7" t="n">
        <v>0</v>
      </c>
      <c r="E1498" s="7" t="n">
        <v>0</v>
      </c>
      <c r="F1498" s="8" t="inlineStr">
        <is>
          <t>Low</t>
        </is>
      </c>
      <c r="G1498" s="8" t="inlineStr">
        <is>
          <t>Low</t>
        </is>
      </c>
      <c r="H1498">
        <f>IF(F1498=G1498,"YES","NO")</f>
        <v/>
      </c>
    </row>
    <row r="1499">
      <c r="A1499" s="6" t="inlineStr">
        <is>
          <t>Nick Duyn</t>
        </is>
      </c>
      <c r="B1499" s="7" t="n">
        <v>443</v>
      </c>
      <c r="C1499" s="7" t="n">
        <v>39</v>
      </c>
      <c r="D1499" s="7" t="n">
        <v>0.08799999999999999</v>
      </c>
      <c r="E1499" s="7" t="n">
        <v>0.06510000000000001</v>
      </c>
      <c r="F1499" s="8" t="inlineStr">
        <is>
          <t>Low</t>
        </is>
      </c>
      <c r="G1499" s="8" t="inlineStr">
        <is>
          <t>Low</t>
        </is>
      </c>
      <c r="H1499">
        <f>IF(F1499=G1499,"YES","NO")</f>
        <v/>
      </c>
    </row>
    <row r="1500">
      <c r="A1500" s="6" t="inlineStr">
        <is>
          <t>Nick Falbo</t>
        </is>
      </c>
      <c r="B1500" s="7" t="n">
        <v>1</v>
      </c>
      <c r="C1500" s="7" t="n">
        <v>0</v>
      </c>
      <c r="D1500" s="7" t="n">
        <v>0</v>
      </c>
      <c r="E1500" s="7" t="n">
        <v>0</v>
      </c>
      <c r="F1500" s="8" t="inlineStr">
        <is>
          <t>Low</t>
        </is>
      </c>
      <c r="G1500" s="8" t="inlineStr">
        <is>
          <t>Low</t>
        </is>
      </c>
      <c r="H1500">
        <f>IF(F1500=G1500,"YES","NO")</f>
        <v/>
      </c>
    </row>
    <row r="1501">
      <c r="A1501" s="6" t="inlineStr">
        <is>
          <t>Nick Hurson</t>
        </is>
      </c>
      <c r="B1501" s="7" t="n">
        <v>1</v>
      </c>
      <c r="C1501" s="7" t="n">
        <v>0</v>
      </c>
      <c r="D1501" s="7" t="n">
        <v>0</v>
      </c>
      <c r="E1501" s="7" t="n">
        <v>0</v>
      </c>
      <c r="F1501" s="8" t="inlineStr">
        <is>
          <t>Low</t>
        </is>
      </c>
      <c r="G1501" s="8" t="inlineStr">
        <is>
          <t>Low</t>
        </is>
      </c>
      <c r="H1501">
        <f>IF(F1501=G1501,"YES","NO")</f>
        <v/>
      </c>
    </row>
    <row r="1502">
      <c r="A1502" s="6" t="inlineStr">
        <is>
          <t>Nick Saul</t>
        </is>
      </c>
      <c r="B1502" s="7" t="n">
        <v>544</v>
      </c>
      <c r="C1502" s="7" t="n">
        <v>16</v>
      </c>
      <c r="D1502" s="7" t="n">
        <v>0.0294</v>
      </c>
      <c r="E1502" s="7" t="n">
        <v>0.0182</v>
      </c>
      <c r="F1502" s="8" t="inlineStr">
        <is>
          <t>Low</t>
        </is>
      </c>
      <c r="G1502" s="8" t="inlineStr">
        <is>
          <t>Low</t>
        </is>
      </c>
      <c r="H1502">
        <f>IF(F1502=G1502,"YES","NO")</f>
        <v/>
      </c>
    </row>
    <row r="1503">
      <c r="A1503" s="6" t="inlineStr">
        <is>
          <t>Nick Simmons</t>
        </is>
      </c>
      <c r="B1503" s="7" t="n">
        <v>3</v>
      </c>
      <c r="C1503" s="7" t="n">
        <v>0</v>
      </c>
      <c r="D1503" s="7" t="n">
        <v>0</v>
      </c>
      <c r="E1503" s="7" t="n">
        <v>0</v>
      </c>
      <c r="F1503" s="8" t="inlineStr">
        <is>
          <t>Low</t>
        </is>
      </c>
      <c r="G1503" s="8" t="inlineStr">
        <is>
          <t>Low</t>
        </is>
      </c>
      <c r="H1503">
        <f>IF(F1503=G1503,"YES","NO")</f>
        <v/>
      </c>
    </row>
    <row r="1504">
      <c r="A1504" s="6" t="inlineStr">
        <is>
          <t>Nick Spillenkothen</t>
        </is>
      </c>
      <c r="B1504" s="7" t="n">
        <v>3</v>
      </c>
      <c r="C1504" s="7" t="n">
        <v>0</v>
      </c>
      <c r="D1504" s="7" t="n">
        <v>0</v>
      </c>
      <c r="E1504" s="7" t="n">
        <v>0</v>
      </c>
      <c r="F1504" s="8" t="inlineStr">
        <is>
          <t>Low</t>
        </is>
      </c>
      <c r="G1504" s="8" t="inlineStr">
        <is>
          <t>Low</t>
        </is>
      </c>
      <c r="H1504">
        <f>IF(F1504=G1504,"YES","NO")</f>
        <v/>
      </c>
    </row>
    <row r="1505">
      <c r="A1505" s="6" t="inlineStr">
        <is>
          <t>Nico Thomas</t>
        </is>
      </c>
      <c r="B1505" s="7" t="n">
        <v>1</v>
      </c>
      <c r="C1505" s="7" t="n">
        <v>0</v>
      </c>
      <c r="D1505" s="7" t="n">
        <v>0</v>
      </c>
      <c r="E1505" s="7" t="n">
        <v>0</v>
      </c>
      <c r="F1505" s="8" t="inlineStr">
        <is>
          <t>Low</t>
        </is>
      </c>
      <c r="G1505" s="8" t="inlineStr">
        <is>
          <t>Low</t>
        </is>
      </c>
      <c r="H1505">
        <f>IF(F1505=G1505,"YES","NO")</f>
        <v/>
      </c>
    </row>
    <row r="1506">
      <c r="A1506" s="6" t="inlineStr">
        <is>
          <t>Nicole Abrahamson</t>
        </is>
      </c>
      <c r="B1506" s="7" t="n">
        <v>4</v>
      </c>
      <c r="C1506" s="7" t="n">
        <v>0</v>
      </c>
      <c r="D1506" s="7" t="n">
        <v>0</v>
      </c>
      <c r="E1506" s="7" t="n">
        <v>0</v>
      </c>
      <c r="F1506" s="8" t="inlineStr">
        <is>
          <t>Low</t>
        </is>
      </c>
      <c r="G1506" s="8" t="inlineStr">
        <is>
          <t>Low</t>
        </is>
      </c>
      <c r="H1506">
        <f>IF(F1506=G1506,"YES","NO")</f>
        <v/>
      </c>
    </row>
    <row r="1507">
      <c r="A1507" s="6" t="inlineStr">
        <is>
          <t>Nicole Christ</t>
        </is>
      </c>
      <c r="B1507" s="7" t="n">
        <v>54</v>
      </c>
      <c r="C1507" s="7" t="n">
        <v>0</v>
      </c>
      <c r="D1507" s="7" t="n">
        <v>0</v>
      </c>
      <c r="E1507" s="7" t="n">
        <v>0</v>
      </c>
      <c r="F1507" s="8" t="inlineStr">
        <is>
          <t>Low</t>
        </is>
      </c>
      <c r="G1507" s="8" t="inlineStr">
        <is>
          <t>Low</t>
        </is>
      </c>
      <c r="H1507">
        <f>IF(F1507=G1507,"YES","NO")</f>
        <v/>
      </c>
    </row>
    <row r="1508">
      <c r="A1508" s="6" t="inlineStr">
        <is>
          <t>Nicole Garcia</t>
        </is>
      </c>
      <c r="B1508" s="7" t="n">
        <v>33</v>
      </c>
      <c r="C1508" s="7" t="n">
        <v>0</v>
      </c>
      <c r="D1508" s="7" t="n">
        <v>0</v>
      </c>
      <c r="E1508" s="7" t="n">
        <v>0</v>
      </c>
      <c r="F1508" s="8" t="inlineStr">
        <is>
          <t>Low</t>
        </is>
      </c>
      <c r="G1508" s="8" t="inlineStr">
        <is>
          <t>Low</t>
        </is>
      </c>
      <c r="H1508">
        <f>IF(F1508=G1508,"YES","NO")</f>
        <v/>
      </c>
    </row>
    <row r="1509">
      <c r="A1509" s="6" t="inlineStr">
        <is>
          <t>Nicole Gautreaux</t>
        </is>
      </c>
      <c r="B1509" s="7" t="n">
        <v>2</v>
      </c>
      <c r="C1509" s="7" t="n">
        <v>0</v>
      </c>
      <c r="D1509" s="7" t="n">
        <v>0</v>
      </c>
      <c r="E1509" s="7" t="n">
        <v>0</v>
      </c>
      <c r="F1509" s="8" t="inlineStr">
        <is>
          <t>Low</t>
        </is>
      </c>
      <c r="G1509" s="8" t="inlineStr">
        <is>
          <t>Low</t>
        </is>
      </c>
      <c r="H1509">
        <f>IF(F1509=G1509,"YES","NO")</f>
        <v/>
      </c>
    </row>
    <row r="1510">
      <c r="A1510" s="6" t="inlineStr">
        <is>
          <t>Nicole Zimmerman</t>
        </is>
      </c>
      <c r="B1510" s="7" t="n">
        <v>1</v>
      </c>
      <c r="C1510" s="7" t="n">
        <v>0</v>
      </c>
      <c r="D1510" s="7" t="n">
        <v>0</v>
      </c>
      <c r="E1510" s="7" t="n">
        <v>0</v>
      </c>
      <c r="F1510" s="8" t="inlineStr">
        <is>
          <t>Low</t>
        </is>
      </c>
      <c r="G1510" s="8" t="inlineStr">
        <is>
          <t>Low</t>
        </is>
      </c>
      <c r="H1510">
        <f>IF(F1510=G1510,"YES","NO")</f>
        <v/>
      </c>
    </row>
    <row r="1511">
      <c r="A1511" s="6" t="inlineStr">
        <is>
          <t>Noah Boerlin</t>
        </is>
      </c>
      <c r="B1511" s="7" t="n">
        <v>83</v>
      </c>
      <c r="C1511" s="7" t="n">
        <v>0</v>
      </c>
      <c r="D1511" s="7" t="n">
        <v>0</v>
      </c>
      <c r="E1511" s="7" t="n">
        <v>0</v>
      </c>
      <c r="F1511" s="8" t="inlineStr">
        <is>
          <t>Low</t>
        </is>
      </c>
      <c r="G1511" s="8" t="inlineStr">
        <is>
          <t>Low</t>
        </is>
      </c>
      <c r="H1511">
        <f>IF(F1511=G1511,"YES","NO")</f>
        <v/>
      </c>
    </row>
    <row r="1512">
      <c r="A1512" s="6" t="inlineStr">
        <is>
          <t>Noah Guerin</t>
        </is>
      </c>
      <c r="B1512" s="7" t="n">
        <v>230</v>
      </c>
      <c r="C1512" s="7" t="n">
        <v>0</v>
      </c>
      <c r="D1512" s="7" t="n">
        <v>0</v>
      </c>
      <c r="E1512" s="7" t="n">
        <v>0</v>
      </c>
      <c r="F1512" s="8" t="inlineStr">
        <is>
          <t>Low</t>
        </is>
      </c>
      <c r="G1512" s="8" t="inlineStr">
        <is>
          <t>Low</t>
        </is>
      </c>
      <c r="H1512">
        <f>IF(F1512=G1512,"YES","NO")</f>
        <v/>
      </c>
    </row>
    <row r="1513">
      <c r="A1513" s="6" t="inlineStr">
        <is>
          <t>Noah Lee</t>
        </is>
      </c>
      <c r="B1513" s="7" t="n">
        <v>22</v>
      </c>
      <c r="C1513" s="7" t="n">
        <v>0</v>
      </c>
      <c r="D1513" s="7" t="n">
        <v>0</v>
      </c>
      <c r="E1513" s="7" t="n">
        <v>0</v>
      </c>
      <c r="F1513" s="8" t="inlineStr">
        <is>
          <t>Low</t>
        </is>
      </c>
      <c r="G1513" s="8" t="inlineStr">
        <is>
          <t>Low</t>
        </is>
      </c>
      <c r="H1513">
        <f>IF(F1513=G1513,"YES","NO")</f>
        <v/>
      </c>
    </row>
    <row r="1514">
      <c r="A1514" s="6" t="inlineStr">
        <is>
          <t>Noah Phillips</t>
        </is>
      </c>
      <c r="B1514" s="7" t="n">
        <v>10</v>
      </c>
      <c r="C1514" s="7" t="n">
        <v>0</v>
      </c>
      <c r="D1514" s="7" t="n">
        <v>0</v>
      </c>
      <c r="E1514" s="7" t="n">
        <v>0</v>
      </c>
      <c r="F1514" s="8" t="inlineStr">
        <is>
          <t>Low</t>
        </is>
      </c>
      <c r="G1514" s="8" t="inlineStr">
        <is>
          <t>Low</t>
        </is>
      </c>
      <c r="H1514">
        <f>IF(F1514=G1514,"YES","NO")</f>
        <v/>
      </c>
    </row>
    <row r="1515">
      <c r="A1515" s="6" t="inlineStr">
        <is>
          <t>Noel Tucker</t>
        </is>
      </c>
      <c r="B1515" s="7" t="n">
        <v>187</v>
      </c>
      <c r="C1515" s="7" t="n">
        <v>2</v>
      </c>
      <c r="D1515" s="7" t="n">
        <v>0.0107</v>
      </c>
      <c r="E1515" s="7" t="n">
        <v>0.0029</v>
      </c>
      <c r="F1515" s="8" t="inlineStr">
        <is>
          <t>Low</t>
        </is>
      </c>
      <c r="G1515" s="8" t="inlineStr">
        <is>
          <t>Low</t>
        </is>
      </c>
      <c r="H1515">
        <f>IF(F1515=G1515,"YES","NO")</f>
        <v/>
      </c>
    </row>
    <row r="1516">
      <c r="A1516" s="6" t="inlineStr">
        <is>
          <t>Olivia Gilmore</t>
        </is>
      </c>
      <c r="B1516" s="7" t="n">
        <v>1</v>
      </c>
      <c r="C1516" s="7" t="n">
        <v>0</v>
      </c>
      <c r="D1516" s="7" t="n">
        <v>0</v>
      </c>
      <c r="E1516" s="7" t="n">
        <v>0</v>
      </c>
      <c r="F1516" s="8" t="inlineStr">
        <is>
          <t>Low</t>
        </is>
      </c>
      <c r="G1516" s="8" t="inlineStr">
        <is>
          <t>Low</t>
        </is>
      </c>
      <c r="H1516">
        <f>IF(F1516=G1516,"YES","NO")</f>
        <v/>
      </c>
    </row>
    <row r="1517">
      <c r="A1517" s="6" t="inlineStr">
        <is>
          <t>Olivia Mlincsek</t>
        </is>
      </c>
      <c r="B1517" s="7" t="n">
        <v>6</v>
      </c>
      <c r="C1517" s="7" t="n">
        <v>0</v>
      </c>
      <c r="D1517" s="7" t="n">
        <v>0</v>
      </c>
      <c r="E1517" s="7" t="n">
        <v>0</v>
      </c>
      <c r="F1517" s="8" t="inlineStr">
        <is>
          <t>Low</t>
        </is>
      </c>
      <c r="G1517" s="8" t="inlineStr">
        <is>
          <t>Low</t>
        </is>
      </c>
      <c r="H1517">
        <f>IF(F1517=G1517,"YES","NO")</f>
        <v/>
      </c>
    </row>
    <row r="1518">
      <c r="A1518" s="6" t="inlineStr">
        <is>
          <t>Olivier Graham</t>
        </is>
      </c>
      <c r="B1518" s="7" t="n">
        <v>11</v>
      </c>
      <c r="C1518" s="7" t="n">
        <v>0</v>
      </c>
      <c r="D1518" s="7" t="n">
        <v>0</v>
      </c>
      <c r="E1518" s="7" t="n">
        <v>0</v>
      </c>
      <c r="F1518" s="8" t="inlineStr">
        <is>
          <t>Low</t>
        </is>
      </c>
      <c r="G1518" s="8" t="inlineStr">
        <is>
          <t>Low</t>
        </is>
      </c>
      <c r="H1518">
        <f>IF(F1518=G1518,"YES","NO")</f>
        <v/>
      </c>
    </row>
    <row r="1519">
      <c r="A1519" s="6" t="inlineStr">
        <is>
          <t>Owen Fritz</t>
        </is>
      </c>
      <c r="B1519" s="7" t="n">
        <v>102</v>
      </c>
      <c r="C1519" s="7" t="n">
        <v>1</v>
      </c>
      <c r="D1519" s="7" t="n">
        <v>0.0098</v>
      </c>
      <c r="E1519" s="7" t="n">
        <v>0.0017</v>
      </c>
      <c r="F1519" s="8" t="inlineStr">
        <is>
          <t>Low</t>
        </is>
      </c>
      <c r="G1519" s="8" t="inlineStr">
        <is>
          <t>Low</t>
        </is>
      </c>
      <c r="H1519">
        <f>IF(F1519=G1519,"YES","NO")</f>
        <v/>
      </c>
    </row>
    <row r="1520">
      <c r="A1520" s="6" t="inlineStr">
        <is>
          <t>Owen Recker</t>
        </is>
      </c>
      <c r="B1520" s="7" t="n">
        <v>10</v>
      </c>
      <c r="C1520" s="7" t="n">
        <v>0</v>
      </c>
      <c r="D1520" s="7" t="n">
        <v>0</v>
      </c>
      <c r="E1520" s="7" t="n">
        <v>0</v>
      </c>
      <c r="F1520" s="8" t="inlineStr">
        <is>
          <t>Low</t>
        </is>
      </c>
      <c r="G1520" s="8" t="inlineStr">
        <is>
          <t>Low</t>
        </is>
      </c>
      <c r="H1520">
        <f>IF(F1520=G1520,"YES","NO")</f>
        <v/>
      </c>
    </row>
    <row r="1521">
      <c r="A1521" s="6" t="inlineStr">
        <is>
          <t>Owen Warrey</t>
        </is>
      </c>
      <c r="B1521" s="7" t="n">
        <v>1</v>
      </c>
      <c r="C1521" s="7" t="n">
        <v>0</v>
      </c>
      <c r="D1521" s="7" t="n">
        <v>0</v>
      </c>
      <c r="E1521" s="7" t="n">
        <v>0</v>
      </c>
      <c r="F1521" s="8" t="inlineStr">
        <is>
          <t>Low</t>
        </is>
      </c>
      <c r="G1521" s="8" t="inlineStr">
        <is>
          <t>Low</t>
        </is>
      </c>
      <c r="H1521">
        <f>IF(F1521=G1521,"YES","NO")</f>
        <v/>
      </c>
    </row>
    <row r="1522">
      <c r="A1522" s="6" t="inlineStr">
        <is>
          <t>Ozzie Soto Jr</t>
        </is>
      </c>
      <c r="B1522" s="7" t="n">
        <v>8</v>
      </c>
      <c r="C1522" s="7" t="n">
        <v>0</v>
      </c>
      <c r="D1522" s="7" t="n">
        <v>0</v>
      </c>
      <c r="E1522" s="7" t="n">
        <v>0</v>
      </c>
      <c r="F1522" s="8" t="inlineStr">
        <is>
          <t>Low</t>
        </is>
      </c>
      <c r="G1522" s="8" t="inlineStr">
        <is>
          <t>Low</t>
        </is>
      </c>
      <c r="H1522">
        <f>IF(F1522=G1522,"YES","NO")</f>
        <v/>
      </c>
    </row>
    <row r="1523">
      <c r="A1523" s="6" t="inlineStr">
        <is>
          <t>Paige Randall</t>
        </is>
      </c>
      <c r="B1523" s="7" t="n">
        <v>424</v>
      </c>
      <c r="C1523" s="7" t="n">
        <v>58</v>
      </c>
      <c r="D1523" s="7" t="n">
        <v>0.1368</v>
      </c>
      <c r="E1523" s="7" t="n">
        <v>0.1073</v>
      </c>
      <c r="F1523" s="8" t="inlineStr">
        <is>
          <t>Low</t>
        </is>
      </c>
      <c r="G1523" s="8" t="inlineStr">
        <is>
          <t>Low</t>
        </is>
      </c>
      <c r="H1523">
        <f>IF(F1523=G1523,"YES","NO")</f>
        <v/>
      </c>
    </row>
    <row r="1524">
      <c r="A1524" s="6" t="inlineStr">
        <is>
          <t>Palani Correa</t>
        </is>
      </c>
      <c r="B1524" s="7" t="n">
        <v>118</v>
      </c>
      <c r="C1524" s="7" t="n">
        <v>11</v>
      </c>
      <c r="D1524" s="7" t="n">
        <v>0.09320000000000001</v>
      </c>
      <c r="E1524" s="7" t="n">
        <v>0.0529</v>
      </c>
      <c r="F1524" s="8" t="inlineStr">
        <is>
          <t>Low</t>
        </is>
      </c>
      <c r="G1524" s="8" t="inlineStr">
        <is>
          <t>Low</t>
        </is>
      </c>
      <c r="H1524">
        <f>IF(F1524=G1524,"YES","NO")</f>
        <v/>
      </c>
    </row>
    <row r="1525">
      <c r="A1525" s="6" t="inlineStr">
        <is>
          <t>Pamela Goldsmith</t>
        </is>
      </c>
      <c r="B1525" s="7" t="n">
        <v>62</v>
      </c>
      <c r="C1525" s="7" t="n">
        <v>3</v>
      </c>
      <c r="D1525" s="7" t="n">
        <v>0.0484</v>
      </c>
      <c r="E1525" s="7" t="n">
        <v>0.0166</v>
      </c>
      <c r="F1525" s="8" t="inlineStr">
        <is>
          <t>Low</t>
        </is>
      </c>
      <c r="G1525" s="8" t="inlineStr">
        <is>
          <t>Low</t>
        </is>
      </c>
      <c r="H1525">
        <f>IF(F1525=G1525,"YES","NO")</f>
        <v/>
      </c>
    </row>
    <row r="1526">
      <c r="A1526" s="6" t="inlineStr">
        <is>
          <t>Pamella De Oliveira</t>
        </is>
      </c>
      <c r="B1526" s="7" t="n">
        <v>56</v>
      </c>
      <c r="C1526" s="7" t="n">
        <v>2</v>
      </c>
      <c r="D1526" s="7" t="n">
        <v>0.0357</v>
      </c>
      <c r="E1526" s="7" t="n">
        <v>0.0098</v>
      </c>
      <c r="F1526" s="8" t="inlineStr">
        <is>
          <t>Low</t>
        </is>
      </c>
      <c r="G1526" s="8" t="inlineStr">
        <is>
          <t>Low</t>
        </is>
      </c>
      <c r="H1526">
        <f>IF(F1526=G1526,"YES","NO")</f>
        <v/>
      </c>
    </row>
    <row r="1527">
      <c r="A1527" s="6" t="inlineStr">
        <is>
          <t>Pat Onken</t>
        </is>
      </c>
      <c r="B1527" s="7" t="n">
        <v>43</v>
      </c>
      <c r="C1527" s="7" t="n">
        <v>0</v>
      </c>
      <c r="D1527" s="7" t="n">
        <v>0</v>
      </c>
      <c r="E1527" s="7" t="n">
        <v>0</v>
      </c>
      <c r="F1527" s="8" t="inlineStr">
        <is>
          <t>Low</t>
        </is>
      </c>
      <c r="G1527" s="8" t="inlineStr">
        <is>
          <t>Low</t>
        </is>
      </c>
      <c r="H1527">
        <f>IF(F1527=G1527,"YES","NO")</f>
        <v/>
      </c>
    </row>
    <row r="1528">
      <c r="A1528" s="6" t="inlineStr">
        <is>
          <t>Patricia Pruitt</t>
        </is>
      </c>
      <c r="B1528" s="7" t="n">
        <v>20</v>
      </c>
      <c r="C1528" s="7" t="n">
        <v>0</v>
      </c>
      <c r="D1528" s="7" t="n">
        <v>0</v>
      </c>
      <c r="E1528" s="7" t="n">
        <v>0</v>
      </c>
      <c r="F1528" s="8" t="inlineStr">
        <is>
          <t>Low</t>
        </is>
      </c>
      <c r="G1528" s="8" t="inlineStr">
        <is>
          <t>High</t>
        </is>
      </c>
      <c r="H1528">
        <f>IF(F1528=G1528,"YES","NO")</f>
        <v/>
      </c>
    </row>
    <row r="1529">
      <c r="A1529" s="6" t="inlineStr">
        <is>
          <t>Patricia Trottere</t>
        </is>
      </c>
      <c r="B1529" s="7" t="n">
        <v>2</v>
      </c>
      <c r="C1529" s="7" t="n">
        <v>0</v>
      </c>
      <c r="D1529" s="7" t="n">
        <v>0</v>
      </c>
      <c r="E1529" s="7" t="n">
        <v>0</v>
      </c>
      <c r="F1529" s="8" t="inlineStr">
        <is>
          <t>Low</t>
        </is>
      </c>
      <c r="G1529" s="8" t="inlineStr">
        <is>
          <t>Low</t>
        </is>
      </c>
      <c r="H1529">
        <f>IF(F1529=G1529,"YES","NO")</f>
        <v/>
      </c>
    </row>
    <row r="1530">
      <c r="A1530" s="6" t="inlineStr">
        <is>
          <t>Patricia Unsell</t>
        </is>
      </c>
      <c r="B1530" s="7" t="n">
        <v>202</v>
      </c>
      <c r="C1530" s="7" t="n">
        <v>22</v>
      </c>
      <c r="D1530" s="7" t="n">
        <v>0.1089</v>
      </c>
      <c r="E1530" s="7" t="n">
        <v>0.073</v>
      </c>
      <c r="F1530" s="8" t="inlineStr">
        <is>
          <t>Low</t>
        </is>
      </c>
      <c r="G1530" s="8" t="inlineStr">
        <is>
          <t>Low</t>
        </is>
      </c>
      <c r="H1530">
        <f>IF(F1530=G1530,"YES","NO")</f>
        <v/>
      </c>
    </row>
    <row r="1531">
      <c r="A1531" s="6" t="inlineStr">
        <is>
          <t>Patrick Calzonetti</t>
        </is>
      </c>
      <c r="B1531" s="7" t="n">
        <v>1</v>
      </c>
      <c r="C1531" s="7" t="n">
        <v>0</v>
      </c>
      <c r="D1531" s="7" t="n">
        <v>0</v>
      </c>
      <c r="E1531" s="7" t="n">
        <v>0</v>
      </c>
      <c r="F1531" s="8" t="inlineStr">
        <is>
          <t>Low</t>
        </is>
      </c>
      <c r="G1531" s="8" t="inlineStr">
        <is>
          <t>Low</t>
        </is>
      </c>
      <c r="H1531">
        <f>IF(F1531=G1531,"YES","NO")</f>
        <v/>
      </c>
    </row>
    <row r="1532">
      <c r="A1532" s="6" t="inlineStr">
        <is>
          <t>Patrick Handlan</t>
        </is>
      </c>
      <c r="B1532" s="7" t="n">
        <v>74</v>
      </c>
      <c r="C1532" s="7" t="n">
        <v>0</v>
      </c>
      <c r="D1532" s="7" t="n">
        <v>0</v>
      </c>
      <c r="E1532" s="7" t="n">
        <v>0</v>
      </c>
      <c r="F1532" s="8" t="inlineStr">
        <is>
          <t>Low</t>
        </is>
      </c>
      <c r="G1532" s="8" t="inlineStr">
        <is>
          <t>Low</t>
        </is>
      </c>
      <c r="H1532">
        <f>IF(F1532=G1532,"YES","NO")</f>
        <v/>
      </c>
    </row>
    <row r="1533">
      <c r="A1533" s="6" t="inlineStr">
        <is>
          <t>Patrick Hutto</t>
        </is>
      </c>
      <c r="B1533" s="7" t="n">
        <v>14</v>
      </c>
      <c r="C1533" s="7" t="n">
        <v>1</v>
      </c>
      <c r="D1533" s="7" t="n">
        <v>0.07140000000000001</v>
      </c>
      <c r="E1533" s="7" t="n">
        <v>0.0127</v>
      </c>
      <c r="F1533" s="8" t="inlineStr">
        <is>
          <t>Low</t>
        </is>
      </c>
      <c r="G1533" s="8" t="inlineStr">
        <is>
          <t>Low</t>
        </is>
      </c>
      <c r="H1533">
        <f>IF(F1533=G1533,"YES","NO")</f>
        <v/>
      </c>
    </row>
    <row r="1534">
      <c r="A1534" s="6" t="inlineStr">
        <is>
          <t>Patrick Niland</t>
        </is>
      </c>
      <c r="B1534" s="7" t="n">
        <v>34</v>
      </c>
      <c r="C1534" s="7" t="n">
        <v>5</v>
      </c>
      <c r="D1534" s="7" t="n">
        <v>0.1471</v>
      </c>
      <c r="E1534" s="7" t="n">
        <v>0.0645</v>
      </c>
      <c r="F1534" s="8" t="inlineStr">
        <is>
          <t>Low</t>
        </is>
      </c>
      <c r="G1534" s="8" t="inlineStr">
        <is>
          <t>Medium</t>
        </is>
      </c>
      <c r="H1534">
        <f>IF(F1534=G1534,"YES","NO")</f>
        <v/>
      </c>
    </row>
    <row r="1535">
      <c r="A1535" s="6" t="inlineStr">
        <is>
          <t>Patrick Page</t>
        </is>
      </c>
      <c r="B1535" s="7" t="n">
        <v>1</v>
      </c>
      <c r="C1535" s="7" t="n">
        <v>0</v>
      </c>
      <c r="D1535" s="7" t="n">
        <v>0</v>
      </c>
      <c r="E1535" s="7" t="n">
        <v>0</v>
      </c>
      <c r="F1535" s="8" t="inlineStr">
        <is>
          <t>Low</t>
        </is>
      </c>
      <c r="G1535" s="8" t="inlineStr">
        <is>
          <t>Low</t>
        </is>
      </c>
      <c r="H1535">
        <f>IF(F1535=G1535,"YES","NO")</f>
        <v/>
      </c>
    </row>
    <row r="1536">
      <c r="A1536" s="6" t="inlineStr">
        <is>
          <t>Patrick Sweetra</t>
        </is>
      </c>
      <c r="B1536" s="7" t="n">
        <v>9</v>
      </c>
      <c r="C1536" s="7" t="n">
        <v>0</v>
      </c>
      <c r="D1536" s="7" t="n">
        <v>0</v>
      </c>
      <c r="E1536" s="7" t="n">
        <v>0</v>
      </c>
      <c r="F1536" s="8" t="inlineStr">
        <is>
          <t>Low</t>
        </is>
      </c>
      <c r="G1536" s="8" t="inlineStr">
        <is>
          <t>Low</t>
        </is>
      </c>
      <c r="H1536">
        <f>IF(F1536=G1536,"YES","NO")</f>
        <v/>
      </c>
    </row>
    <row r="1537">
      <c r="A1537" s="6" t="inlineStr">
        <is>
          <t>Paul  Hicks</t>
        </is>
      </c>
      <c r="B1537" s="7" t="n">
        <v>36</v>
      </c>
      <c r="C1537" s="7" t="n">
        <v>0</v>
      </c>
      <c r="D1537" s="7" t="n">
        <v>0</v>
      </c>
      <c r="E1537" s="7" t="n">
        <v>0</v>
      </c>
      <c r="F1537" s="8" t="inlineStr">
        <is>
          <t>Low</t>
        </is>
      </c>
      <c r="G1537" s="8" t="inlineStr">
        <is>
          <t>Low</t>
        </is>
      </c>
      <c r="H1537">
        <f>IF(F1537=G1537,"YES","NO")</f>
        <v/>
      </c>
    </row>
    <row r="1538">
      <c r="A1538" s="6" t="inlineStr">
        <is>
          <t>Paul  Tims</t>
        </is>
      </c>
      <c r="B1538" s="7" t="n">
        <v>1179</v>
      </c>
      <c r="C1538" s="7" t="n">
        <v>11</v>
      </c>
      <c r="D1538" s="7" t="n">
        <v>0.009299999999999999</v>
      </c>
      <c r="E1538" s="7" t="n">
        <v>0.0052</v>
      </c>
      <c r="F1538" s="8" t="inlineStr">
        <is>
          <t>Low</t>
        </is>
      </c>
      <c r="G1538" s="8" t="inlineStr">
        <is>
          <t>Low</t>
        </is>
      </c>
      <c r="H1538">
        <f>IF(F1538=G1538,"YES","NO")</f>
        <v/>
      </c>
    </row>
    <row r="1539">
      <c r="A1539" s="6" t="inlineStr">
        <is>
          <t>Paul Apfelbeck</t>
        </is>
      </c>
      <c r="B1539" s="7" t="n">
        <v>1</v>
      </c>
      <c r="C1539" s="7" t="n">
        <v>0</v>
      </c>
      <c r="D1539" s="7" t="n">
        <v>0</v>
      </c>
      <c r="E1539" s="7" t="n">
        <v>0</v>
      </c>
      <c r="F1539" s="8" t="inlineStr">
        <is>
          <t>Low</t>
        </is>
      </c>
      <c r="G1539" s="8" t="inlineStr">
        <is>
          <t>Low</t>
        </is>
      </c>
      <c r="H1539">
        <f>IF(F1539=G1539,"YES","NO")</f>
        <v/>
      </c>
    </row>
    <row r="1540">
      <c r="A1540" s="6" t="inlineStr">
        <is>
          <t>Paul Chapman</t>
        </is>
      </c>
      <c r="B1540" s="7" t="n">
        <v>51</v>
      </c>
      <c r="C1540" s="7" t="n">
        <v>0</v>
      </c>
      <c r="D1540" s="7" t="n">
        <v>0</v>
      </c>
      <c r="E1540" s="7" t="n">
        <v>0</v>
      </c>
      <c r="F1540" s="8" t="inlineStr">
        <is>
          <t>Low</t>
        </is>
      </c>
      <c r="G1540" s="8" t="inlineStr">
        <is>
          <t>Low</t>
        </is>
      </c>
      <c r="H1540">
        <f>IF(F1540=G1540,"YES","NO")</f>
        <v/>
      </c>
    </row>
    <row r="1541">
      <c r="A1541" s="6" t="inlineStr">
        <is>
          <t>Paul Considine</t>
        </is>
      </c>
      <c r="B1541" s="7" t="n">
        <v>43</v>
      </c>
      <c r="C1541" s="7" t="n">
        <v>0</v>
      </c>
      <c r="D1541" s="7" t="n">
        <v>0</v>
      </c>
      <c r="E1541" s="7" t="n">
        <v>0</v>
      </c>
      <c r="F1541" s="8" t="inlineStr">
        <is>
          <t>Low</t>
        </is>
      </c>
      <c r="G1541" s="8" t="inlineStr">
        <is>
          <t>Low</t>
        </is>
      </c>
      <c r="H1541">
        <f>IF(F1541=G1541,"YES","NO")</f>
        <v/>
      </c>
    </row>
    <row r="1542">
      <c r="A1542" s="6" t="inlineStr">
        <is>
          <t>Paul Gurien</t>
        </is>
      </c>
      <c r="B1542" s="7" t="n">
        <v>1</v>
      </c>
      <c r="C1542" s="7" t="n">
        <v>0</v>
      </c>
      <c r="D1542" s="7" t="n">
        <v>0</v>
      </c>
      <c r="E1542" s="7" t="n">
        <v>0</v>
      </c>
      <c r="F1542" s="8" t="inlineStr">
        <is>
          <t>Low</t>
        </is>
      </c>
      <c r="G1542" s="8" t="inlineStr">
        <is>
          <t>Low</t>
        </is>
      </c>
      <c r="H1542">
        <f>IF(F1542=G1542,"YES","NO")</f>
        <v/>
      </c>
    </row>
    <row r="1543">
      <c r="A1543" s="6" t="inlineStr">
        <is>
          <t>Paul Hendrickson</t>
        </is>
      </c>
      <c r="B1543" s="7" t="n">
        <v>342</v>
      </c>
      <c r="C1543" s="7" t="n">
        <v>18</v>
      </c>
      <c r="D1543" s="7" t="n">
        <v>0.0526</v>
      </c>
      <c r="E1543" s="7" t="n">
        <v>0.0335</v>
      </c>
      <c r="F1543" s="8" t="inlineStr">
        <is>
          <t>Low</t>
        </is>
      </c>
      <c r="G1543" s="8" t="inlineStr">
        <is>
          <t>Low</t>
        </is>
      </c>
      <c r="H1543">
        <f>IF(F1543=G1543,"YES","NO")</f>
        <v/>
      </c>
    </row>
    <row r="1544">
      <c r="A1544" s="6" t="inlineStr">
        <is>
          <t>Paul Hernandez</t>
        </is>
      </c>
      <c r="B1544" s="7" t="n">
        <v>4</v>
      </c>
      <c r="C1544" s="7" t="n">
        <v>0</v>
      </c>
      <c r="D1544" s="7" t="n">
        <v>0</v>
      </c>
      <c r="E1544" s="7" t="n">
        <v>0</v>
      </c>
      <c r="F1544" s="8" t="inlineStr">
        <is>
          <t>Low</t>
        </is>
      </c>
      <c r="G1544" s="8" t="inlineStr">
        <is>
          <t>Low</t>
        </is>
      </c>
      <c r="H1544">
        <f>IF(F1544=G1544,"YES","NO")</f>
        <v/>
      </c>
    </row>
    <row r="1545">
      <c r="A1545" s="6" t="inlineStr">
        <is>
          <t>Paul Holstein</t>
        </is>
      </c>
      <c r="B1545" s="7" t="n">
        <v>79</v>
      </c>
      <c r="C1545" s="7" t="n">
        <v>0</v>
      </c>
      <c r="D1545" s="7" t="n">
        <v>0</v>
      </c>
      <c r="E1545" s="7" t="n">
        <v>0</v>
      </c>
      <c r="F1545" s="8" t="inlineStr">
        <is>
          <t>Low</t>
        </is>
      </c>
      <c r="G1545" s="8" t="inlineStr">
        <is>
          <t>Low</t>
        </is>
      </c>
      <c r="H1545">
        <f>IF(F1545=G1545,"YES","NO")</f>
        <v/>
      </c>
    </row>
    <row r="1546">
      <c r="A1546" s="6" t="inlineStr">
        <is>
          <t>Paul Knoff</t>
        </is>
      </c>
      <c r="B1546" s="7" t="n">
        <v>232</v>
      </c>
      <c r="C1546" s="7" t="n">
        <v>1</v>
      </c>
      <c r="D1546" s="7" t="n">
        <v>0.0043</v>
      </c>
      <c r="E1546" s="7" t="n">
        <v>0.0008</v>
      </c>
      <c r="F1546" s="8" t="inlineStr">
        <is>
          <t>Low</t>
        </is>
      </c>
      <c r="G1546" s="8" t="inlineStr">
        <is>
          <t>Low</t>
        </is>
      </c>
      <c r="H1546">
        <f>IF(F1546=G1546,"YES","NO")</f>
        <v/>
      </c>
    </row>
    <row r="1547">
      <c r="A1547" s="6" t="inlineStr">
        <is>
          <t>Paul Lee</t>
        </is>
      </c>
      <c r="B1547" s="7" t="n">
        <v>1</v>
      </c>
      <c r="C1547" s="7" t="n">
        <v>0</v>
      </c>
      <c r="D1547" s="7" t="n">
        <v>0</v>
      </c>
      <c r="E1547" s="7" t="n">
        <v>0</v>
      </c>
      <c r="F1547" s="8" t="inlineStr">
        <is>
          <t>Low</t>
        </is>
      </c>
      <c r="G1547" s="8" t="inlineStr">
        <is>
          <t>High</t>
        </is>
      </c>
      <c r="H1547">
        <f>IF(F1547=G1547,"YES","NO")</f>
        <v/>
      </c>
    </row>
    <row r="1548">
      <c r="A1548" s="6" t="inlineStr">
        <is>
          <t>Paul Madsen</t>
        </is>
      </c>
      <c r="B1548" s="7" t="n">
        <v>24</v>
      </c>
      <c r="C1548" s="7" t="n">
        <v>1</v>
      </c>
      <c r="D1548" s="7" t="n">
        <v>0.0417</v>
      </c>
      <c r="E1548" s="7" t="n">
        <v>0.0074</v>
      </c>
      <c r="F1548" s="8" t="inlineStr">
        <is>
          <t>Low</t>
        </is>
      </c>
      <c r="G1548" s="8" t="inlineStr">
        <is>
          <t>Low</t>
        </is>
      </c>
      <c r="H1548">
        <f>IF(F1548=G1548,"YES","NO")</f>
        <v/>
      </c>
    </row>
    <row r="1549">
      <c r="A1549" s="6" t="inlineStr">
        <is>
          <t>Paul Mares</t>
        </is>
      </c>
      <c r="B1549" s="7" t="n">
        <v>23</v>
      </c>
      <c r="C1549" s="7" t="n">
        <v>0</v>
      </c>
      <c r="D1549" s="7" t="n">
        <v>0</v>
      </c>
      <c r="E1549" s="7" t="n">
        <v>0</v>
      </c>
      <c r="F1549" s="8" t="inlineStr">
        <is>
          <t>Low</t>
        </is>
      </c>
      <c r="G1549" s="8" t="inlineStr">
        <is>
          <t>Low</t>
        </is>
      </c>
      <c r="H1549">
        <f>IF(F1549=G1549,"YES","NO")</f>
        <v/>
      </c>
    </row>
    <row r="1550">
      <c r="A1550" s="6" t="inlineStr">
        <is>
          <t>Paul Perez</t>
        </is>
      </c>
      <c r="B1550" s="7" t="n">
        <v>226</v>
      </c>
      <c r="C1550" s="7" t="n">
        <v>14</v>
      </c>
      <c r="D1550" s="7" t="n">
        <v>0.0619</v>
      </c>
      <c r="E1550" s="7" t="n">
        <v>0.0373</v>
      </c>
      <c r="F1550" s="8" t="inlineStr">
        <is>
          <t>Low</t>
        </is>
      </c>
      <c r="G1550" s="8" t="inlineStr">
        <is>
          <t>Low</t>
        </is>
      </c>
      <c r="H1550">
        <f>IF(F1550=G1550,"YES","NO")</f>
        <v/>
      </c>
    </row>
    <row r="1551">
      <c r="A1551" s="6" t="inlineStr">
        <is>
          <t>Paula  Davis</t>
        </is>
      </c>
      <c r="B1551" s="7" t="n">
        <v>2</v>
      </c>
      <c r="C1551" s="7" t="n">
        <v>0</v>
      </c>
      <c r="D1551" s="7" t="n">
        <v>0</v>
      </c>
      <c r="E1551" s="7" t="n">
        <v>0</v>
      </c>
      <c r="F1551" s="8" t="inlineStr">
        <is>
          <t>Low</t>
        </is>
      </c>
      <c r="G1551" s="8" t="inlineStr">
        <is>
          <t>Low</t>
        </is>
      </c>
      <c r="H1551">
        <f>IF(F1551=G1551,"YES","NO")</f>
        <v/>
      </c>
    </row>
    <row r="1552">
      <c r="A1552" s="6" t="inlineStr">
        <is>
          <t>Paula Wesley</t>
        </is>
      </c>
      <c r="B1552" s="7" t="n">
        <v>1</v>
      </c>
      <c r="C1552" s="7" t="n">
        <v>0</v>
      </c>
      <c r="D1552" s="7" t="n">
        <v>0</v>
      </c>
      <c r="E1552" s="7" t="n">
        <v>0</v>
      </c>
      <c r="F1552" s="8" t="inlineStr">
        <is>
          <t>Low</t>
        </is>
      </c>
      <c r="G1552" s="8" t="inlineStr">
        <is>
          <t>Low</t>
        </is>
      </c>
      <c r="H1552">
        <f>IF(F1552=G1552,"YES","NO")</f>
        <v/>
      </c>
    </row>
    <row r="1553">
      <c r="A1553" s="6" t="inlineStr">
        <is>
          <t>Penny Loughary</t>
        </is>
      </c>
      <c r="B1553" s="7" t="n">
        <v>230</v>
      </c>
      <c r="C1553" s="7" t="n">
        <v>7</v>
      </c>
      <c r="D1553" s="7" t="n">
        <v>0.0304</v>
      </c>
      <c r="E1553" s="7" t="n">
        <v>0.0148</v>
      </c>
      <c r="F1553" s="8" t="inlineStr">
        <is>
          <t>Low</t>
        </is>
      </c>
      <c r="G1553" s="8" t="inlineStr">
        <is>
          <t>Low</t>
        </is>
      </c>
      <c r="H1553">
        <f>IF(F1553=G1553,"YES","NO")</f>
        <v/>
      </c>
    </row>
    <row r="1554">
      <c r="A1554" s="6" t="inlineStr">
        <is>
          <t>Peri Masterman</t>
        </is>
      </c>
      <c r="B1554" s="7" t="n">
        <v>8</v>
      </c>
      <c r="C1554" s="7" t="n">
        <v>0</v>
      </c>
      <c r="D1554" s="7" t="n">
        <v>0</v>
      </c>
      <c r="E1554" s="7" t="n">
        <v>0</v>
      </c>
      <c r="F1554" s="8" t="inlineStr">
        <is>
          <t>Low</t>
        </is>
      </c>
      <c r="G1554" s="8" t="inlineStr">
        <is>
          <t>Low</t>
        </is>
      </c>
      <c r="H1554">
        <f>IF(F1554=G1554,"YES","NO")</f>
        <v/>
      </c>
    </row>
    <row r="1555">
      <c r="A1555" s="6" t="inlineStr">
        <is>
          <t>Peter Demetriades</t>
        </is>
      </c>
      <c r="B1555" s="7" t="n">
        <v>66</v>
      </c>
      <c r="C1555" s="7" t="n">
        <v>1</v>
      </c>
      <c r="D1555" s="7" t="n">
        <v>0.0152</v>
      </c>
      <c r="E1555" s="7" t="n">
        <v>0.0027</v>
      </c>
      <c r="F1555" s="8" t="inlineStr">
        <is>
          <t>Low</t>
        </is>
      </c>
      <c r="G1555" s="8" t="inlineStr">
        <is>
          <t>Low</t>
        </is>
      </c>
      <c r="H1555">
        <f>IF(F1555=G1555,"YES","NO")</f>
        <v/>
      </c>
    </row>
    <row r="1556">
      <c r="A1556" s="6" t="inlineStr">
        <is>
          <t>Peter Early</t>
        </is>
      </c>
      <c r="B1556" s="7" t="n">
        <v>99</v>
      </c>
      <c r="C1556" s="7" t="n">
        <v>1</v>
      </c>
      <c r="D1556" s="7" t="n">
        <v>0.0101</v>
      </c>
      <c r="E1556" s="7" t="n">
        <v>0.0018</v>
      </c>
      <c r="F1556" s="8" t="inlineStr">
        <is>
          <t>Low</t>
        </is>
      </c>
      <c r="G1556" s="8" t="inlineStr">
        <is>
          <t>Low</t>
        </is>
      </c>
      <c r="H1556">
        <f>IF(F1556=G1556,"YES","NO")</f>
        <v/>
      </c>
    </row>
    <row r="1557">
      <c r="A1557" s="6" t="inlineStr">
        <is>
          <t>Peter Larsen</t>
        </is>
      </c>
      <c r="B1557" s="7" t="n">
        <v>68</v>
      </c>
      <c r="C1557" s="7" t="n">
        <v>0</v>
      </c>
      <c r="D1557" s="7" t="n">
        <v>0</v>
      </c>
      <c r="E1557" s="7" t="n">
        <v>0</v>
      </c>
      <c r="F1557" s="8" t="inlineStr">
        <is>
          <t>Low</t>
        </is>
      </c>
      <c r="G1557" s="8" t="inlineStr">
        <is>
          <t>Low</t>
        </is>
      </c>
      <c r="H1557">
        <f>IF(F1557=G1557,"YES","NO")</f>
        <v/>
      </c>
    </row>
    <row r="1558">
      <c r="A1558" s="6" t="inlineStr">
        <is>
          <t>Petr Fryklund</t>
        </is>
      </c>
      <c r="B1558" s="7" t="n">
        <v>27</v>
      </c>
      <c r="C1558" s="7" t="n">
        <v>0</v>
      </c>
      <c r="D1558" s="7" t="n">
        <v>0</v>
      </c>
      <c r="E1558" s="7" t="n">
        <v>0</v>
      </c>
      <c r="F1558" s="8" t="inlineStr">
        <is>
          <t>Low</t>
        </is>
      </c>
      <c r="G1558" s="8" t="inlineStr">
        <is>
          <t>Low</t>
        </is>
      </c>
      <c r="H1558">
        <f>IF(F1558=G1558,"YES","NO")</f>
        <v/>
      </c>
    </row>
    <row r="1559">
      <c r="A1559" s="6" t="inlineStr">
        <is>
          <t>Phil Cox</t>
        </is>
      </c>
      <c r="B1559" s="7" t="n">
        <v>2</v>
      </c>
      <c r="C1559" s="7" t="n">
        <v>0</v>
      </c>
      <c r="D1559" s="7" t="n">
        <v>0</v>
      </c>
      <c r="E1559" s="7" t="n">
        <v>0</v>
      </c>
      <c r="F1559" s="8" t="inlineStr">
        <is>
          <t>Low</t>
        </is>
      </c>
      <c r="G1559" s="8" t="inlineStr">
        <is>
          <t>Low</t>
        </is>
      </c>
      <c r="H1559">
        <f>IF(F1559=G1559,"YES","NO")</f>
        <v/>
      </c>
    </row>
    <row r="1560">
      <c r="A1560" s="6" t="inlineStr">
        <is>
          <t>Phil Malara</t>
        </is>
      </c>
      <c r="B1560" s="7" t="n">
        <v>11</v>
      </c>
      <c r="C1560" s="7" t="n">
        <v>1</v>
      </c>
      <c r="D1560" s="7" t="n">
        <v>0.09089999999999999</v>
      </c>
      <c r="E1560" s="7" t="n">
        <v>0.0162</v>
      </c>
      <c r="F1560" s="8" t="inlineStr">
        <is>
          <t>Low</t>
        </is>
      </c>
      <c r="G1560" s="8" t="inlineStr">
        <is>
          <t>Low</t>
        </is>
      </c>
      <c r="H1560">
        <f>IF(F1560=G1560,"YES","NO")</f>
        <v/>
      </c>
    </row>
    <row r="1561">
      <c r="A1561" s="6" t="inlineStr">
        <is>
          <t>Phil McCarthy</t>
        </is>
      </c>
      <c r="B1561" s="7" t="n">
        <v>5</v>
      </c>
      <c r="C1561" s="7" t="n">
        <v>0</v>
      </c>
      <c r="D1561" s="7" t="n">
        <v>0</v>
      </c>
      <c r="E1561" s="7" t="n">
        <v>0</v>
      </c>
      <c r="F1561" s="8" t="inlineStr">
        <is>
          <t>Low</t>
        </is>
      </c>
      <c r="G1561" s="8" t="inlineStr">
        <is>
          <t>Low</t>
        </is>
      </c>
      <c r="H1561">
        <f>IF(F1561=G1561,"YES","NO")</f>
        <v/>
      </c>
    </row>
    <row r="1562">
      <c r="A1562" s="6" t="inlineStr">
        <is>
          <t>Philip  Castagna</t>
        </is>
      </c>
      <c r="B1562" s="7" t="n">
        <v>13</v>
      </c>
      <c r="C1562" s="7" t="n">
        <v>0</v>
      </c>
      <c r="D1562" s="7" t="n">
        <v>0</v>
      </c>
      <c r="E1562" s="7" t="n">
        <v>0</v>
      </c>
      <c r="F1562" s="8" t="inlineStr">
        <is>
          <t>Low</t>
        </is>
      </c>
      <c r="G1562" s="8" t="inlineStr">
        <is>
          <t>Low</t>
        </is>
      </c>
      <c r="H1562">
        <f>IF(F1562=G1562,"YES","NO")</f>
        <v/>
      </c>
    </row>
    <row r="1563">
      <c r="A1563" s="6" t="inlineStr">
        <is>
          <t>Philip Thompson</t>
        </is>
      </c>
      <c r="B1563" s="7" t="n">
        <v>5</v>
      </c>
      <c r="C1563" s="7" t="n">
        <v>0</v>
      </c>
      <c r="D1563" s="7" t="n">
        <v>0</v>
      </c>
      <c r="E1563" s="7" t="n">
        <v>0</v>
      </c>
      <c r="F1563" s="8" t="inlineStr">
        <is>
          <t>Low</t>
        </is>
      </c>
      <c r="G1563" s="8" t="inlineStr">
        <is>
          <t>High</t>
        </is>
      </c>
      <c r="H1563">
        <f>IF(F1563=G1563,"YES","NO")</f>
        <v/>
      </c>
    </row>
    <row r="1564">
      <c r="A1564" s="6" t="inlineStr">
        <is>
          <t>Phillip Langston</t>
        </is>
      </c>
      <c r="B1564" s="7" t="n">
        <v>10</v>
      </c>
      <c r="C1564" s="7" t="n">
        <v>0</v>
      </c>
      <c r="D1564" s="7" t="n">
        <v>0</v>
      </c>
      <c r="E1564" s="7" t="n">
        <v>0</v>
      </c>
      <c r="F1564" s="8" t="inlineStr">
        <is>
          <t>Low</t>
        </is>
      </c>
      <c r="G1564" s="8" t="inlineStr">
        <is>
          <t>Low</t>
        </is>
      </c>
      <c r="H1564">
        <f>IF(F1564=G1564,"YES","NO")</f>
        <v/>
      </c>
    </row>
    <row r="1565">
      <c r="A1565" s="6" t="inlineStr">
        <is>
          <t>Phillip Olson</t>
        </is>
      </c>
      <c r="B1565" s="7" t="n">
        <v>138</v>
      </c>
      <c r="C1565" s="7" t="n">
        <v>1</v>
      </c>
      <c r="D1565" s="7" t="n">
        <v>0.0072</v>
      </c>
      <c r="E1565" s="7" t="n">
        <v>0.0013</v>
      </c>
      <c r="F1565" s="8" t="inlineStr">
        <is>
          <t>Low</t>
        </is>
      </c>
      <c r="G1565" s="8" t="inlineStr">
        <is>
          <t>Low</t>
        </is>
      </c>
      <c r="H1565">
        <f>IF(F1565=G1565,"YES","NO")</f>
        <v/>
      </c>
    </row>
    <row r="1566">
      <c r="A1566" s="6" t="inlineStr">
        <is>
          <t>Phillip Quach</t>
        </is>
      </c>
      <c r="B1566" s="7" t="n">
        <v>102</v>
      </c>
      <c r="C1566" s="7" t="n">
        <v>5</v>
      </c>
      <c r="D1566" s="7" t="n">
        <v>0.049</v>
      </c>
      <c r="E1566" s="7" t="n">
        <v>0.0211</v>
      </c>
      <c r="F1566" s="8" t="inlineStr">
        <is>
          <t>Low</t>
        </is>
      </c>
      <c r="G1566" s="8" t="inlineStr">
        <is>
          <t>Low</t>
        </is>
      </c>
      <c r="H1566">
        <f>IF(F1566=G1566,"YES","NO")</f>
        <v/>
      </c>
    </row>
    <row r="1567">
      <c r="A1567" s="6" t="inlineStr">
        <is>
          <t>Phylicia Dolaway</t>
        </is>
      </c>
      <c r="B1567" s="7" t="n">
        <v>1</v>
      </c>
      <c r="C1567" s="7" t="n">
        <v>0</v>
      </c>
      <c r="D1567" s="7" t="n">
        <v>0</v>
      </c>
      <c r="E1567" s="7" t="n">
        <v>0</v>
      </c>
      <c r="F1567" s="8" t="inlineStr">
        <is>
          <t>Low</t>
        </is>
      </c>
      <c r="G1567" s="8" t="inlineStr">
        <is>
          <t>Low</t>
        </is>
      </c>
      <c r="H1567">
        <f>IF(F1567=G1567,"YES","NO")</f>
        <v/>
      </c>
    </row>
    <row r="1568">
      <c r="A1568" s="6" t="inlineStr">
        <is>
          <t>Pierce Wisnovsky</t>
        </is>
      </c>
      <c r="B1568" s="7" t="n">
        <v>96</v>
      </c>
      <c r="C1568" s="7" t="n">
        <v>6</v>
      </c>
      <c r="D1568" s="7" t="n">
        <v>0.0625</v>
      </c>
      <c r="E1568" s="7" t="n">
        <v>0.029</v>
      </c>
      <c r="F1568" s="8" t="inlineStr">
        <is>
          <t>Low</t>
        </is>
      </c>
      <c r="G1568" s="8" t="inlineStr">
        <is>
          <t>Low</t>
        </is>
      </c>
      <c r="H1568">
        <f>IF(F1568=G1568,"YES","NO")</f>
        <v/>
      </c>
    </row>
    <row r="1569">
      <c r="A1569" s="6" t="inlineStr">
        <is>
          <t>REY LOPEZ</t>
        </is>
      </c>
      <c r="B1569" s="7" t="n">
        <v>12</v>
      </c>
      <c r="C1569" s="7" t="n">
        <v>0</v>
      </c>
      <c r="D1569" s="7" t="n">
        <v>0</v>
      </c>
      <c r="E1569" s="7" t="n">
        <v>0</v>
      </c>
      <c r="F1569" s="8" t="inlineStr">
        <is>
          <t>Low</t>
        </is>
      </c>
      <c r="G1569" s="8" t="inlineStr">
        <is>
          <t>Low</t>
        </is>
      </c>
      <c r="H1569">
        <f>IF(F1569=G1569,"YES","NO")</f>
        <v/>
      </c>
    </row>
    <row r="1570">
      <c r="A1570" s="6" t="inlineStr">
        <is>
          <t>RICHARD ANDERSON</t>
        </is>
      </c>
      <c r="B1570" s="7" t="n">
        <v>10</v>
      </c>
      <c r="C1570" s="7" t="n">
        <v>0</v>
      </c>
      <c r="D1570" s="7" t="n">
        <v>0</v>
      </c>
      <c r="E1570" s="7" t="n">
        <v>0</v>
      </c>
      <c r="F1570" s="8" t="inlineStr">
        <is>
          <t>Low</t>
        </is>
      </c>
      <c r="G1570" s="8" t="inlineStr">
        <is>
          <t>Low</t>
        </is>
      </c>
      <c r="H1570">
        <f>IF(F1570=G1570,"YES","NO")</f>
        <v/>
      </c>
    </row>
    <row r="1571">
      <c r="A1571" s="6" t="inlineStr">
        <is>
          <t>RON MILZ</t>
        </is>
      </c>
      <c r="B1571" s="7" t="n">
        <v>223</v>
      </c>
      <c r="C1571" s="7" t="n">
        <v>0</v>
      </c>
      <c r="D1571" s="7" t="n">
        <v>0</v>
      </c>
      <c r="E1571" s="7" t="n">
        <v>0</v>
      </c>
      <c r="F1571" s="8" t="inlineStr">
        <is>
          <t>Low</t>
        </is>
      </c>
      <c r="G1571" s="8" t="inlineStr">
        <is>
          <t>Low</t>
        </is>
      </c>
      <c r="H1571">
        <f>IF(F1571=G1571,"YES","NO")</f>
        <v/>
      </c>
    </row>
    <row r="1572">
      <c r="A1572" s="6" t="inlineStr">
        <is>
          <t>ROSS WIFFLER</t>
        </is>
      </c>
      <c r="B1572" s="7" t="n">
        <v>158</v>
      </c>
      <c r="C1572" s="7" t="n">
        <v>3</v>
      </c>
      <c r="D1572" s="7" t="n">
        <v>0.019</v>
      </c>
      <c r="E1572" s="7" t="n">
        <v>0.0065</v>
      </c>
      <c r="F1572" s="8" t="inlineStr">
        <is>
          <t>Low</t>
        </is>
      </c>
      <c r="G1572" s="8" t="inlineStr">
        <is>
          <t>Low</t>
        </is>
      </c>
      <c r="H1572">
        <f>IF(F1572=G1572,"YES","NO")</f>
        <v/>
      </c>
    </row>
    <row r="1573">
      <c r="A1573" s="6" t="inlineStr">
        <is>
          <t>Rachel Frank</t>
        </is>
      </c>
      <c r="B1573" s="7" t="n">
        <v>147</v>
      </c>
      <c r="C1573" s="7" t="n">
        <v>4</v>
      </c>
      <c r="D1573" s="7" t="n">
        <v>0.0272</v>
      </c>
      <c r="E1573" s="7" t="n">
        <v>0.0106</v>
      </c>
      <c r="F1573" s="8" t="inlineStr">
        <is>
          <t>Low</t>
        </is>
      </c>
      <c r="G1573" s="8" t="inlineStr">
        <is>
          <t>Low</t>
        </is>
      </c>
      <c r="H1573">
        <f>IF(F1573=G1573,"YES","NO")</f>
        <v/>
      </c>
    </row>
    <row r="1574">
      <c r="A1574" s="6" t="inlineStr">
        <is>
          <t>Rachel Provost</t>
        </is>
      </c>
      <c r="B1574" s="7" t="n">
        <v>1</v>
      </c>
      <c r="C1574" s="7" t="n">
        <v>0</v>
      </c>
      <c r="D1574" s="7" t="n">
        <v>0</v>
      </c>
      <c r="E1574" s="7" t="n">
        <v>0</v>
      </c>
      <c r="F1574" s="8" t="inlineStr">
        <is>
          <t>Low</t>
        </is>
      </c>
      <c r="G1574" s="8" t="inlineStr">
        <is>
          <t>Low</t>
        </is>
      </c>
      <c r="H1574">
        <f>IF(F1574=G1574,"YES","NO")</f>
        <v/>
      </c>
    </row>
    <row r="1575">
      <c r="A1575" s="6" t="inlineStr">
        <is>
          <t>Rachelle Weaver</t>
        </is>
      </c>
      <c r="B1575" s="7" t="n">
        <v>218</v>
      </c>
      <c r="C1575" s="7" t="n">
        <v>24</v>
      </c>
      <c r="D1575" s="7" t="n">
        <v>0.1101</v>
      </c>
      <c r="E1575" s="7" t="n">
        <v>0.0751</v>
      </c>
      <c r="F1575" s="8" t="inlineStr">
        <is>
          <t>Low</t>
        </is>
      </c>
      <c r="G1575" s="8" t="inlineStr">
        <is>
          <t>Low</t>
        </is>
      </c>
      <c r="H1575">
        <f>IF(F1575=G1575,"YES","NO")</f>
        <v/>
      </c>
    </row>
    <row r="1576">
      <c r="A1576" s="6" t="inlineStr">
        <is>
          <t>Rafael Fernandez</t>
        </is>
      </c>
      <c r="B1576" s="7" t="n">
        <v>1</v>
      </c>
      <c r="C1576" s="7" t="n">
        <v>0</v>
      </c>
      <c r="D1576" s="7" t="n">
        <v>0</v>
      </c>
      <c r="E1576" s="7" t="n">
        <v>0</v>
      </c>
      <c r="F1576" s="8" t="inlineStr">
        <is>
          <t>Low</t>
        </is>
      </c>
      <c r="G1576" s="8" t="inlineStr">
        <is>
          <t>Low</t>
        </is>
      </c>
      <c r="H1576">
        <f>IF(F1576=G1576,"YES","NO")</f>
        <v/>
      </c>
    </row>
    <row r="1577">
      <c r="A1577" s="6" t="inlineStr">
        <is>
          <t>Raj Nabar</t>
        </is>
      </c>
      <c r="B1577" s="7" t="n">
        <v>2</v>
      </c>
      <c r="C1577" s="7" t="n">
        <v>0</v>
      </c>
      <c r="D1577" s="7" t="n">
        <v>0</v>
      </c>
      <c r="E1577" s="7" t="n">
        <v>0</v>
      </c>
      <c r="F1577" s="8" t="inlineStr">
        <is>
          <t>Low</t>
        </is>
      </c>
      <c r="G1577" s="8" t="inlineStr">
        <is>
          <t>Low</t>
        </is>
      </c>
      <c r="H1577">
        <f>IF(F1577=G1577,"YES","NO")</f>
        <v/>
      </c>
    </row>
    <row r="1578">
      <c r="A1578" s="6" t="inlineStr">
        <is>
          <t>Randall Hayes</t>
        </is>
      </c>
      <c r="B1578" s="7" t="n">
        <v>9</v>
      </c>
      <c r="C1578" s="7" t="n">
        <v>0</v>
      </c>
      <c r="D1578" s="7" t="n">
        <v>0</v>
      </c>
      <c r="E1578" s="7" t="n">
        <v>0</v>
      </c>
      <c r="F1578" s="8" t="inlineStr">
        <is>
          <t>Low</t>
        </is>
      </c>
      <c r="G1578" s="8" t="inlineStr">
        <is>
          <t>Low</t>
        </is>
      </c>
      <c r="H1578">
        <f>IF(F1578=G1578,"YES","NO")</f>
        <v/>
      </c>
    </row>
    <row r="1579">
      <c r="A1579" s="6" t="inlineStr">
        <is>
          <t>Randy Barretto</t>
        </is>
      </c>
      <c r="B1579" s="7" t="n">
        <v>125</v>
      </c>
      <c r="C1579" s="7" t="n">
        <v>5</v>
      </c>
      <c r="D1579" s="7" t="n">
        <v>0.04</v>
      </c>
      <c r="E1579" s="7" t="n">
        <v>0.0172</v>
      </c>
      <c r="F1579" s="8" t="inlineStr">
        <is>
          <t>Low</t>
        </is>
      </c>
      <c r="G1579" s="8" t="inlineStr">
        <is>
          <t>Low</t>
        </is>
      </c>
      <c r="H1579">
        <f>IF(F1579=G1579,"YES","NO")</f>
        <v/>
      </c>
    </row>
    <row r="1580">
      <c r="A1580" s="6" t="inlineStr">
        <is>
          <t>Randy Coughlin</t>
        </is>
      </c>
      <c r="B1580" s="7" t="n">
        <v>95</v>
      </c>
      <c r="C1580" s="7" t="n">
        <v>0</v>
      </c>
      <c r="D1580" s="7" t="n">
        <v>0</v>
      </c>
      <c r="E1580" s="7" t="n">
        <v>0</v>
      </c>
      <c r="F1580" s="8" t="inlineStr">
        <is>
          <t>Low</t>
        </is>
      </c>
      <c r="G1580" s="8" t="inlineStr">
        <is>
          <t>High</t>
        </is>
      </c>
      <c r="H1580">
        <f>IF(F1580=G1580,"YES","NO")</f>
        <v/>
      </c>
    </row>
    <row r="1581">
      <c r="A1581" s="6" t="inlineStr">
        <is>
          <t>Randy Jacobson</t>
        </is>
      </c>
      <c r="B1581" s="7" t="n">
        <v>166</v>
      </c>
      <c r="C1581" s="7" t="n">
        <v>23</v>
      </c>
      <c r="D1581" s="7" t="n">
        <v>0.1386</v>
      </c>
      <c r="E1581" s="7" t="n">
        <v>0.0941</v>
      </c>
      <c r="F1581" s="8" t="inlineStr">
        <is>
          <t>Low</t>
        </is>
      </c>
      <c r="G1581" s="8" t="inlineStr">
        <is>
          <t>Low</t>
        </is>
      </c>
      <c r="H1581">
        <f>IF(F1581=G1581,"YES","NO")</f>
        <v/>
      </c>
    </row>
    <row r="1582">
      <c r="A1582" s="6" t="inlineStr">
        <is>
          <t>Randy Stirratt</t>
        </is>
      </c>
      <c r="B1582" s="7" t="n">
        <v>13</v>
      </c>
      <c r="C1582" s="7" t="n">
        <v>2</v>
      </c>
      <c r="D1582" s="7" t="n">
        <v>0.1538</v>
      </c>
      <c r="E1582" s="7" t="n">
        <v>0.0433</v>
      </c>
      <c r="F1582" s="8" t="inlineStr">
        <is>
          <t>Low</t>
        </is>
      </c>
      <c r="G1582" s="8" t="inlineStr">
        <is>
          <t>Low</t>
        </is>
      </c>
      <c r="H1582">
        <f>IF(F1582=G1582,"YES","NO")</f>
        <v/>
      </c>
    </row>
    <row r="1583">
      <c r="A1583" s="6" t="inlineStr">
        <is>
          <t>Randy Stumpf</t>
        </is>
      </c>
      <c r="B1583" s="7" t="n">
        <v>4</v>
      </c>
      <c r="C1583" s="7" t="n">
        <v>0</v>
      </c>
      <c r="D1583" s="7" t="n">
        <v>0</v>
      </c>
      <c r="E1583" s="7" t="n">
        <v>0</v>
      </c>
      <c r="F1583" s="8" t="inlineStr">
        <is>
          <t>Low</t>
        </is>
      </c>
      <c r="G1583" s="8" t="inlineStr">
        <is>
          <t>Low</t>
        </is>
      </c>
      <c r="H1583">
        <f>IF(F1583=G1583,"YES","NO")</f>
        <v/>
      </c>
    </row>
    <row r="1584">
      <c r="A1584" s="6" t="inlineStr">
        <is>
          <t>Randy Weir</t>
        </is>
      </c>
      <c r="B1584" s="7" t="n">
        <v>47</v>
      </c>
      <c r="C1584" s="7" t="n">
        <v>4</v>
      </c>
      <c r="D1584" s="7" t="n">
        <v>0.0851</v>
      </c>
      <c r="E1584" s="7" t="n">
        <v>0.0336</v>
      </c>
      <c r="F1584" s="8" t="inlineStr">
        <is>
          <t>Low</t>
        </is>
      </c>
      <c r="G1584" s="8" t="inlineStr">
        <is>
          <t>Low</t>
        </is>
      </c>
      <c r="H1584">
        <f>IF(F1584=G1584,"YES","NO")</f>
        <v/>
      </c>
    </row>
    <row r="1585">
      <c r="A1585" s="6" t="inlineStr">
        <is>
          <t>Ray Neloms</t>
        </is>
      </c>
      <c r="B1585" s="7" t="n">
        <v>3</v>
      </c>
      <c r="C1585" s="7" t="n">
        <v>0</v>
      </c>
      <c r="D1585" s="7" t="n">
        <v>0</v>
      </c>
      <c r="E1585" s="7" t="n">
        <v>0</v>
      </c>
      <c r="F1585" s="8" t="inlineStr">
        <is>
          <t>Low</t>
        </is>
      </c>
      <c r="G1585" s="8" t="inlineStr">
        <is>
          <t>Low</t>
        </is>
      </c>
      <c r="H1585">
        <f>IF(F1585=G1585,"YES","NO")</f>
        <v/>
      </c>
    </row>
    <row r="1586">
      <c r="A1586" s="6" t="inlineStr">
        <is>
          <t>Ray Tatten</t>
        </is>
      </c>
      <c r="B1586" s="7" t="n">
        <v>152</v>
      </c>
      <c r="C1586" s="7" t="n">
        <v>1</v>
      </c>
      <c r="D1586" s="7" t="n">
        <v>0.0066</v>
      </c>
      <c r="E1586" s="7" t="n">
        <v>0.0012</v>
      </c>
      <c r="F1586" s="8" t="inlineStr">
        <is>
          <t>Low</t>
        </is>
      </c>
      <c r="G1586" s="8" t="inlineStr">
        <is>
          <t>Low</t>
        </is>
      </c>
      <c r="H1586">
        <f>IF(F1586=G1586,"YES","NO")</f>
        <v/>
      </c>
    </row>
    <row r="1587">
      <c r="A1587" s="6" t="inlineStr">
        <is>
          <t>Ray Vicario</t>
        </is>
      </c>
      <c r="B1587" s="7" t="n">
        <v>7</v>
      </c>
      <c r="C1587" s="7" t="n">
        <v>0</v>
      </c>
      <c r="D1587" s="7" t="n">
        <v>0</v>
      </c>
      <c r="E1587" s="7" t="n">
        <v>0</v>
      </c>
      <c r="F1587" s="8" t="inlineStr">
        <is>
          <t>Low</t>
        </is>
      </c>
      <c r="G1587" s="8" t="inlineStr">
        <is>
          <t>Low</t>
        </is>
      </c>
      <c r="H1587">
        <f>IF(F1587=G1587,"YES","NO")</f>
        <v/>
      </c>
    </row>
    <row r="1588">
      <c r="A1588" s="6" t="inlineStr">
        <is>
          <t>Rebecca Baden</t>
        </is>
      </c>
      <c r="B1588" s="7" t="n">
        <v>2</v>
      </c>
      <c r="C1588" s="7" t="n">
        <v>0</v>
      </c>
      <c r="D1588" s="7" t="n">
        <v>0</v>
      </c>
      <c r="E1588" s="7" t="n">
        <v>0</v>
      </c>
      <c r="F1588" s="8" t="inlineStr">
        <is>
          <t>Low</t>
        </is>
      </c>
      <c r="G1588" s="8" t="inlineStr">
        <is>
          <t>Low</t>
        </is>
      </c>
      <c r="H1588">
        <f>IF(F1588=G1588,"YES","NO")</f>
        <v/>
      </c>
    </row>
    <row r="1589">
      <c r="A1589" s="6" t="inlineStr">
        <is>
          <t>Rebekah Nelson</t>
        </is>
      </c>
      <c r="B1589" s="7" t="n">
        <v>140</v>
      </c>
      <c r="C1589" s="7" t="n">
        <v>9</v>
      </c>
      <c r="D1589" s="7" t="n">
        <v>0.0643</v>
      </c>
      <c r="E1589" s="7" t="n">
        <v>0.0342</v>
      </c>
      <c r="F1589" s="8" t="inlineStr">
        <is>
          <t>Low</t>
        </is>
      </c>
      <c r="G1589" s="8" t="inlineStr">
        <is>
          <t>Low</t>
        </is>
      </c>
      <c r="H1589">
        <f>IF(F1589=G1589,"YES","NO")</f>
        <v/>
      </c>
    </row>
    <row r="1590">
      <c r="A1590" s="6" t="inlineStr">
        <is>
          <t>Reece \Hanna</t>
        </is>
      </c>
      <c r="B1590" s="7" t="n">
        <v>1</v>
      </c>
      <c r="C1590" s="7" t="n">
        <v>0</v>
      </c>
      <c r="D1590" s="7" t="n">
        <v>0</v>
      </c>
      <c r="E1590" s="7" t="n">
        <v>0</v>
      </c>
      <c r="F1590" s="8" t="inlineStr">
        <is>
          <t>Low</t>
        </is>
      </c>
      <c r="G1590" s="8" t="inlineStr">
        <is>
          <t>Low</t>
        </is>
      </c>
      <c r="H1590">
        <f>IF(F1590=G1590,"YES","NO")</f>
        <v/>
      </c>
    </row>
    <row r="1591">
      <c r="A1591" s="6" t="inlineStr">
        <is>
          <t>Reggie  Abbott</t>
        </is>
      </c>
      <c r="B1591" s="7" t="n">
        <v>78</v>
      </c>
      <c r="C1591" s="7" t="n">
        <v>1</v>
      </c>
      <c r="D1591" s="7" t="n">
        <v>0.0128</v>
      </c>
      <c r="E1591" s="7" t="n">
        <v>0.0023</v>
      </c>
      <c r="F1591" s="8" t="inlineStr">
        <is>
          <t>Low</t>
        </is>
      </c>
      <c r="G1591" s="8" t="inlineStr">
        <is>
          <t>Low</t>
        </is>
      </c>
      <c r="H1591">
        <f>IF(F1591=G1591,"YES","NO")</f>
        <v/>
      </c>
    </row>
    <row r="1592">
      <c r="A1592" s="6" t="inlineStr">
        <is>
          <t>Reggie Hannah</t>
        </is>
      </c>
      <c r="B1592" s="7" t="n">
        <v>2</v>
      </c>
      <c r="C1592" s="7" t="n">
        <v>0</v>
      </c>
      <c r="D1592" s="7" t="n">
        <v>0</v>
      </c>
      <c r="E1592" s="7" t="n">
        <v>0</v>
      </c>
      <c r="F1592" s="8" t="inlineStr">
        <is>
          <t>Low</t>
        </is>
      </c>
      <c r="G1592" s="8" t="inlineStr">
        <is>
          <t>Low</t>
        </is>
      </c>
      <c r="H1592">
        <f>IF(F1592=G1592,"YES","NO")</f>
        <v/>
      </c>
    </row>
    <row r="1593">
      <c r="A1593" s="6" t="inlineStr">
        <is>
          <t>Renee DiBiccari</t>
        </is>
      </c>
      <c r="B1593" s="7" t="n">
        <v>19</v>
      </c>
      <c r="C1593" s="7" t="n">
        <v>2</v>
      </c>
      <c r="D1593" s="7" t="n">
        <v>0.1053</v>
      </c>
      <c r="E1593" s="7" t="n">
        <v>0.0294</v>
      </c>
      <c r="F1593" s="8" t="inlineStr">
        <is>
          <t>Low</t>
        </is>
      </c>
      <c r="G1593" s="8" t="inlineStr">
        <is>
          <t>Low</t>
        </is>
      </c>
      <c r="H1593">
        <f>IF(F1593=G1593,"YES","NO")</f>
        <v/>
      </c>
    </row>
    <row r="1594">
      <c r="A1594" s="6" t="inlineStr">
        <is>
          <t>Renee Golas</t>
        </is>
      </c>
      <c r="B1594" s="7" t="n">
        <v>10</v>
      </c>
      <c r="C1594" s="7" t="n">
        <v>0</v>
      </c>
      <c r="D1594" s="7" t="n">
        <v>0</v>
      </c>
      <c r="E1594" s="7" t="n">
        <v>0</v>
      </c>
      <c r="F1594" s="8" t="inlineStr">
        <is>
          <t>Low</t>
        </is>
      </c>
      <c r="G1594" s="8" t="inlineStr">
        <is>
          <t>Low</t>
        </is>
      </c>
      <c r="H1594">
        <f>IF(F1594=G1594,"YES","NO")</f>
        <v/>
      </c>
    </row>
    <row r="1595">
      <c r="A1595" s="6" t="inlineStr">
        <is>
          <t>Rex Engelhardt</t>
        </is>
      </c>
      <c r="B1595" s="7" t="n">
        <v>17</v>
      </c>
      <c r="C1595" s="7" t="n">
        <v>2</v>
      </c>
      <c r="D1595" s="7" t="n">
        <v>0.1176</v>
      </c>
      <c r="E1595" s="7" t="n">
        <v>0.0329</v>
      </c>
      <c r="F1595" s="8" t="inlineStr">
        <is>
          <t>Low</t>
        </is>
      </c>
      <c r="G1595" s="8" t="inlineStr">
        <is>
          <t>Low</t>
        </is>
      </c>
      <c r="H1595">
        <f>IF(F1595=G1595,"YES","NO")</f>
        <v/>
      </c>
    </row>
    <row r="1596">
      <c r="A1596" s="6" t="inlineStr">
        <is>
          <t>Rhonda Anderson</t>
        </is>
      </c>
      <c r="B1596" s="7" t="n">
        <v>32</v>
      </c>
      <c r="C1596" s="7" t="n">
        <v>0</v>
      </c>
      <c r="D1596" s="7" t="n">
        <v>0</v>
      </c>
      <c r="E1596" s="7" t="n">
        <v>0</v>
      </c>
      <c r="F1596" s="8" t="inlineStr">
        <is>
          <t>Low</t>
        </is>
      </c>
      <c r="G1596" s="8" t="inlineStr">
        <is>
          <t>Low</t>
        </is>
      </c>
      <c r="H1596">
        <f>IF(F1596=G1596,"YES","NO")</f>
        <v/>
      </c>
    </row>
    <row r="1597">
      <c r="A1597" s="6" t="inlineStr">
        <is>
          <t>Rhonda French</t>
        </is>
      </c>
      <c r="B1597" s="7" t="n">
        <v>44</v>
      </c>
      <c r="C1597" s="7" t="n">
        <v>1</v>
      </c>
      <c r="D1597" s="7" t="n">
        <v>0.0227</v>
      </c>
      <c r="E1597" s="7" t="n">
        <v>0.004</v>
      </c>
      <c r="F1597" s="8" t="inlineStr">
        <is>
          <t>Low</t>
        </is>
      </c>
      <c r="G1597" s="8" t="inlineStr">
        <is>
          <t>Low</t>
        </is>
      </c>
      <c r="H1597">
        <f>IF(F1597=G1597,"YES","NO")</f>
        <v/>
      </c>
    </row>
    <row r="1598">
      <c r="A1598" s="6" t="inlineStr">
        <is>
          <t>Richard Anderson</t>
        </is>
      </c>
      <c r="B1598" s="7" t="n">
        <v>13</v>
      </c>
      <c r="C1598" s="7" t="n">
        <v>1</v>
      </c>
      <c r="D1598" s="7" t="n">
        <v>0.0769</v>
      </c>
      <c r="E1598" s="7" t="n">
        <v>0.0137</v>
      </c>
      <c r="F1598" s="8" t="inlineStr">
        <is>
          <t>Low</t>
        </is>
      </c>
      <c r="G1598" s="8" t="inlineStr">
        <is>
          <t>Low</t>
        </is>
      </c>
      <c r="H1598">
        <f>IF(F1598=G1598,"YES","NO")</f>
        <v/>
      </c>
    </row>
    <row r="1599">
      <c r="A1599" s="6" t="inlineStr">
        <is>
          <t>Richard Bailey</t>
        </is>
      </c>
      <c r="B1599" s="7" t="n">
        <v>79</v>
      </c>
      <c r="C1599" s="7" t="n">
        <v>13</v>
      </c>
      <c r="D1599" s="7" t="n">
        <v>0.1646</v>
      </c>
      <c r="E1599" s="7" t="n">
        <v>0.0988</v>
      </c>
      <c r="F1599" s="8" t="inlineStr">
        <is>
          <t>Low</t>
        </is>
      </c>
      <c r="G1599" s="8" t="inlineStr">
        <is>
          <t>High</t>
        </is>
      </c>
      <c r="H1599">
        <f>IF(F1599=G1599,"YES","NO")</f>
        <v/>
      </c>
    </row>
    <row r="1600">
      <c r="A1600" s="6" t="inlineStr">
        <is>
          <t>Richard Bivins</t>
        </is>
      </c>
      <c r="B1600" s="7" t="n">
        <v>14</v>
      </c>
      <c r="C1600" s="7" t="n">
        <v>0</v>
      </c>
      <c r="D1600" s="7" t="n">
        <v>0</v>
      </c>
      <c r="E1600" s="7" t="n">
        <v>0</v>
      </c>
      <c r="F1600" s="8" t="inlineStr">
        <is>
          <t>Low</t>
        </is>
      </c>
      <c r="G1600" s="8" t="inlineStr">
        <is>
          <t>Low</t>
        </is>
      </c>
      <c r="H1600">
        <f>IF(F1600=G1600,"YES","NO")</f>
        <v/>
      </c>
    </row>
    <row r="1601">
      <c r="A1601" s="6" t="inlineStr">
        <is>
          <t>Richard Foshee</t>
        </is>
      </c>
      <c r="B1601" s="7" t="n">
        <v>24</v>
      </c>
      <c r="C1601" s="7" t="n">
        <v>1</v>
      </c>
      <c r="D1601" s="7" t="n">
        <v>0.0417</v>
      </c>
      <c r="E1601" s="7" t="n">
        <v>0.0074</v>
      </c>
      <c r="F1601" s="8" t="inlineStr">
        <is>
          <t>Low</t>
        </is>
      </c>
      <c r="G1601" s="8" t="inlineStr">
        <is>
          <t>Low</t>
        </is>
      </c>
      <c r="H1601">
        <f>IF(F1601=G1601,"YES","NO")</f>
        <v/>
      </c>
    </row>
    <row r="1602">
      <c r="A1602" s="6" t="inlineStr">
        <is>
          <t>Richard Gallegos</t>
        </is>
      </c>
      <c r="B1602" s="7" t="n">
        <v>2</v>
      </c>
      <c r="C1602" s="7" t="n">
        <v>0</v>
      </c>
      <c r="D1602" s="7" t="n">
        <v>0</v>
      </c>
      <c r="E1602" s="7" t="n">
        <v>0</v>
      </c>
      <c r="F1602" s="8" t="inlineStr">
        <is>
          <t>Low</t>
        </is>
      </c>
      <c r="G1602" s="8" t="inlineStr">
        <is>
          <t>Low</t>
        </is>
      </c>
      <c r="H1602">
        <f>IF(F1602=G1602,"YES","NO")</f>
        <v/>
      </c>
    </row>
    <row r="1603">
      <c r="A1603" s="6" t="inlineStr">
        <is>
          <t>Richard Goldsmith</t>
        </is>
      </c>
      <c r="B1603" s="7" t="n">
        <v>41</v>
      </c>
      <c r="C1603" s="7" t="n">
        <v>6</v>
      </c>
      <c r="D1603" s="7" t="n">
        <v>0.1463</v>
      </c>
      <c r="E1603" s="7" t="n">
        <v>0.0688</v>
      </c>
      <c r="F1603" s="8" t="inlineStr">
        <is>
          <t>Low</t>
        </is>
      </c>
      <c r="G1603" s="8" t="inlineStr">
        <is>
          <t>Medium</t>
        </is>
      </c>
      <c r="H1603">
        <f>IF(F1603=G1603,"YES","NO")</f>
        <v/>
      </c>
    </row>
    <row r="1604">
      <c r="A1604" s="6" t="inlineStr">
        <is>
          <t>Richard Johnson</t>
        </is>
      </c>
      <c r="B1604" s="7" t="n">
        <v>38</v>
      </c>
      <c r="C1604" s="7" t="n">
        <v>0</v>
      </c>
      <c r="D1604" s="7" t="n">
        <v>0</v>
      </c>
      <c r="E1604" s="7" t="n">
        <v>0</v>
      </c>
      <c r="F1604" s="8" t="inlineStr">
        <is>
          <t>Low</t>
        </is>
      </c>
      <c r="G1604" s="8" t="inlineStr">
        <is>
          <t>Low</t>
        </is>
      </c>
      <c r="H1604">
        <f>IF(F1604=G1604,"YES","NO")</f>
        <v/>
      </c>
    </row>
    <row r="1605">
      <c r="A1605" s="6" t="inlineStr">
        <is>
          <t>Rick Lingon</t>
        </is>
      </c>
      <c r="B1605" s="7" t="n">
        <v>287</v>
      </c>
      <c r="C1605" s="7" t="n">
        <v>0</v>
      </c>
      <c r="D1605" s="7" t="n">
        <v>0</v>
      </c>
      <c r="E1605" s="7" t="n">
        <v>0</v>
      </c>
      <c r="F1605" s="8" t="inlineStr">
        <is>
          <t>Low</t>
        </is>
      </c>
      <c r="G1605" s="8" t="inlineStr">
        <is>
          <t>Low</t>
        </is>
      </c>
      <c r="H1605">
        <f>IF(F1605=G1605,"YES","NO")</f>
        <v/>
      </c>
    </row>
    <row r="1606">
      <c r="A1606" s="6" t="inlineStr">
        <is>
          <t>Ricky Elias</t>
        </is>
      </c>
      <c r="B1606" s="7" t="n">
        <v>2</v>
      </c>
      <c r="C1606" s="7" t="n">
        <v>0</v>
      </c>
      <c r="D1606" s="7" t="n">
        <v>0</v>
      </c>
      <c r="E1606" s="7" t="n">
        <v>0</v>
      </c>
      <c r="F1606" s="8" t="inlineStr">
        <is>
          <t>Low</t>
        </is>
      </c>
      <c r="G1606" s="8" t="inlineStr">
        <is>
          <t>Low</t>
        </is>
      </c>
      <c r="H1606">
        <f>IF(F1606=G1606,"YES","NO")</f>
        <v/>
      </c>
    </row>
    <row r="1607">
      <c r="A1607" s="6" t="inlineStr">
        <is>
          <t>Riley Schneekloth</t>
        </is>
      </c>
      <c r="B1607" s="7" t="n">
        <v>23</v>
      </c>
      <c r="C1607" s="7" t="n">
        <v>4</v>
      </c>
      <c r="D1607" s="7" t="n">
        <v>0.1739</v>
      </c>
      <c r="E1607" s="7" t="n">
        <v>0.0698</v>
      </c>
      <c r="F1607" s="8" t="inlineStr">
        <is>
          <t>Low</t>
        </is>
      </c>
      <c r="G1607" s="8" t="inlineStr">
        <is>
          <t>Medium</t>
        </is>
      </c>
      <c r="H1607">
        <f>IF(F1607=G1607,"YES","NO")</f>
        <v/>
      </c>
    </row>
    <row r="1608">
      <c r="A1608" s="6" t="inlineStr">
        <is>
          <t>River Boudreau</t>
        </is>
      </c>
      <c r="B1608" s="7" t="n">
        <v>5</v>
      </c>
      <c r="C1608" s="7" t="n">
        <v>1</v>
      </c>
      <c r="D1608" s="7" t="n">
        <v>0.2</v>
      </c>
      <c r="E1608" s="7" t="n">
        <v>0.0362</v>
      </c>
      <c r="F1608" s="8" t="inlineStr">
        <is>
          <t>Low</t>
        </is>
      </c>
      <c r="G1608" s="8" t="inlineStr">
        <is>
          <t>Low</t>
        </is>
      </c>
      <c r="H1608">
        <f>IF(F1608=G1608,"YES","NO")</f>
        <v/>
      </c>
    </row>
    <row r="1609">
      <c r="A1609" s="6" t="inlineStr">
        <is>
          <t>Rob Anderson</t>
        </is>
      </c>
      <c r="B1609" s="7" t="n">
        <v>151</v>
      </c>
      <c r="C1609" s="7" t="n">
        <v>0</v>
      </c>
      <c r="D1609" s="7" t="n">
        <v>0</v>
      </c>
      <c r="E1609" s="7" t="n">
        <v>0</v>
      </c>
      <c r="F1609" s="8" t="inlineStr">
        <is>
          <t>Low</t>
        </is>
      </c>
      <c r="G1609" s="8" t="inlineStr">
        <is>
          <t>Low</t>
        </is>
      </c>
      <c r="H1609">
        <f>IF(F1609=G1609,"YES","NO")</f>
        <v/>
      </c>
    </row>
    <row r="1610">
      <c r="A1610" s="6" t="inlineStr">
        <is>
          <t>Rob Beighle</t>
        </is>
      </c>
      <c r="B1610" s="7" t="n">
        <v>198</v>
      </c>
      <c r="C1610" s="7" t="n">
        <v>0</v>
      </c>
      <c r="D1610" s="7" t="n">
        <v>0</v>
      </c>
      <c r="E1610" s="7" t="n">
        <v>0</v>
      </c>
      <c r="F1610" s="8" t="inlineStr">
        <is>
          <t>Low</t>
        </is>
      </c>
      <c r="G1610" s="8" t="inlineStr">
        <is>
          <t>Low</t>
        </is>
      </c>
      <c r="H1610">
        <f>IF(F1610=G1610,"YES","NO")</f>
        <v/>
      </c>
    </row>
    <row r="1611">
      <c r="A1611" s="6" t="inlineStr">
        <is>
          <t>Rob Newell</t>
        </is>
      </c>
      <c r="B1611" s="7" t="n">
        <v>1</v>
      </c>
      <c r="C1611" s="7" t="n">
        <v>0</v>
      </c>
      <c r="D1611" s="7" t="n">
        <v>0</v>
      </c>
      <c r="E1611" s="7" t="n">
        <v>0</v>
      </c>
      <c r="F1611" s="8" t="inlineStr">
        <is>
          <t>Low</t>
        </is>
      </c>
      <c r="G1611" s="8" t="inlineStr">
        <is>
          <t>Low</t>
        </is>
      </c>
      <c r="H1611">
        <f>IF(F1611=G1611,"YES","NO")</f>
        <v/>
      </c>
    </row>
    <row r="1612">
      <c r="A1612" s="6" t="inlineStr">
        <is>
          <t>Rob Schlup</t>
        </is>
      </c>
      <c r="B1612" s="7" t="n">
        <v>8</v>
      </c>
      <c r="C1612" s="7" t="n">
        <v>0</v>
      </c>
      <c r="D1612" s="7" t="n">
        <v>0</v>
      </c>
      <c r="E1612" s="7" t="n">
        <v>0</v>
      </c>
      <c r="F1612" s="8" t="inlineStr">
        <is>
          <t>Low</t>
        </is>
      </c>
      <c r="G1612" s="8" t="inlineStr">
        <is>
          <t>Low</t>
        </is>
      </c>
      <c r="H1612">
        <f>IF(F1612=G1612,"YES","NO")</f>
        <v/>
      </c>
    </row>
    <row r="1613">
      <c r="A1613" s="6" t="inlineStr">
        <is>
          <t>Rob Wilcox</t>
        </is>
      </c>
      <c r="B1613" s="7" t="n">
        <v>27</v>
      </c>
      <c r="C1613" s="7" t="n">
        <v>1</v>
      </c>
      <c r="D1613" s="7" t="n">
        <v>0.037</v>
      </c>
      <c r="E1613" s="7" t="n">
        <v>0.0066</v>
      </c>
      <c r="F1613" s="8" t="inlineStr">
        <is>
          <t>Low</t>
        </is>
      </c>
      <c r="G1613" s="8" t="inlineStr">
        <is>
          <t>Low</t>
        </is>
      </c>
      <c r="H1613">
        <f>IF(F1613=G1613,"YES","NO")</f>
        <v/>
      </c>
    </row>
    <row r="1614">
      <c r="A1614" s="6" t="inlineStr">
        <is>
          <t>Robert Bloecker</t>
        </is>
      </c>
      <c r="B1614" s="7" t="n">
        <v>2</v>
      </c>
      <c r="C1614" s="7" t="n">
        <v>0</v>
      </c>
      <c r="D1614" s="7" t="n">
        <v>0</v>
      </c>
      <c r="E1614" s="7" t="n">
        <v>0</v>
      </c>
      <c r="F1614" s="8" t="inlineStr">
        <is>
          <t>Low</t>
        </is>
      </c>
      <c r="G1614" s="8" t="inlineStr">
        <is>
          <t>Low</t>
        </is>
      </c>
      <c r="H1614">
        <f>IF(F1614=G1614,"YES","NO")</f>
        <v/>
      </c>
    </row>
    <row r="1615">
      <c r="A1615" s="6" t="inlineStr">
        <is>
          <t>Robert C'deBaca</t>
        </is>
      </c>
      <c r="B1615" s="7" t="n">
        <v>3</v>
      </c>
      <c r="C1615" s="7" t="n">
        <v>0</v>
      </c>
      <c r="D1615" s="7" t="n">
        <v>0</v>
      </c>
      <c r="E1615" s="7" t="n">
        <v>0</v>
      </c>
      <c r="F1615" s="8" t="inlineStr">
        <is>
          <t>Low</t>
        </is>
      </c>
      <c r="G1615" s="8" t="inlineStr">
        <is>
          <t>Low</t>
        </is>
      </c>
      <c r="H1615">
        <f>IF(F1615=G1615,"YES","NO")</f>
        <v/>
      </c>
    </row>
    <row r="1616">
      <c r="A1616" s="6" t="inlineStr">
        <is>
          <t>Robert Carroll III</t>
        </is>
      </c>
      <c r="B1616" s="7" t="n">
        <v>33</v>
      </c>
      <c r="C1616" s="7" t="n">
        <v>0</v>
      </c>
      <c r="D1616" s="7" t="n">
        <v>0</v>
      </c>
      <c r="E1616" s="7" t="n">
        <v>0</v>
      </c>
      <c r="F1616" s="8" t="inlineStr">
        <is>
          <t>Low</t>
        </is>
      </c>
      <c r="G1616" s="8" t="inlineStr">
        <is>
          <t>Medium</t>
        </is>
      </c>
      <c r="H1616">
        <f>IF(F1616=G1616,"YES","NO")</f>
        <v/>
      </c>
    </row>
    <row r="1617">
      <c r="A1617" s="6" t="inlineStr">
        <is>
          <t>Robert Dillon</t>
        </is>
      </c>
      <c r="B1617" s="7" t="n">
        <v>13</v>
      </c>
      <c r="C1617" s="7" t="n">
        <v>0</v>
      </c>
      <c r="D1617" s="7" t="n">
        <v>0</v>
      </c>
      <c r="E1617" s="7" t="n">
        <v>0</v>
      </c>
      <c r="F1617" s="8" t="inlineStr">
        <is>
          <t>Low</t>
        </is>
      </c>
      <c r="G1617" s="8" t="inlineStr">
        <is>
          <t>Low</t>
        </is>
      </c>
      <c r="H1617">
        <f>IF(F1617=G1617,"YES","NO")</f>
        <v/>
      </c>
    </row>
    <row r="1618">
      <c r="A1618" s="6" t="inlineStr">
        <is>
          <t>Robert Johnson</t>
        </is>
      </c>
      <c r="B1618" s="7" t="n">
        <v>22</v>
      </c>
      <c r="C1618" s="7" t="n">
        <v>3</v>
      </c>
      <c r="D1618" s="7" t="n">
        <v>0.1364</v>
      </c>
      <c r="E1618" s="7" t="n">
        <v>0.0475</v>
      </c>
      <c r="F1618" s="8" t="inlineStr">
        <is>
          <t>Low</t>
        </is>
      </c>
      <c r="G1618" s="8" t="inlineStr">
        <is>
          <t>Low</t>
        </is>
      </c>
      <c r="H1618">
        <f>IF(F1618=G1618,"YES","NO")</f>
        <v/>
      </c>
    </row>
    <row r="1619">
      <c r="A1619" s="6" t="inlineStr">
        <is>
          <t>Robert Kulp</t>
        </is>
      </c>
      <c r="B1619" s="7" t="n">
        <v>7</v>
      </c>
      <c r="C1619" s="7" t="n">
        <v>0</v>
      </c>
      <c r="D1619" s="7" t="n">
        <v>0</v>
      </c>
      <c r="E1619" s="7" t="n">
        <v>0</v>
      </c>
      <c r="F1619" s="8" t="inlineStr">
        <is>
          <t>Low</t>
        </is>
      </c>
      <c r="G1619" s="8" t="inlineStr">
        <is>
          <t>Low</t>
        </is>
      </c>
      <c r="H1619">
        <f>IF(F1619=G1619,"YES","NO")</f>
        <v/>
      </c>
    </row>
    <row r="1620">
      <c r="A1620" s="6" t="inlineStr">
        <is>
          <t>Robert McCarthy</t>
        </is>
      </c>
      <c r="B1620" s="7" t="n">
        <v>2</v>
      </c>
      <c r="C1620" s="7" t="n">
        <v>0</v>
      </c>
      <c r="D1620" s="7" t="n">
        <v>0</v>
      </c>
      <c r="E1620" s="7" t="n">
        <v>0</v>
      </c>
      <c r="F1620" s="8" t="inlineStr">
        <is>
          <t>Low</t>
        </is>
      </c>
      <c r="G1620" s="8" t="inlineStr">
        <is>
          <t>Low</t>
        </is>
      </c>
      <c r="H1620">
        <f>IF(F1620=G1620,"YES","NO")</f>
        <v/>
      </c>
    </row>
    <row r="1621">
      <c r="A1621" s="6" t="inlineStr">
        <is>
          <t>Robert Pieper</t>
        </is>
      </c>
      <c r="B1621" s="7" t="n">
        <v>30</v>
      </c>
      <c r="C1621" s="7" t="n">
        <v>2</v>
      </c>
      <c r="D1621" s="7" t="n">
        <v>0.0667</v>
      </c>
      <c r="E1621" s="7" t="n">
        <v>0.0185</v>
      </c>
      <c r="F1621" s="8" t="inlineStr">
        <is>
          <t>Low</t>
        </is>
      </c>
      <c r="G1621" s="8" t="inlineStr">
        <is>
          <t>Low</t>
        </is>
      </c>
      <c r="H1621">
        <f>IF(F1621=G1621,"YES","NO")</f>
        <v/>
      </c>
    </row>
    <row r="1622">
      <c r="A1622" s="6" t="inlineStr">
        <is>
          <t>Robert Reckers</t>
        </is>
      </c>
      <c r="B1622" s="7" t="n">
        <v>201</v>
      </c>
      <c r="C1622" s="7" t="n">
        <v>1</v>
      </c>
      <c r="D1622" s="7" t="n">
        <v>0.005</v>
      </c>
      <c r="E1622" s="7" t="n">
        <v>0.0009</v>
      </c>
      <c r="F1622" s="8" t="inlineStr">
        <is>
          <t>Low</t>
        </is>
      </c>
      <c r="G1622" s="8" t="inlineStr">
        <is>
          <t>Low</t>
        </is>
      </c>
      <c r="H1622">
        <f>IF(F1622=G1622,"YES","NO")</f>
        <v/>
      </c>
    </row>
    <row r="1623">
      <c r="A1623" s="6" t="inlineStr">
        <is>
          <t>Robert Solomon</t>
        </is>
      </c>
      <c r="B1623" s="7" t="n">
        <v>1</v>
      </c>
      <c r="C1623" s="7" t="n">
        <v>0</v>
      </c>
      <c r="D1623" s="7" t="n">
        <v>0</v>
      </c>
      <c r="E1623" s="7" t="n">
        <v>0</v>
      </c>
      <c r="F1623" s="8" t="inlineStr">
        <is>
          <t>Low</t>
        </is>
      </c>
      <c r="G1623" s="8" t="inlineStr">
        <is>
          <t>Low</t>
        </is>
      </c>
      <c r="H1623">
        <f>IF(F1623=G1623,"YES","NO")</f>
        <v/>
      </c>
    </row>
    <row r="1624">
      <c r="A1624" s="6" t="inlineStr">
        <is>
          <t>Roberto Trejo</t>
        </is>
      </c>
      <c r="B1624" s="7" t="n">
        <v>56</v>
      </c>
      <c r="C1624" s="7" t="n">
        <v>0</v>
      </c>
      <c r="D1624" s="7" t="n">
        <v>0</v>
      </c>
      <c r="E1624" s="7" t="n">
        <v>0</v>
      </c>
      <c r="F1624" s="8" t="inlineStr">
        <is>
          <t>Low</t>
        </is>
      </c>
      <c r="G1624" s="8" t="inlineStr">
        <is>
          <t>Low</t>
        </is>
      </c>
      <c r="H1624">
        <f>IF(F1624=G1624,"YES","NO")</f>
        <v/>
      </c>
    </row>
    <row r="1625">
      <c r="A1625" s="6" t="inlineStr">
        <is>
          <t>Robin Cilimberg</t>
        </is>
      </c>
      <c r="B1625" s="7" t="n">
        <v>7</v>
      </c>
      <c r="C1625" s="7" t="n">
        <v>0</v>
      </c>
      <c r="D1625" s="7" t="n">
        <v>0</v>
      </c>
      <c r="E1625" s="7" t="n">
        <v>0</v>
      </c>
      <c r="F1625" s="8" t="inlineStr">
        <is>
          <t>Low</t>
        </is>
      </c>
      <c r="G1625" s="8" t="inlineStr">
        <is>
          <t>Low</t>
        </is>
      </c>
      <c r="H1625">
        <f>IF(F1625=G1625,"YES","NO")</f>
        <v/>
      </c>
    </row>
    <row r="1626">
      <c r="A1626" s="6" t="inlineStr">
        <is>
          <t>Robin Harris</t>
        </is>
      </c>
      <c r="B1626" s="7" t="n">
        <v>1</v>
      </c>
      <c r="C1626" s="7" t="n">
        <v>0</v>
      </c>
      <c r="D1626" s="7" t="n">
        <v>0</v>
      </c>
      <c r="E1626" s="7" t="n">
        <v>0</v>
      </c>
      <c r="F1626" s="8" t="inlineStr">
        <is>
          <t>Low</t>
        </is>
      </c>
      <c r="G1626" s="8" t="inlineStr">
        <is>
          <t>Low</t>
        </is>
      </c>
      <c r="H1626">
        <f>IF(F1626=G1626,"YES","NO")</f>
        <v/>
      </c>
    </row>
    <row r="1627">
      <c r="A1627" s="6" t="inlineStr">
        <is>
          <t>Roel Saenz</t>
        </is>
      </c>
      <c r="B1627" s="7" t="n">
        <v>56</v>
      </c>
      <c r="C1627" s="7" t="n">
        <v>2</v>
      </c>
      <c r="D1627" s="7" t="n">
        <v>0.0357</v>
      </c>
      <c r="E1627" s="7" t="n">
        <v>0.0098</v>
      </c>
      <c r="F1627" s="8" t="inlineStr">
        <is>
          <t>Low</t>
        </is>
      </c>
      <c r="G1627" s="8" t="inlineStr">
        <is>
          <t>Low</t>
        </is>
      </c>
      <c r="H1627">
        <f>IF(F1627=G1627,"YES","NO")</f>
        <v/>
      </c>
    </row>
    <row r="1628">
      <c r="A1628" s="6" t="inlineStr">
        <is>
          <t>Roger  Pogue</t>
        </is>
      </c>
      <c r="B1628" s="7" t="n">
        <v>5</v>
      </c>
      <c r="C1628" s="7" t="n">
        <v>0</v>
      </c>
      <c r="D1628" s="7" t="n">
        <v>0</v>
      </c>
      <c r="E1628" s="7" t="n">
        <v>0</v>
      </c>
      <c r="F1628" s="8" t="inlineStr">
        <is>
          <t>Low</t>
        </is>
      </c>
      <c r="G1628" s="8" t="inlineStr">
        <is>
          <t>Low</t>
        </is>
      </c>
      <c r="H1628">
        <f>IF(F1628=G1628,"YES","NO")</f>
        <v/>
      </c>
    </row>
    <row r="1629">
      <c r="A1629" s="6" t="inlineStr">
        <is>
          <t>Roger DiGregorio</t>
        </is>
      </c>
      <c r="B1629" s="7" t="n">
        <v>111</v>
      </c>
      <c r="C1629" s="7" t="n">
        <v>11</v>
      </c>
      <c r="D1629" s="7" t="n">
        <v>0.09909999999999999</v>
      </c>
      <c r="E1629" s="7" t="n">
        <v>0.0562</v>
      </c>
      <c r="F1629" s="8" t="inlineStr">
        <is>
          <t>Low</t>
        </is>
      </c>
      <c r="G1629" s="8" t="inlineStr">
        <is>
          <t>High</t>
        </is>
      </c>
      <c r="H1629">
        <f>IF(F1629=G1629,"YES","NO")</f>
        <v/>
      </c>
    </row>
    <row r="1630">
      <c r="A1630" s="6" t="inlineStr">
        <is>
          <t>Ron Geerts</t>
        </is>
      </c>
      <c r="B1630" s="7" t="n">
        <v>14</v>
      </c>
      <c r="C1630" s="7" t="n">
        <v>0</v>
      </c>
      <c r="D1630" s="7" t="n">
        <v>0</v>
      </c>
      <c r="E1630" s="7" t="n">
        <v>0</v>
      </c>
      <c r="F1630" s="8" t="inlineStr">
        <is>
          <t>Low</t>
        </is>
      </c>
      <c r="G1630" s="8" t="inlineStr">
        <is>
          <t>Low</t>
        </is>
      </c>
      <c r="H1630">
        <f>IF(F1630=G1630,"YES","NO")</f>
        <v/>
      </c>
    </row>
    <row r="1631">
      <c r="A1631" s="6" t="inlineStr">
        <is>
          <t>Ronnie Godley</t>
        </is>
      </c>
      <c r="B1631" s="7" t="n">
        <v>8</v>
      </c>
      <c r="C1631" s="7" t="n">
        <v>1</v>
      </c>
      <c r="D1631" s="7" t="n">
        <v>0.125</v>
      </c>
      <c r="E1631" s="7" t="n">
        <v>0.0224</v>
      </c>
      <c r="F1631" s="8" t="inlineStr">
        <is>
          <t>Low</t>
        </is>
      </c>
      <c r="G1631" s="8" t="inlineStr">
        <is>
          <t>Low</t>
        </is>
      </c>
      <c r="H1631">
        <f>IF(F1631=G1631,"YES","NO")</f>
        <v/>
      </c>
    </row>
    <row r="1632">
      <c r="A1632" s="6" t="inlineStr">
        <is>
          <t>Rosanne Bachman</t>
        </is>
      </c>
      <c r="B1632" s="7" t="n">
        <v>1</v>
      </c>
      <c r="C1632" s="7" t="n">
        <v>0</v>
      </c>
      <c r="D1632" s="7" t="n">
        <v>0</v>
      </c>
      <c r="E1632" s="7" t="n">
        <v>0</v>
      </c>
      <c r="F1632" s="8" t="inlineStr">
        <is>
          <t>Low</t>
        </is>
      </c>
      <c r="G1632" s="8" t="inlineStr">
        <is>
          <t>Low</t>
        </is>
      </c>
      <c r="H1632">
        <f>IF(F1632=G1632,"YES","NO")</f>
        <v/>
      </c>
    </row>
    <row r="1633">
      <c r="A1633" s="6" t="inlineStr">
        <is>
          <t>Ross Snodgrass</t>
        </is>
      </c>
      <c r="B1633" s="7" t="n">
        <v>59</v>
      </c>
      <c r="C1633" s="7" t="n">
        <v>7</v>
      </c>
      <c r="D1633" s="7" t="n">
        <v>0.1186</v>
      </c>
      <c r="E1633" s="7" t="n">
        <v>0.0587</v>
      </c>
      <c r="F1633" s="8" t="inlineStr">
        <is>
          <t>Low</t>
        </is>
      </c>
      <c r="G1633" s="8" t="inlineStr">
        <is>
          <t>Low</t>
        </is>
      </c>
      <c r="H1633">
        <f>IF(F1633=G1633,"YES","NO")</f>
        <v/>
      </c>
    </row>
    <row r="1634">
      <c r="A1634" s="6" t="inlineStr">
        <is>
          <t>Roxanne Burnett</t>
        </is>
      </c>
      <c r="B1634" s="7" t="n">
        <v>108</v>
      </c>
      <c r="C1634" s="7" t="n">
        <v>2</v>
      </c>
      <c r="D1634" s="7" t="n">
        <v>0.0185</v>
      </c>
      <c r="E1634" s="7" t="n">
        <v>0.0051</v>
      </c>
      <c r="F1634" s="8" t="inlineStr">
        <is>
          <t>Low</t>
        </is>
      </c>
      <c r="G1634" s="8" t="inlineStr">
        <is>
          <t>Low</t>
        </is>
      </c>
      <c r="H1634">
        <f>IF(F1634=G1634,"YES","NO")</f>
        <v/>
      </c>
    </row>
    <row r="1635">
      <c r="A1635" s="6" t="inlineStr">
        <is>
          <t>Rudy Erickson</t>
        </is>
      </c>
      <c r="B1635" s="7" t="n">
        <v>4</v>
      </c>
      <c r="C1635" s="7" t="n">
        <v>0</v>
      </c>
      <c r="D1635" s="7" t="n">
        <v>0</v>
      </c>
      <c r="E1635" s="7" t="n">
        <v>0</v>
      </c>
      <c r="F1635" s="8" t="inlineStr">
        <is>
          <t>Low</t>
        </is>
      </c>
      <c r="G1635" s="8" t="inlineStr">
        <is>
          <t>Low</t>
        </is>
      </c>
      <c r="H1635">
        <f>IF(F1635=G1635,"YES","NO")</f>
        <v/>
      </c>
    </row>
    <row r="1636">
      <c r="A1636" s="6" t="inlineStr">
        <is>
          <t>Russ Kirby</t>
        </is>
      </c>
      <c r="B1636" s="7" t="n">
        <v>72</v>
      </c>
      <c r="C1636" s="7" t="n">
        <v>6</v>
      </c>
      <c r="D1636" s="7" t="n">
        <v>0.0833</v>
      </c>
      <c r="E1636" s="7" t="n">
        <v>0.0388</v>
      </c>
      <c r="F1636" s="8" t="inlineStr">
        <is>
          <t>Low</t>
        </is>
      </c>
      <c r="G1636" s="8" t="inlineStr">
        <is>
          <t>Low</t>
        </is>
      </c>
      <c r="H1636">
        <f>IF(F1636=G1636,"YES","NO")</f>
        <v/>
      </c>
    </row>
    <row r="1637">
      <c r="A1637" s="6" t="inlineStr">
        <is>
          <t>Russell  Fisher</t>
        </is>
      </c>
      <c r="B1637" s="7" t="n">
        <v>1</v>
      </c>
      <c r="C1637" s="7" t="n">
        <v>0</v>
      </c>
      <c r="D1637" s="7" t="n">
        <v>0</v>
      </c>
      <c r="E1637" s="7" t="n">
        <v>0</v>
      </c>
      <c r="F1637" s="8" t="inlineStr">
        <is>
          <t>Low</t>
        </is>
      </c>
      <c r="G1637" s="8" t="inlineStr">
        <is>
          <t>Low</t>
        </is>
      </c>
      <c r="H1637">
        <f>IF(F1637=G1637,"YES","NO")</f>
        <v/>
      </c>
    </row>
    <row r="1638">
      <c r="A1638" s="6" t="inlineStr">
        <is>
          <t>Russell Bagley</t>
        </is>
      </c>
      <c r="B1638" s="7" t="n">
        <v>36</v>
      </c>
      <c r="C1638" s="7" t="n">
        <v>0</v>
      </c>
      <c r="D1638" s="7" t="n">
        <v>0</v>
      </c>
      <c r="E1638" s="7" t="n">
        <v>0</v>
      </c>
      <c r="F1638" s="8" t="inlineStr">
        <is>
          <t>Low</t>
        </is>
      </c>
      <c r="G1638" s="8" t="inlineStr">
        <is>
          <t>Low</t>
        </is>
      </c>
      <c r="H1638">
        <f>IF(F1638=G1638,"YES","NO")</f>
        <v/>
      </c>
    </row>
    <row r="1639">
      <c r="A1639" s="6" t="inlineStr">
        <is>
          <t>Russell Brewer</t>
        </is>
      </c>
      <c r="B1639" s="7" t="n">
        <v>12</v>
      </c>
      <c r="C1639" s="7" t="n">
        <v>0</v>
      </c>
      <c r="D1639" s="7" t="n">
        <v>0</v>
      </c>
      <c r="E1639" s="7" t="n">
        <v>0</v>
      </c>
      <c r="F1639" s="8" t="inlineStr">
        <is>
          <t>Low</t>
        </is>
      </c>
      <c r="G1639" s="8" t="inlineStr">
        <is>
          <t>Low</t>
        </is>
      </c>
      <c r="H1639">
        <f>IF(F1639=G1639,"YES","NO")</f>
        <v/>
      </c>
    </row>
    <row r="1640">
      <c r="A1640" s="6" t="inlineStr">
        <is>
          <t>Ryan Anderson</t>
        </is>
      </c>
      <c r="B1640" s="7" t="n">
        <v>192</v>
      </c>
      <c r="C1640" s="7" t="n">
        <v>3</v>
      </c>
      <c r="D1640" s="7" t="n">
        <v>0.0156</v>
      </c>
      <c r="E1640" s="7" t="n">
        <v>0.0053</v>
      </c>
      <c r="F1640" s="8" t="inlineStr">
        <is>
          <t>Low</t>
        </is>
      </c>
      <c r="G1640" s="8" t="inlineStr">
        <is>
          <t>Low</t>
        </is>
      </c>
      <c r="H1640">
        <f>IF(F1640=G1640,"YES","NO")</f>
        <v/>
      </c>
    </row>
    <row r="1641">
      <c r="A1641" s="6" t="inlineStr">
        <is>
          <t>Ryan Blaha</t>
        </is>
      </c>
      <c r="B1641" s="7" t="n">
        <v>1</v>
      </c>
      <c r="C1641" s="7" t="n">
        <v>0</v>
      </c>
      <c r="D1641" s="7" t="n">
        <v>0</v>
      </c>
      <c r="E1641" s="7" t="n">
        <v>0</v>
      </c>
      <c r="F1641" s="8" t="inlineStr">
        <is>
          <t>Low</t>
        </is>
      </c>
      <c r="G1641" s="8" t="inlineStr">
        <is>
          <t>Low</t>
        </is>
      </c>
      <c r="H1641">
        <f>IF(F1641=G1641,"YES","NO")</f>
        <v/>
      </c>
    </row>
    <row r="1642">
      <c r="A1642" s="6" t="inlineStr">
        <is>
          <t>Ryan Corkrean</t>
        </is>
      </c>
      <c r="B1642" s="7" t="n">
        <v>93</v>
      </c>
      <c r="C1642" s="7" t="n">
        <v>0</v>
      </c>
      <c r="D1642" s="7" t="n">
        <v>0</v>
      </c>
      <c r="E1642" s="7" t="n">
        <v>0</v>
      </c>
      <c r="F1642" s="8" t="inlineStr">
        <is>
          <t>Low</t>
        </is>
      </c>
      <c r="G1642" s="8" t="inlineStr">
        <is>
          <t>Low</t>
        </is>
      </c>
      <c r="H1642">
        <f>IF(F1642=G1642,"YES","NO")</f>
        <v/>
      </c>
    </row>
    <row r="1643">
      <c r="A1643" s="6" t="inlineStr">
        <is>
          <t>Ryan Cosgrave</t>
        </is>
      </c>
      <c r="B1643" s="7" t="n">
        <v>81</v>
      </c>
      <c r="C1643" s="7" t="n">
        <v>2</v>
      </c>
      <c r="D1643" s="7" t="n">
        <v>0.0247</v>
      </c>
      <c r="E1643" s="7" t="n">
        <v>0.0068</v>
      </c>
      <c r="F1643" s="8" t="inlineStr">
        <is>
          <t>Low</t>
        </is>
      </c>
      <c r="G1643" s="8" t="inlineStr">
        <is>
          <t>Low</t>
        </is>
      </c>
      <c r="H1643">
        <f>IF(F1643=G1643,"YES","NO")</f>
        <v/>
      </c>
    </row>
    <row r="1644">
      <c r="A1644" s="6" t="inlineStr">
        <is>
          <t>Ryan Geeting</t>
        </is>
      </c>
      <c r="B1644" s="7" t="n">
        <v>4</v>
      </c>
      <c r="C1644" s="7" t="n">
        <v>0</v>
      </c>
      <c r="D1644" s="7" t="n">
        <v>0</v>
      </c>
      <c r="E1644" s="7" t="n">
        <v>0</v>
      </c>
      <c r="F1644" s="8" t="inlineStr">
        <is>
          <t>Low</t>
        </is>
      </c>
      <c r="G1644" s="8" t="inlineStr">
        <is>
          <t>Low</t>
        </is>
      </c>
      <c r="H1644">
        <f>IF(F1644=G1644,"YES","NO")</f>
        <v/>
      </c>
    </row>
    <row r="1645">
      <c r="A1645" s="6" t="inlineStr">
        <is>
          <t>Ryan Godfrey</t>
        </is>
      </c>
      <c r="B1645" s="7" t="n">
        <v>242</v>
      </c>
      <c r="C1645" s="7" t="n">
        <v>0</v>
      </c>
      <c r="D1645" s="7" t="n">
        <v>0</v>
      </c>
      <c r="E1645" s="7" t="n">
        <v>0</v>
      </c>
      <c r="F1645" s="8" t="inlineStr">
        <is>
          <t>Low</t>
        </is>
      </c>
      <c r="G1645" s="8" t="inlineStr">
        <is>
          <t>Low</t>
        </is>
      </c>
      <c r="H1645">
        <f>IF(F1645=G1645,"YES","NO")</f>
        <v/>
      </c>
    </row>
    <row r="1646">
      <c r="A1646" s="6" t="inlineStr">
        <is>
          <t>Ryan Hansen</t>
        </is>
      </c>
      <c r="B1646" s="7" t="n">
        <v>83</v>
      </c>
      <c r="C1646" s="7" t="n">
        <v>0</v>
      </c>
      <c r="D1646" s="7" t="n">
        <v>0</v>
      </c>
      <c r="E1646" s="7" t="n">
        <v>0</v>
      </c>
      <c r="F1646" s="8" t="inlineStr">
        <is>
          <t>Low</t>
        </is>
      </c>
      <c r="G1646" s="8" t="inlineStr">
        <is>
          <t>Low</t>
        </is>
      </c>
      <c r="H1646">
        <f>IF(F1646=G1646,"YES","NO")</f>
        <v/>
      </c>
    </row>
    <row r="1647">
      <c r="A1647" s="6" t="inlineStr">
        <is>
          <t>Ryan Keating</t>
        </is>
      </c>
      <c r="B1647" s="7" t="n">
        <v>232</v>
      </c>
      <c r="C1647" s="7" t="n">
        <v>0</v>
      </c>
      <c r="D1647" s="7" t="n">
        <v>0</v>
      </c>
      <c r="E1647" s="7" t="n">
        <v>0</v>
      </c>
      <c r="F1647" s="8" t="inlineStr">
        <is>
          <t>Low</t>
        </is>
      </c>
      <c r="G1647" s="8" t="inlineStr">
        <is>
          <t>Low</t>
        </is>
      </c>
      <c r="H1647">
        <f>IF(F1647=G1647,"YES","NO")</f>
        <v/>
      </c>
    </row>
    <row r="1648">
      <c r="A1648" s="6" t="inlineStr">
        <is>
          <t>Ryan Rafac</t>
        </is>
      </c>
      <c r="B1648" s="7" t="n">
        <v>14</v>
      </c>
      <c r="C1648" s="7" t="n">
        <v>2</v>
      </c>
      <c r="D1648" s="7" t="n">
        <v>0.1429</v>
      </c>
      <c r="E1648" s="7" t="n">
        <v>0.0401</v>
      </c>
      <c r="F1648" s="8" t="inlineStr">
        <is>
          <t>Low</t>
        </is>
      </c>
      <c r="G1648" s="8" t="inlineStr">
        <is>
          <t>Low</t>
        </is>
      </c>
      <c r="H1648">
        <f>IF(F1648=G1648,"YES","NO")</f>
        <v/>
      </c>
    </row>
    <row r="1649">
      <c r="A1649" s="6" t="inlineStr">
        <is>
          <t>Ryan Schmidt</t>
        </is>
      </c>
      <c r="B1649" s="7" t="n">
        <v>5</v>
      </c>
      <c r="C1649" s="7" t="n">
        <v>0</v>
      </c>
      <c r="D1649" s="7" t="n">
        <v>0</v>
      </c>
      <c r="E1649" s="7" t="n">
        <v>0</v>
      </c>
      <c r="F1649" s="8" t="inlineStr">
        <is>
          <t>Low</t>
        </is>
      </c>
      <c r="G1649" s="8" t="inlineStr">
        <is>
          <t>Low</t>
        </is>
      </c>
      <c r="H1649">
        <f>IF(F1649=G1649,"YES","NO")</f>
        <v/>
      </c>
    </row>
    <row r="1650">
      <c r="A1650" s="6" t="inlineStr">
        <is>
          <t>Ryan Schoepke</t>
        </is>
      </c>
      <c r="B1650" s="7" t="n">
        <v>199</v>
      </c>
      <c r="C1650" s="7" t="n">
        <v>6</v>
      </c>
      <c r="D1650" s="7" t="n">
        <v>0.0302</v>
      </c>
      <c r="E1650" s="7" t="n">
        <v>0.0139</v>
      </c>
      <c r="F1650" s="8" t="inlineStr">
        <is>
          <t>Low</t>
        </is>
      </c>
      <c r="G1650" s="8" t="inlineStr">
        <is>
          <t>Low</t>
        </is>
      </c>
      <c r="H1650">
        <f>IF(F1650=G1650,"YES","NO")</f>
        <v/>
      </c>
    </row>
    <row r="1651">
      <c r="A1651" s="6" t="inlineStr">
        <is>
          <t>Ryan Shelton</t>
        </is>
      </c>
      <c r="B1651" s="7" t="n">
        <v>169</v>
      </c>
      <c r="C1651" s="7" t="n">
        <v>8</v>
      </c>
      <c r="D1651" s="7" t="n">
        <v>0.0473</v>
      </c>
      <c r="E1651" s="7" t="n">
        <v>0.0242</v>
      </c>
      <c r="F1651" s="8" t="inlineStr">
        <is>
          <t>Low</t>
        </is>
      </c>
      <c r="G1651" s="8" t="inlineStr">
        <is>
          <t>Low</t>
        </is>
      </c>
      <c r="H1651">
        <f>IF(F1651=G1651,"YES","NO")</f>
        <v/>
      </c>
    </row>
    <row r="1652">
      <c r="A1652" s="6" t="inlineStr">
        <is>
          <t>Ryan Skinner</t>
        </is>
      </c>
      <c r="B1652" s="7" t="n">
        <v>37</v>
      </c>
      <c r="C1652" s="7" t="n">
        <v>3</v>
      </c>
      <c r="D1652" s="7" t="n">
        <v>0.08110000000000001</v>
      </c>
      <c r="E1652" s="7" t="n">
        <v>0.028</v>
      </c>
      <c r="F1652" s="8" t="inlineStr">
        <is>
          <t>Low</t>
        </is>
      </c>
      <c r="G1652" s="8" t="inlineStr">
        <is>
          <t>Low</t>
        </is>
      </c>
      <c r="H1652">
        <f>IF(F1652=G1652,"YES","NO")</f>
        <v/>
      </c>
    </row>
    <row r="1653">
      <c r="A1653" s="6" t="inlineStr">
        <is>
          <t>Ryan Vignery</t>
        </is>
      </c>
      <c r="B1653" s="7" t="n">
        <v>14</v>
      </c>
      <c r="C1653" s="7" t="n">
        <v>2</v>
      </c>
      <c r="D1653" s="7" t="n">
        <v>0.1429</v>
      </c>
      <c r="E1653" s="7" t="n">
        <v>0.0401</v>
      </c>
      <c r="F1653" s="8" t="inlineStr">
        <is>
          <t>Low</t>
        </is>
      </c>
      <c r="G1653" s="8" t="inlineStr">
        <is>
          <t>Low</t>
        </is>
      </c>
      <c r="H1653">
        <f>IF(F1653=G1653,"YES","NO")</f>
        <v/>
      </c>
    </row>
    <row r="1654">
      <c r="A1654" s="6" t="inlineStr">
        <is>
          <t>Ryan Wentling</t>
        </is>
      </c>
      <c r="B1654" s="7" t="n">
        <v>253</v>
      </c>
      <c r="C1654" s="7" t="n">
        <v>1</v>
      </c>
      <c r="D1654" s="7" t="n">
        <v>0.004</v>
      </c>
      <c r="E1654" s="7" t="n">
        <v>0.0007</v>
      </c>
      <c r="F1654" s="8" t="inlineStr">
        <is>
          <t>Low</t>
        </is>
      </c>
      <c r="G1654" s="8" t="inlineStr">
        <is>
          <t>Low</t>
        </is>
      </c>
      <c r="H1654">
        <f>IF(F1654=G1654,"YES","NO")</f>
        <v/>
      </c>
    </row>
    <row r="1655">
      <c r="A1655" s="6" t="inlineStr">
        <is>
          <t>Ryan Windham</t>
        </is>
      </c>
      <c r="B1655" s="7" t="n">
        <v>9</v>
      </c>
      <c r="C1655" s="7" t="n">
        <v>0</v>
      </c>
      <c r="D1655" s="7" t="n">
        <v>0</v>
      </c>
      <c r="E1655" s="7" t="n">
        <v>0</v>
      </c>
      <c r="F1655" s="8" t="inlineStr">
        <is>
          <t>Low</t>
        </is>
      </c>
      <c r="G1655" s="8" t="inlineStr">
        <is>
          <t>Low</t>
        </is>
      </c>
      <c r="H1655">
        <f>IF(F1655=G1655,"YES","NO")</f>
        <v/>
      </c>
    </row>
    <row r="1656">
      <c r="A1656" s="6" t="inlineStr">
        <is>
          <t>Ryan Wolfe</t>
        </is>
      </c>
      <c r="B1656" s="7" t="n">
        <v>1</v>
      </c>
      <c r="C1656" s="7" t="n">
        <v>0</v>
      </c>
      <c r="D1656" s="7" t="n">
        <v>0</v>
      </c>
      <c r="E1656" s="7" t="n">
        <v>0</v>
      </c>
      <c r="F1656" s="8" t="inlineStr">
        <is>
          <t>Low</t>
        </is>
      </c>
      <c r="G1656" s="8" t="inlineStr">
        <is>
          <t>Low</t>
        </is>
      </c>
      <c r="H1656">
        <f>IF(F1656=G1656,"YES","NO")</f>
        <v/>
      </c>
    </row>
    <row r="1657">
      <c r="A1657" s="6" t="inlineStr">
        <is>
          <t>Ryer Coffman</t>
        </is>
      </c>
      <c r="B1657" s="7" t="n">
        <v>31</v>
      </c>
      <c r="C1657" s="7" t="n">
        <v>2</v>
      </c>
      <c r="D1657" s="7" t="n">
        <v>0.0645</v>
      </c>
      <c r="E1657" s="7" t="n">
        <v>0.0179</v>
      </c>
      <c r="F1657" s="8" t="inlineStr">
        <is>
          <t>Low</t>
        </is>
      </c>
      <c r="G1657" s="8" t="inlineStr">
        <is>
          <t>Low</t>
        </is>
      </c>
      <c r="H1657">
        <f>IF(F1657=G1657,"YES","NO")</f>
        <v/>
      </c>
    </row>
    <row r="1658">
      <c r="A1658" s="6" t="inlineStr">
        <is>
          <t>Ryon Addison</t>
        </is>
      </c>
      <c r="B1658" s="7" t="n">
        <v>183</v>
      </c>
      <c r="C1658" s="7" t="n">
        <v>7</v>
      </c>
      <c r="D1658" s="7" t="n">
        <v>0.0383</v>
      </c>
      <c r="E1658" s="7" t="n">
        <v>0.0187</v>
      </c>
      <c r="F1658" s="8" t="inlineStr">
        <is>
          <t>Low</t>
        </is>
      </c>
      <c r="G1658" s="8" t="inlineStr">
        <is>
          <t>Low</t>
        </is>
      </c>
      <c r="H1658">
        <f>IF(F1658=G1658,"YES","NO")</f>
        <v/>
      </c>
    </row>
    <row r="1659">
      <c r="A1659" s="6" t="inlineStr">
        <is>
          <t>STEPHEN BALASKO</t>
        </is>
      </c>
      <c r="B1659" s="7" t="n">
        <v>9</v>
      </c>
      <c r="C1659" s="7" t="n">
        <v>0</v>
      </c>
      <c r="D1659" s="7" t="n">
        <v>0</v>
      </c>
      <c r="E1659" s="7" t="n">
        <v>0</v>
      </c>
      <c r="F1659" s="8" t="inlineStr">
        <is>
          <t>Low</t>
        </is>
      </c>
      <c r="G1659" s="8" t="inlineStr">
        <is>
          <t>Low</t>
        </is>
      </c>
      <c r="H1659">
        <f>IF(F1659=G1659,"YES","NO")</f>
        <v/>
      </c>
    </row>
    <row r="1660">
      <c r="A1660" s="6" t="inlineStr">
        <is>
          <t>Sal Dorak</t>
        </is>
      </c>
      <c r="B1660" s="7" t="n">
        <v>138</v>
      </c>
      <c r="C1660" s="7" t="n">
        <v>0</v>
      </c>
      <c r="D1660" s="7" t="n">
        <v>0</v>
      </c>
      <c r="E1660" s="7" t="n">
        <v>0</v>
      </c>
      <c r="F1660" s="8" t="inlineStr">
        <is>
          <t>Low</t>
        </is>
      </c>
      <c r="G1660" s="8" t="inlineStr">
        <is>
          <t>Low</t>
        </is>
      </c>
      <c r="H1660">
        <f>IF(F1660=G1660,"YES","NO")</f>
        <v/>
      </c>
    </row>
    <row r="1661">
      <c r="A1661" s="6" t="inlineStr">
        <is>
          <t>Salisa Bacon</t>
        </is>
      </c>
      <c r="B1661" s="7" t="n">
        <v>255</v>
      </c>
      <c r="C1661" s="7" t="n">
        <v>36</v>
      </c>
      <c r="D1661" s="7" t="n">
        <v>0.1412</v>
      </c>
      <c r="E1661" s="7" t="n">
        <v>0.1037</v>
      </c>
      <c r="F1661" s="8" t="inlineStr">
        <is>
          <t>Low</t>
        </is>
      </c>
      <c r="G1661" s="8" t="inlineStr">
        <is>
          <t>Low</t>
        </is>
      </c>
      <c r="H1661">
        <f>IF(F1661=G1661,"YES","NO")</f>
        <v/>
      </c>
    </row>
    <row r="1662">
      <c r="A1662" s="6" t="inlineStr">
        <is>
          <t>Sam Saufferer</t>
        </is>
      </c>
      <c r="B1662" s="7" t="n">
        <v>1</v>
      </c>
      <c r="C1662" s="7" t="n">
        <v>0</v>
      </c>
      <c r="D1662" s="7" t="n">
        <v>0</v>
      </c>
      <c r="E1662" s="7" t="n">
        <v>0</v>
      </c>
      <c r="F1662" s="8" t="inlineStr">
        <is>
          <t>Low</t>
        </is>
      </c>
      <c r="G1662" s="8" t="inlineStr">
        <is>
          <t>Low</t>
        </is>
      </c>
      <c r="H1662">
        <f>IF(F1662=G1662,"YES","NO")</f>
        <v/>
      </c>
    </row>
    <row r="1663">
      <c r="A1663" s="6" t="inlineStr">
        <is>
          <t>Samantha Williams</t>
        </is>
      </c>
      <c r="B1663" s="7" t="n">
        <v>1</v>
      </c>
      <c r="C1663" s="7" t="n">
        <v>0</v>
      </c>
      <c r="D1663" s="7" t="n">
        <v>0</v>
      </c>
      <c r="E1663" s="7" t="n">
        <v>0</v>
      </c>
      <c r="F1663" s="8" t="inlineStr">
        <is>
          <t>Low</t>
        </is>
      </c>
      <c r="G1663" s="8" t="inlineStr">
        <is>
          <t>Low</t>
        </is>
      </c>
      <c r="H1663">
        <f>IF(F1663=G1663,"YES","NO")</f>
        <v/>
      </c>
    </row>
    <row r="1664">
      <c r="A1664" s="6" t="inlineStr">
        <is>
          <t>Sandra Morgan</t>
        </is>
      </c>
      <c r="B1664" s="7" t="n">
        <v>48</v>
      </c>
      <c r="C1664" s="7" t="n">
        <v>1</v>
      </c>
      <c r="D1664" s="7" t="n">
        <v>0.0208</v>
      </c>
      <c r="E1664" s="7" t="n">
        <v>0.0037</v>
      </c>
      <c r="F1664" s="8" t="inlineStr">
        <is>
          <t>Low</t>
        </is>
      </c>
      <c r="G1664" s="8" t="inlineStr">
        <is>
          <t>Low</t>
        </is>
      </c>
      <c r="H1664">
        <f>IF(F1664=G1664,"YES","NO")</f>
        <v/>
      </c>
    </row>
    <row r="1665">
      <c r="A1665" s="6" t="inlineStr">
        <is>
          <t>Sara Scotton</t>
        </is>
      </c>
      <c r="B1665" s="7" t="n">
        <v>44</v>
      </c>
      <c r="C1665" s="7" t="n">
        <v>5</v>
      </c>
      <c r="D1665" s="7" t="n">
        <v>0.1136</v>
      </c>
      <c r="E1665" s="7" t="n">
        <v>0.0495</v>
      </c>
      <c r="F1665" s="8" t="inlineStr">
        <is>
          <t>Low</t>
        </is>
      </c>
      <c r="G1665" s="8" t="inlineStr">
        <is>
          <t>Low</t>
        </is>
      </c>
      <c r="H1665">
        <f>IF(F1665=G1665,"YES","NO")</f>
        <v/>
      </c>
    </row>
    <row r="1666">
      <c r="A1666" s="6" t="inlineStr">
        <is>
          <t>Sarah Lowe</t>
        </is>
      </c>
      <c r="B1666" s="7" t="n">
        <v>26</v>
      </c>
      <c r="C1666" s="7" t="n">
        <v>0</v>
      </c>
      <c r="D1666" s="7" t="n">
        <v>0</v>
      </c>
      <c r="E1666" s="7" t="n">
        <v>0</v>
      </c>
      <c r="F1666" s="8" t="inlineStr">
        <is>
          <t>Low</t>
        </is>
      </c>
      <c r="G1666" s="8" t="inlineStr">
        <is>
          <t>Low</t>
        </is>
      </c>
      <c r="H1666">
        <f>IF(F1666=G1666,"YES","NO")</f>
        <v/>
      </c>
    </row>
    <row r="1667">
      <c r="A1667" s="6" t="inlineStr">
        <is>
          <t>Sarah Stevens</t>
        </is>
      </c>
      <c r="B1667" s="7" t="n">
        <v>42</v>
      </c>
      <c r="C1667" s="7" t="n">
        <v>0</v>
      </c>
      <c r="D1667" s="7" t="n">
        <v>0</v>
      </c>
      <c r="E1667" s="7" t="n">
        <v>0</v>
      </c>
      <c r="F1667" s="8" t="inlineStr">
        <is>
          <t>Low</t>
        </is>
      </c>
      <c r="G1667" s="8" t="inlineStr">
        <is>
          <t>Low</t>
        </is>
      </c>
      <c r="H1667">
        <f>IF(F1667=G1667,"YES","NO")</f>
        <v/>
      </c>
    </row>
    <row r="1668">
      <c r="A1668" s="6" t="inlineStr">
        <is>
          <t>Satchel Heinen</t>
        </is>
      </c>
      <c r="B1668" s="7" t="n">
        <v>2</v>
      </c>
      <c r="C1668" s="7" t="n">
        <v>0</v>
      </c>
      <c r="D1668" s="7" t="n">
        <v>0</v>
      </c>
      <c r="E1668" s="7" t="n">
        <v>0</v>
      </c>
      <c r="F1668" s="8" t="inlineStr">
        <is>
          <t>Low</t>
        </is>
      </c>
      <c r="G1668" s="8" t="inlineStr">
        <is>
          <t>Low</t>
        </is>
      </c>
      <c r="H1668">
        <f>IF(F1668=G1668,"YES","NO")</f>
        <v/>
      </c>
    </row>
    <row r="1669">
      <c r="A1669" s="6" t="inlineStr">
        <is>
          <t>Sati Phenix</t>
        </is>
      </c>
      <c r="B1669" s="7" t="n">
        <v>2</v>
      </c>
      <c r="C1669" s="7" t="n">
        <v>0</v>
      </c>
      <c r="D1669" s="7" t="n">
        <v>0</v>
      </c>
      <c r="E1669" s="7" t="n">
        <v>0</v>
      </c>
      <c r="F1669" s="8" t="inlineStr">
        <is>
          <t>Low</t>
        </is>
      </c>
      <c r="G1669" s="8" t="inlineStr">
        <is>
          <t>High</t>
        </is>
      </c>
      <c r="H1669">
        <f>IF(F1669=G1669,"YES","NO")</f>
        <v/>
      </c>
    </row>
    <row r="1670">
      <c r="A1670" s="6" t="inlineStr">
        <is>
          <t>Savanna Salmons</t>
        </is>
      </c>
      <c r="B1670" s="7" t="n">
        <v>298</v>
      </c>
      <c r="C1670" s="7" t="n">
        <v>18</v>
      </c>
      <c r="D1670" s="7" t="n">
        <v>0.0604</v>
      </c>
      <c r="E1670" s="7" t="n">
        <v>0.0385</v>
      </c>
      <c r="F1670" s="8" t="inlineStr">
        <is>
          <t>Low</t>
        </is>
      </c>
      <c r="G1670" s="8" t="inlineStr">
        <is>
          <t>Low</t>
        </is>
      </c>
      <c r="H1670">
        <f>IF(F1670=G1670,"YES","NO")</f>
        <v/>
      </c>
    </row>
    <row r="1671">
      <c r="A1671" s="6" t="inlineStr">
        <is>
          <t>Schyler Koopmans</t>
        </is>
      </c>
      <c r="B1671" s="7" t="n">
        <v>2</v>
      </c>
      <c r="C1671" s="7" t="n">
        <v>0</v>
      </c>
      <c r="D1671" s="7" t="n">
        <v>0</v>
      </c>
      <c r="E1671" s="7" t="n">
        <v>0</v>
      </c>
      <c r="F1671" s="8" t="inlineStr">
        <is>
          <t>Low</t>
        </is>
      </c>
      <c r="G1671" s="8" t="inlineStr">
        <is>
          <t>Low</t>
        </is>
      </c>
      <c r="H1671">
        <f>IF(F1671=G1671,"YES","NO")</f>
        <v/>
      </c>
    </row>
    <row r="1672">
      <c r="A1672" s="6" t="inlineStr">
        <is>
          <t>Scott  Clements</t>
        </is>
      </c>
      <c r="B1672" s="7" t="n">
        <v>4</v>
      </c>
      <c r="C1672" s="7" t="n">
        <v>0</v>
      </c>
      <c r="D1672" s="7" t="n">
        <v>0</v>
      </c>
      <c r="E1672" s="7" t="n">
        <v>0</v>
      </c>
      <c r="F1672" s="8" t="inlineStr">
        <is>
          <t>Low</t>
        </is>
      </c>
      <c r="G1672" s="8" t="inlineStr">
        <is>
          <t>High</t>
        </is>
      </c>
      <c r="H1672">
        <f>IF(F1672=G1672,"YES","NO")</f>
        <v/>
      </c>
    </row>
    <row r="1673">
      <c r="A1673" s="6" t="inlineStr">
        <is>
          <t>Scott  Hittepole</t>
        </is>
      </c>
      <c r="B1673" s="7" t="n">
        <v>655</v>
      </c>
      <c r="C1673" s="7" t="n">
        <v>22</v>
      </c>
      <c r="D1673" s="7" t="n">
        <v>0.0336</v>
      </c>
      <c r="E1673" s="7" t="n">
        <v>0.0223</v>
      </c>
      <c r="F1673" s="8" t="inlineStr">
        <is>
          <t>Low</t>
        </is>
      </c>
      <c r="G1673" s="8" t="inlineStr">
        <is>
          <t>Low</t>
        </is>
      </c>
      <c r="H1673">
        <f>IF(F1673=G1673,"YES","NO")</f>
        <v/>
      </c>
    </row>
    <row r="1674">
      <c r="A1674" s="6" t="inlineStr">
        <is>
          <t>Scott Backstrom</t>
        </is>
      </c>
      <c r="B1674" s="7" t="n">
        <v>4</v>
      </c>
      <c r="C1674" s="7" t="n">
        <v>0</v>
      </c>
      <c r="D1674" s="7" t="n">
        <v>0</v>
      </c>
      <c r="E1674" s="7" t="n">
        <v>0</v>
      </c>
      <c r="F1674" s="8" t="inlineStr">
        <is>
          <t>Low</t>
        </is>
      </c>
      <c r="G1674" s="8" t="inlineStr">
        <is>
          <t>Medium</t>
        </is>
      </c>
      <c r="H1674">
        <f>IF(F1674=G1674,"YES","NO")</f>
        <v/>
      </c>
    </row>
    <row r="1675">
      <c r="A1675" s="6" t="inlineStr">
        <is>
          <t>Scott Brom</t>
        </is>
      </c>
      <c r="B1675" s="7" t="n">
        <v>35</v>
      </c>
      <c r="C1675" s="7" t="n">
        <v>0</v>
      </c>
      <c r="D1675" s="7" t="n">
        <v>0</v>
      </c>
      <c r="E1675" s="7" t="n">
        <v>0</v>
      </c>
      <c r="F1675" s="8" t="inlineStr">
        <is>
          <t>Low</t>
        </is>
      </c>
      <c r="G1675" s="8" t="inlineStr">
        <is>
          <t>Low</t>
        </is>
      </c>
      <c r="H1675">
        <f>IF(F1675=G1675,"YES","NO")</f>
        <v/>
      </c>
    </row>
    <row r="1676">
      <c r="A1676" s="6" t="inlineStr">
        <is>
          <t>Scott Coble</t>
        </is>
      </c>
      <c r="B1676" s="7" t="n">
        <v>4</v>
      </c>
      <c r="C1676" s="7" t="n">
        <v>0</v>
      </c>
      <c r="D1676" s="7" t="n">
        <v>0</v>
      </c>
      <c r="E1676" s="7" t="n">
        <v>0</v>
      </c>
      <c r="F1676" s="8" t="inlineStr">
        <is>
          <t>Low</t>
        </is>
      </c>
      <c r="G1676" s="8" t="inlineStr">
        <is>
          <t>Low</t>
        </is>
      </c>
      <c r="H1676">
        <f>IF(F1676=G1676,"YES","NO")</f>
        <v/>
      </c>
    </row>
    <row r="1677">
      <c r="A1677" s="6" t="inlineStr">
        <is>
          <t>Scott Gibson</t>
        </is>
      </c>
      <c r="B1677" s="7" t="n">
        <v>7</v>
      </c>
      <c r="C1677" s="7" t="n">
        <v>0</v>
      </c>
      <c r="D1677" s="7" t="n">
        <v>0</v>
      </c>
      <c r="E1677" s="7" t="n">
        <v>0</v>
      </c>
      <c r="F1677" s="8" t="inlineStr">
        <is>
          <t>Low</t>
        </is>
      </c>
      <c r="G1677" s="8" t="inlineStr">
        <is>
          <t>Low</t>
        </is>
      </c>
      <c r="H1677">
        <f>IF(F1677=G1677,"YES","NO")</f>
        <v/>
      </c>
    </row>
    <row r="1678">
      <c r="A1678" s="6" t="inlineStr">
        <is>
          <t>Scott Hahn</t>
        </is>
      </c>
      <c r="B1678" s="7" t="n">
        <v>45</v>
      </c>
      <c r="C1678" s="7" t="n">
        <v>0</v>
      </c>
      <c r="D1678" s="7" t="n">
        <v>0</v>
      </c>
      <c r="E1678" s="7" t="n">
        <v>0</v>
      </c>
      <c r="F1678" s="8" t="inlineStr">
        <is>
          <t>Low</t>
        </is>
      </c>
      <c r="G1678" s="8" t="inlineStr">
        <is>
          <t>Low</t>
        </is>
      </c>
      <c r="H1678">
        <f>IF(F1678=G1678,"YES","NO")</f>
        <v/>
      </c>
    </row>
    <row r="1679">
      <c r="A1679" s="6" t="inlineStr">
        <is>
          <t>Scott McConnell</t>
        </is>
      </c>
      <c r="B1679" s="7" t="n">
        <v>6</v>
      </c>
      <c r="C1679" s="7" t="n">
        <v>0</v>
      </c>
      <c r="D1679" s="7" t="n">
        <v>0</v>
      </c>
      <c r="E1679" s="7" t="n">
        <v>0</v>
      </c>
      <c r="F1679" s="8" t="inlineStr">
        <is>
          <t>Low</t>
        </is>
      </c>
      <c r="G1679" s="8" t="inlineStr">
        <is>
          <t>Low</t>
        </is>
      </c>
      <c r="H1679">
        <f>IF(F1679=G1679,"YES","NO")</f>
        <v/>
      </c>
    </row>
    <row r="1680">
      <c r="A1680" s="6" t="inlineStr">
        <is>
          <t>Scott Nicholls</t>
        </is>
      </c>
      <c r="B1680" s="7" t="n">
        <v>16</v>
      </c>
      <c r="C1680" s="7" t="n">
        <v>0</v>
      </c>
      <c r="D1680" s="7" t="n">
        <v>0</v>
      </c>
      <c r="E1680" s="7" t="n">
        <v>0</v>
      </c>
      <c r="F1680" s="8" t="inlineStr">
        <is>
          <t>Low</t>
        </is>
      </c>
      <c r="G1680" s="8" t="inlineStr">
        <is>
          <t>Low</t>
        </is>
      </c>
      <c r="H1680">
        <f>IF(F1680=G1680,"YES","NO")</f>
        <v/>
      </c>
    </row>
    <row r="1681">
      <c r="A1681" s="6" t="inlineStr">
        <is>
          <t>Scott Nielsen</t>
        </is>
      </c>
      <c r="B1681" s="7" t="n">
        <v>15</v>
      </c>
      <c r="C1681" s="7" t="n">
        <v>0</v>
      </c>
      <c r="D1681" s="7" t="n">
        <v>0</v>
      </c>
      <c r="E1681" s="7" t="n">
        <v>0</v>
      </c>
      <c r="F1681" s="8" t="inlineStr">
        <is>
          <t>Low</t>
        </is>
      </c>
      <c r="G1681" s="8" t="inlineStr">
        <is>
          <t>Low</t>
        </is>
      </c>
      <c r="H1681">
        <f>IF(F1681=G1681,"YES","NO")</f>
        <v/>
      </c>
    </row>
    <row r="1682">
      <c r="A1682" s="6" t="inlineStr">
        <is>
          <t>Scott Norman</t>
        </is>
      </c>
      <c r="B1682" s="7" t="n">
        <v>58</v>
      </c>
      <c r="C1682" s="7" t="n">
        <v>0</v>
      </c>
      <c r="D1682" s="7" t="n">
        <v>0</v>
      </c>
      <c r="E1682" s="7" t="n">
        <v>0</v>
      </c>
      <c r="F1682" s="8" t="inlineStr">
        <is>
          <t>Low</t>
        </is>
      </c>
      <c r="G1682" s="8" t="inlineStr">
        <is>
          <t>Low</t>
        </is>
      </c>
      <c r="H1682">
        <f>IF(F1682=G1682,"YES","NO")</f>
        <v/>
      </c>
    </row>
    <row r="1683">
      <c r="A1683" s="6" t="inlineStr">
        <is>
          <t>Scott Ramsey</t>
        </is>
      </c>
      <c r="B1683" s="7" t="n">
        <v>12</v>
      </c>
      <c r="C1683" s="7" t="n">
        <v>0</v>
      </c>
      <c r="D1683" s="7" t="n">
        <v>0</v>
      </c>
      <c r="E1683" s="7" t="n">
        <v>0</v>
      </c>
      <c r="F1683" s="8" t="inlineStr">
        <is>
          <t>Low</t>
        </is>
      </c>
      <c r="G1683" s="8" t="inlineStr">
        <is>
          <t>Low</t>
        </is>
      </c>
      <c r="H1683">
        <f>IF(F1683=G1683,"YES","NO")</f>
        <v/>
      </c>
    </row>
    <row r="1684">
      <c r="A1684" s="6" t="inlineStr">
        <is>
          <t>Scott Rentz</t>
        </is>
      </c>
      <c r="B1684" s="7" t="n">
        <v>4</v>
      </c>
      <c r="C1684" s="7" t="n">
        <v>0</v>
      </c>
      <c r="D1684" s="7" t="n">
        <v>0</v>
      </c>
      <c r="E1684" s="7" t="n">
        <v>0</v>
      </c>
      <c r="F1684" s="8" t="inlineStr">
        <is>
          <t>Low</t>
        </is>
      </c>
      <c r="G1684" s="8" t="inlineStr">
        <is>
          <t>Low</t>
        </is>
      </c>
      <c r="H1684">
        <f>IF(F1684=G1684,"YES","NO")</f>
        <v/>
      </c>
    </row>
    <row r="1685">
      <c r="A1685" s="6" t="inlineStr">
        <is>
          <t>Scott Shiner</t>
        </is>
      </c>
      <c r="B1685" s="7" t="n">
        <v>2</v>
      </c>
      <c r="C1685" s="7" t="n">
        <v>0</v>
      </c>
      <c r="D1685" s="7" t="n">
        <v>0</v>
      </c>
      <c r="E1685" s="7" t="n">
        <v>0</v>
      </c>
      <c r="F1685" s="8" t="inlineStr">
        <is>
          <t>Low</t>
        </is>
      </c>
      <c r="G1685" s="8" t="inlineStr">
        <is>
          <t>Low</t>
        </is>
      </c>
      <c r="H1685">
        <f>IF(F1685=G1685,"YES","NO")</f>
        <v/>
      </c>
    </row>
    <row r="1686">
      <c r="A1686" s="6" t="inlineStr">
        <is>
          <t>Scott Thompson</t>
        </is>
      </c>
      <c r="B1686" s="7" t="n">
        <v>1</v>
      </c>
      <c r="C1686" s="7" t="n">
        <v>0</v>
      </c>
      <c r="D1686" s="7" t="n">
        <v>0</v>
      </c>
      <c r="E1686" s="7" t="n">
        <v>0</v>
      </c>
      <c r="F1686" s="8" t="inlineStr">
        <is>
          <t>Low</t>
        </is>
      </c>
      <c r="G1686" s="8" t="inlineStr">
        <is>
          <t>Low</t>
        </is>
      </c>
      <c r="H1686">
        <f>IF(F1686=G1686,"YES","NO")</f>
        <v/>
      </c>
    </row>
    <row r="1687">
      <c r="A1687" s="6" t="inlineStr">
        <is>
          <t>Scott Wamsher</t>
        </is>
      </c>
      <c r="B1687" s="7" t="n">
        <v>4</v>
      </c>
      <c r="C1687" s="7" t="n">
        <v>0</v>
      </c>
      <c r="D1687" s="7" t="n">
        <v>0</v>
      </c>
      <c r="E1687" s="7" t="n">
        <v>0</v>
      </c>
      <c r="F1687" s="8" t="inlineStr">
        <is>
          <t>Low</t>
        </is>
      </c>
      <c r="G1687" s="8" t="inlineStr">
        <is>
          <t>Low</t>
        </is>
      </c>
      <c r="H1687">
        <f>IF(F1687=G1687,"YES","NO")</f>
        <v/>
      </c>
    </row>
    <row r="1688">
      <c r="A1688" s="6" t="inlineStr">
        <is>
          <t>Scott Weiland</t>
        </is>
      </c>
      <c r="B1688" s="7" t="n">
        <v>194</v>
      </c>
      <c r="C1688" s="7" t="n">
        <v>17</v>
      </c>
      <c r="D1688" s="7" t="n">
        <v>0.0876</v>
      </c>
      <c r="E1688" s="7" t="n">
        <v>0.0554</v>
      </c>
      <c r="F1688" s="8" t="inlineStr">
        <is>
          <t>Low</t>
        </is>
      </c>
      <c r="G1688" s="8" t="inlineStr">
        <is>
          <t>Low</t>
        </is>
      </c>
      <c r="H1688">
        <f>IF(F1688=G1688,"YES","NO")</f>
        <v/>
      </c>
    </row>
    <row r="1689">
      <c r="A1689" s="6" t="inlineStr">
        <is>
          <t>Scott Wiggins</t>
        </is>
      </c>
      <c r="B1689" s="7" t="n">
        <v>1</v>
      </c>
      <c r="C1689" s="7" t="n">
        <v>0</v>
      </c>
      <c r="D1689" s="7" t="n">
        <v>0</v>
      </c>
      <c r="E1689" s="7" t="n">
        <v>0</v>
      </c>
      <c r="F1689" s="8" t="inlineStr">
        <is>
          <t>Low</t>
        </is>
      </c>
      <c r="G1689" s="8" t="inlineStr">
        <is>
          <t>Low</t>
        </is>
      </c>
      <c r="H1689">
        <f>IF(F1689=G1689,"YES","NO")</f>
        <v/>
      </c>
    </row>
    <row r="1690">
      <c r="A1690" s="6" t="inlineStr">
        <is>
          <t>Scott Zehner</t>
        </is>
      </c>
      <c r="B1690" s="7" t="n">
        <v>18</v>
      </c>
      <c r="C1690" s="7" t="n">
        <v>0</v>
      </c>
      <c r="D1690" s="7" t="n">
        <v>0</v>
      </c>
      <c r="E1690" s="7" t="n">
        <v>0</v>
      </c>
      <c r="F1690" s="8" t="inlineStr">
        <is>
          <t>Low</t>
        </is>
      </c>
      <c r="G1690" s="8" t="inlineStr">
        <is>
          <t>Low</t>
        </is>
      </c>
      <c r="H1690">
        <f>IF(F1690=G1690,"YES","NO")</f>
        <v/>
      </c>
    </row>
    <row r="1691">
      <c r="A1691" s="6" t="inlineStr">
        <is>
          <t>Sean  Lang</t>
        </is>
      </c>
      <c r="B1691" s="7" t="n">
        <v>10</v>
      </c>
      <c r="C1691" s="7" t="n">
        <v>0</v>
      </c>
      <c r="D1691" s="7" t="n">
        <v>0</v>
      </c>
      <c r="E1691" s="7" t="n">
        <v>0</v>
      </c>
      <c r="F1691" s="8" t="inlineStr">
        <is>
          <t>Low</t>
        </is>
      </c>
      <c r="G1691" s="8" t="inlineStr">
        <is>
          <t>Low</t>
        </is>
      </c>
      <c r="H1691">
        <f>IF(F1691=G1691,"YES","NO")</f>
        <v/>
      </c>
    </row>
    <row r="1692">
      <c r="A1692" s="6" t="inlineStr">
        <is>
          <t>Sean Freaney</t>
        </is>
      </c>
      <c r="B1692" s="7" t="n">
        <v>7</v>
      </c>
      <c r="C1692" s="7" t="n">
        <v>0</v>
      </c>
      <c r="D1692" s="7" t="n">
        <v>0</v>
      </c>
      <c r="E1692" s="7" t="n">
        <v>0</v>
      </c>
      <c r="F1692" s="8" t="inlineStr">
        <is>
          <t>Low</t>
        </is>
      </c>
      <c r="G1692" s="8" t="inlineStr">
        <is>
          <t>Low</t>
        </is>
      </c>
      <c r="H1692">
        <f>IF(F1692=G1692,"YES","NO")</f>
        <v/>
      </c>
    </row>
    <row r="1693">
      <c r="A1693" s="6" t="inlineStr">
        <is>
          <t>Sean Luhmann</t>
        </is>
      </c>
      <c r="B1693" s="7" t="n">
        <v>21</v>
      </c>
      <c r="C1693" s="7" t="n">
        <v>0</v>
      </c>
      <c r="D1693" s="7" t="n">
        <v>0</v>
      </c>
      <c r="E1693" s="7" t="n">
        <v>0</v>
      </c>
      <c r="F1693" s="8" t="inlineStr">
        <is>
          <t>Low</t>
        </is>
      </c>
      <c r="G1693" s="8" t="inlineStr">
        <is>
          <t>Low</t>
        </is>
      </c>
      <c r="H1693">
        <f>IF(F1693=G1693,"YES","NO")</f>
        <v/>
      </c>
    </row>
    <row r="1694">
      <c r="A1694" s="6" t="inlineStr">
        <is>
          <t>Sean Walsh</t>
        </is>
      </c>
      <c r="B1694" s="7" t="n">
        <v>217</v>
      </c>
      <c r="C1694" s="7" t="n">
        <v>17</v>
      </c>
      <c r="D1694" s="7" t="n">
        <v>0.07829999999999999</v>
      </c>
      <c r="E1694" s="7" t="n">
        <v>0.0495</v>
      </c>
      <c r="F1694" s="8" t="inlineStr">
        <is>
          <t>Low</t>
        </is>
      </c>
      <c r="G1694" s="8" t="inlineStr">
        <is>
          <t>Low</t>
        </is>
      </c>
      <c r="H1694">
        <f>IF(F1694=G1694,"YES","NO")</f>
        <v/>
      </c>
    </row>
    <row r="1695">
      <c r="A1695" s="6" t="inlineStr">
        <is>
          <t>Sebastian Healey</t>
        </is>
      </c>
      <c r="B1695" s="7" t="n">
        <v>16</v>
      </c>
      <c r="C1695" s="7" t="n">
        <v>0</v>
      </c>
      <c r="D1695" s="7" t="n">
        <v>0</v>
      </c>
      <c r="E1695" s="7" t="n">
        <v>0</v>
      </c>
      <c r="F1695" s="8" t="inlineStr">
        <is>
          <t>Low</t>
        </is>
      </c>
      <c r="G1695" s="8" t="inlineStr">
        <is>
          <t>Low</t>
        </is>
      </c>
      <c r="H1695">
        <f>IF(F1695=G1695,"YES","NO")</f>
        <v/>
      </c>
    </row>
    <row r="1696">
      <c r="A1696" s="6" t="inlineStr">
        <is>
          <t>Seth Miller</t>
        </is>
      </c>
      <c r="B1696" s="7" t="n">
        <v>25</v>
      </c>
      <c r="C1696" s="7" t="n">
        <v>1</v>
      </c>
      <c r="D1696" s="7" t="n">
        <v>0.04</v>
      </c>
      <c r="E1696" s="7" t="n">
        <v>0.0071</v>
      </c>
      <c r="F1696" s="8" t="inlineStr">
        <is>
          <t>Low</t>
        </is>
      </c>
      <c r="G1696" s="8" t="inlineStr">
        <is>
          <t>Low</t>
        </is>
      </c>
      <c r="H1696">
        <f>IF(F1696=G1696,"YES","NO")</f>
        <v/>
      </c>
    </row>
    <row r="1697">
      <c r="A1697" s="6" t="inlineStr">
        <is>
          <t>Shane Flanagan</t>
        </is>
      </c>
      <c r="B1697" s="7" t="n">
        <v>1</v>
      </c>
      <c r="C1697" s="7" t="n">
        <v>0</v>
      </c>
      <c r="D1697" s="7" t="n">
        <v>0</v>
      </c>
      <c r="E1697" s="7" t="n">
        <v>0</v>
      </c>
      <c r="F1697" s="8" t="inlineStr">
        <is>
          <t>Low</t>
        </is>
      </c>
      <c r="G1697" s="8" t="inlineStr">
        <is>
          <t>High</t>
        </is>
      </c>
      <c r="H1697">
        <f>IF(F1697=G1697,"YES","NO")</f>
        <v/>
      </c>
    </row>
    <row r="1698">
      <c r="A1698" s="6" t="inlineStr">
        <is>
          <t>Shanna Rondou</t>
        </is>
      </c>
      <c r="B1698" s="7" t="n">
        <v>7</v>
      </c>
      <c r="C1698" s="7" t="n">
        <v>0</v>
      </c>
      <c r="D1698" s="7" t="n">
        <v>0</v>
      </c>
      <c r="E1698" s="7" t="n">
        <v>0</v>
      </c>
      <c r="F1698" s="8" t="inlineStr">
        <is>
          <t>Low</t>
        </is>
      </c>
      <c r="G1698" s="8" t="inlineStr">
        <is>
          <t>Low</t>
        </is>
      </c>
      <c r="H1698">
        <f>IF(F1698=G1698,"YES","NO")</f>
        <v/>
      </c>
    </row>
    <row r="1699">
      <c r="A1699" s="6" t="inlineStr">
        <is>
          <t>Shannie Wolcott</t>
        </is>
      </c>
      <c r="B1699" s="7" t="n">
        <v>10</v>
      </c>
      <c r="C1699" s="7" t="n">
        <v>0</v>
      </c>
      <c r="D1699" s="7" t="n">
        <v>0</v>
      </c>
      <c r="E1699" s="7" t="n">
        <v>0</v>
      </c>
      <c r="F1699" s="8" t="inlineStr">
        <is>
          <t>Low</t>
        </is>
      </c>
      <c r="G1699" s="8" t="inlineStr">
        <is>
          <t>Low</t>
        </is>
      </c>
      <c r="H1699">
        <f>IF(F1699=G1699,"YES","NO")</f>
        <v/>
      </c>
    </row>
    <row r="1700">
      <c r="A1700" s="6" t="inlineStr">
        <is>
          <t>Shannon Kent</t>
        </is>
      </c>
      <c r="B1700" s="7" t="n">
        <v>177</v>
      </c>
      <c r="C1700" s="7" t="n">
        <v>3</v>
      </c>
      <c r="D1700" s="7" t="n">
        <v>0.0169</v>
      </c>
      <c r="E1700" s="7" t="n">
        <v>0.0058</v>
      </c>
      <c r="F1700" s="8" t="inlineStr">
        <is>
          <t>Low</t>
        </is>
      </c>
      <c r="G1700" s="8" t="inlineStr">
        <is>
          <t>Low</t>
        </is>
      </c>
      <c r="H1700">
        <f>IF(F1700=G1700,"YES","NO")</f>
        <v/>
      </c>
    </row>
    <row r="1701">
      <c r="A1701" s="6" t="inlineStr">
        <is>
          <t>Shannon Ryan</t>
        </is>
      </c>
      <c r="B1701" s="7" t="n">
        <v>1</v>
      </c>
      <c r="C1701" s="7" t="n">
        <v>0</v>
      </c>
      <c r="D1701" s="7" t="n">
        <v>0</v>
      </c>
      <c r="E1701" s="7" t="n">
        <v>0</v>
      </c>
      <c r="F1701" s="8" t="inlineStr">
        <is>
          <t>Low</t>
        </is>
      </c>
      <c r="G1701" s="8" t="inlineStr">
        <is>
          <t>Low</t>
        </is>
      </c>
      <c r="H1701">
        <f>IF(F1701=G1701,"YES","NO")</f>
        <v/>
      </c>
    </row>
    <row r="1702">
      <c r="A1702" s="6" t="inlineStr">
        <is>
          <t>Shannon Sanden</t>
        </is>
      </c>
      <c r="B1702" s="7" t="n">
        <v>14</v>
      </c>
      <c r="C1702" s="7" t="n">
        <v>0</v>
      </c>
      <c r="D1702" s="7" t="n">
        <v>0</v>
      </c>
      <c r="E1702" s="7" t="n">
        <v>0</v>
      </c>
      <c r="F1702" s="8" t="inlineStr">
        <is>
          <t>Low</t>
        </is>
      </c>
      <c r="G1702" s="8" t="inlineStr">
        <is>
          <t>Low</t>
        </is>
      </c>
      <c r="H1702">
        <f>IF(F1702=G1702,"YES","NO")</f>
        <v/>
      </c>
    </row>
    <row r="1703">
      <c r="A1703" s="6" t="inlineStr">
        <is>
          <t>Sharon Huynh</t>
        </is>
      </c>
      <c r="B1703" s="7" t="n">
        <v>1</v>
      </c>
      <c r="C1703" s="7" t="n">
        <v>0</v>
      </c>
      <c r="D1703" s="7" t="n">
        <v>0</v>
      </c>
      <c r="E1703" s="7" t="n">
        <v>0</v>
      </c>
      <c r="F1703" s="8" t="inlineStr">
        <is>
          <t>Low</t>
        </is>
      </c>
      <c r="G1703" s="8" t="inlineStr">
        <is>
          <t>Low</t>
        </is>
      </c>
      <c r="H1703">
        <f>IF(F1703=G1703,"YES","NO")</f>
        <v/>
      </c>
    </row>
    <row r="1704">
      <c r="A1704" s="6" t="inlineStr">
        <is>
          <t>Sharon Marquez</t>
        </is>
      </c>
      <c r="B1704" s="7" t="n">
        <v>59</v>
      </c>
      <c r="C1704" s="7" t="n">
        <v>1</v>
      </c>
      <c r="D1704" s="7" t="n">
        <v>0.0169</v>
      </c>
      <c r="E1704" s="7" t="n">
        <v>0.003</v>
      </c>
      <c r="F1704" s="8" t="inlineStr">
        <is>
          <t>Low</t>
        </is>
      </c>
      <c r="G1704" s="8" t="inlineStr">
        <is>
          <t>Low</t>
        </is>
      </c>
      <c r="H1704">
        <f>IF(F1704=G1704,"YES","NO")</f>
        <v/>
      </c>
    </row>
    <row r="1705">
      <c r="A1705" s="6" t="inlineStr">
        <is>
          <t>Shaun Shamblin</t>
        </is>
      </c>
      <c r="B1705" s="7" t="n">
        <v>38</v>
      </c>
      <c r="C1705" s="7" t="n">
        <v>2</v>
      </c>
      <c r="D1705" s="7" t="n">
        <v>0.0526</v>
      </c>
      <c r="E1705" s="7" t="n">
        <v>0.0146</v>
      </c>
      <c r="F1705" s="8" t="inlineStr">
        <is>
          <t>Low</t>
        </is>
      </c>
      <c r="G1705" s="8" t="inlineStr">
        <is>
          <t>Low</t>
        </is>
      </c>
      <c r="H1705">
        <f>IF(F1705=G1705,"YES","NO")</f>
        <v/>
      </c>
    </row>
    <row r="1706">
      <c r="A1706" s="6" t="inlineStr">
        <is>
          <t>Shawn  Freeman</t>
        </is>
      </c>
      <c r="B1706" s="7" t="n">
        <v>73</v>
      </c>
      <c r="C1706" s="7" t="n">
        <v>1</v>
      </c>
      <c r="D1706" s="7" t="n">
        <v>0.0137</v>
      </c>
      <c r="E1706" s="7" t="n">
        <v>0.0024</v>
      </c>
      <c r="F1706" s="8" t="inlineStr">
        <is>
          <t>Low</t>
        </is>
      </c>
      <c r="G1706" s="8" t="inlineStr">
        <is>
          <t>Low</t>
        </is>
      </c>
      <c r="H1706">
        <f>IF(F1706=G1706,"YES","NO")</f>
        <v/>
      </c>
    </row>
    <row r="1707">
      <c r="A1707" s="6" t="inlineStr">
        <is>
          <t>Shawn Cottrell</t>
        </is>
      </c>
      <c r="B1707" s="7" t="n">
        <v>35</v>
      </c>
      <c r="C1707" s="7" t="n">
        <v>1</v>
      </c>
      <c r="D1707" s="7" t="n">
        <v>0.0286</v>
      </c>
      <c r="E1707" s="7" t="n">
        <v>0.0051</v>
      </c>
      <c r="F1707" s="8" t="inlineStr">
        <is>
          <t>Low</t>
        </is>
      </c>
      <c r="G1707" s="8" t="inlineStr">
        <is>
          <t>Low</t>
        </is>
      </c>
      <c r="H1707">
        <f>IF(F1707=G1707,"YES","NO")</f>
        <v/>
      </c>
    </row>
    <row r="1708">
      <c r="A1708" s="6" t="inlineStr">
        <is>
          <t>Shawn Faulk</t>
        </is>
      </c>
      <c r="B1708" s="7" t="n">
        <v>20</v>
      </c>
      <c r="C1708" s="7" t="n">
        <v>0</v>
      </c>
      <c r="D1708" s="7" t="n">
        <v>0</v>
      </c>
      <c r="E1708" s="7" t="n">
        <v>0</v>
      </c>
      <c r="F1708" s="8" t="inlineStr">
        <is>
          <t>Low</t>
        </is>
      </c>
      <c r="G1708" s="8" t="inlineStr">
        <is>
          <t>Low</t>
        </is>
      </c>
      <c r="H1708">
        <f>IF(F1708=G1708,"YES","NO")</f>
        <v/>
      </c>
    </row>
    <row r="1709">
      <c r="A1709" s="6" t="inlineStr">
        <is>
          <t>Shawn Glass</t>
        </is>
      </c>
      <c r="B1709" s="7" t="n">
        <v>123</v>
      </c>
      <c r="C1709" s="7" t="n">
        <v>1</v>
      </c>
      <c r="D1709" s="7" t="n">
        <v>0.0081</v>
      </c>
      <c r="E1709" s="7" t="n">
        <v>0.0014</v>
      </c>
      <c r="F1709" s="8" t="inlineStr">
        <is>
          <t>Low</t>
        </is>
      </c>
      <c r="G1709" s="8" t="inlineStr">
        <is>
          <t>Low</t>
        </is>
      </c>
      <c r="H1709">
        <f>IF(F1709=G1709,"YES","NO")</f>
        <v/>
      </c>
    </row>
    <row r="1710">
      <c r="A1710" s="6" t="inlineStr">
        <is>
          <t>Shawn Hunt</t>
        </is>
      </c>
      <c r="B1710" s="7" t="n">
        <v>14</v>
      </c>
      <c r="C1710" s="7" t="n">
        <v>0</v>
      </c>
      <c r="D1710" s="7" t="n">
        <v>0</v>
      </c>
      <c r="E1710" s="7" t="n">
        <v>0</v>
      </c>
      <c r="F1710" s="8" t="inlineStr">
        <is>
          <t>Low</t>
        </is>
      </c>
      <c r="G1710" s="8" t="inlineStr">
        <is>
          <t>Low</t>
        </is>
      </c>
      <c r="H1710">
        <f>IF(F1710=G1710,"YES","NO")</f>
        <v/>
      </c>
    </row>
    <row r="1711">
      <c r="A1711" s="6" t="inlineStr">
        <is>
          <t>Sheila Monk</t>
        </is>
      </c>
      <c r="B1711" s="7" t="n">
        <v>13</v>
      </c>
      <c r="C1711" s="7" t="n">
        <v>0</v>
      </c>
      <c r="D1711" s="7" t="n">
        <v>0</v>
      </c>
      <c r="E1711" s="7" t="n">
        <v>0</v>
      </c>
      <c r="F1711" s="8" t="inlineStr">
        <is>
          <t>Low</t>
        </is>
      </c>
      <c r="G1711" s="8" t="inlineStr">
        <is>
          <t>Low</t>
        </is>
      </c>
      <c r="H1711">
        <f>IF(F1711=G1711,"YES","NO")</f>
        <v/>
      </c>
    </row>
    <row r="1712">
      <c r="A1712" s="6" t="inlineStr">
        <is>
          <t>Shelby Washington</t>
        </is>
      </c>
      <c r="B1712" s="7" t="n">
        <v>157</v>
      </c>
      <c r="C1712" s="7" t="n">
        <v>0</v>
      </c>
      <c r="D1712" s="7" t="n">
        <v>0</v>
      </c>
      <c r="E1712" s="7" t="n">
        <v>0</v>
      </c>
      <c r="F1712" s="8" t="inlineStr">
        <is>
          <t>Low</t>
        </is>
      </c>
      <c r="G1712" s="8" t="inlineStr">
        <is>
          <t>Low</t>
        </is>
      </c>
      <c r="H1712">
        <f>IF(F1712=G1712,"YES","NO")</f>
        <v/>
      </c>
    </row>
    <row r="1713">
      <c r="A1713" s="6" t="inlineStr">
        <is>
          <t>Sherif Helmy</t>
        </is>
      </c>
      <c r="B1713" s="7" t="n">
        <v>536</v>
      </c>
      <c r="C1713" s="7" t="n">
        <v>29</v>
      </c>
      <c r="D1713" s="7" t="n">
        <v>0.0541</v>
      </c>
      <c r="E1713" s="7" t="n">
        <v>0.0379</v>
      </c>
      <c r="F1713" s="8" t="inlineStr">
        <is>
          <t>Low</t>
        </is>
      </c>
      <c r="G1713" s="8" t="inlineStr">
        <is>
          <t>Low</t>
        </is>
      </c>
      <c r="H1713">
        <f>IF(F1713=G1713,"YES","NO")</f>
        <v/>
      </c>
    </row>
    <row r="1714">
      <c r="A1714" s="6" t="inlineStr">
        <is>
          <t>Sherry Armijo</t>
        </is>
      </c>
      <c r="B1714" s="7" t="n">
        <v>376</v>
      </c>
      <c r="C1714" s="7" t="n">
        <v>8</v>
      </c>
      <c r="D1714" s="7" t="n">
        <v>0.0213</v>
      </c>
      <c r="E1714" s="7" t="n">
        <v>0.0108</v>
      </c>
      <c r="F1714" s="8" t="inlineStr">
        <is>
          <t>Low</t>
        </is>
      </c>
      <c r="G1714" s="8" t="inlineStr">
        <is>
          <t>Low</t>
        </is>
      </c>
      <c r="H1714">
        <f>IF(F1714=G1714,"YES","NO")</f>
        <v/>
      </c>
    </row>
    <row r="1715">
      <c r="A1715" s="6" t="inlineStr">
        <is>
          <t>Shirley Rouen</t>
        </is>
      </c>
      <c r="B1715" s="7" t="n">
        <v>18</v>
      </c>
      <c r="C1715" s="7" t="n">
        <v>0</v>
      </c>
      <c r="D1715" s="7" t="n">
        <v>0</v>
      </c>
      <c r="E1715" s="7" t="n">
        <v>0</v>
      </c>
      <c r="F1715" s="8" t="inlineStr">
        <is>
          <t>Low</t>
        </is>
      </c>
      <c r="G1715" s="8" t="inlineStr">
        <is>
          <t>Low</t>
        </is>
      </c>
      <c r="H1715">
        <f>IF(F1715=G1715,"YES","NO")</f>
        <v/>
      </c>
    </row>
    <row r="1716">
      <c r="A1716" s="6" t="inlineStr">
        <is>
          <t>Simi Bakare</t>
        </is>
      </c>
      <c r="B1716" s="7" t="n">
        <v>4</v>
      </c>
      <c r="C1716" s="7" t="n">
        <v>0</v>
      </c>
      <c r="D1716" s="7" t="n">
        <v>0</v>
      </c>
      <c r="E1716" s="7" t="n">
        <v>0</v>
      </c>
      <c r="F1716" s="8" t="inlineStr">
        <is>
          <t>Low</t>
        </is>
      </c>
      <c r="G1716" s="8" t="inlineStr">
        <is>
          <t>Low</t>
        </is>
      </c>
      <c r="H1716">
        <f>IF(F1716=G1716,"YES","NO")</f>
        <v/>
      </c>
    </row>
    <row r="1717">
      <c r="A1717" s="6" t="inlineStr">
        <is>
          <t>Sloane Varing</t>
        </is>
      </c>
      <c r="B1717" s="7" t="n">
        <v>24</v>
      </c>
      <c r="C1717" s="7" t="n">
        <v>0</v>
      </c>
      <c r="D1717" s="7" t="n">
        <v>0</v>
      </c>
      <c r="E1717" s="7" t="n">
        <v>0</v>
      </c>
      <c r="F1717" s="8" t="inlineStr">
        <is>
          <t>Low</t>
        </is>
      </c>
      <c r="G1717" s="8" t="inlineStr">
        <is>
          <t>Low</t>
        </is>
      </c>
      <c r="H1717">
        <f>IF(F1717=G1717,"YES","NO")</f>
        <v/>
      </c>
    </row>
    <row r="1718">
      <c r="A1718" s="6" t="inlineStr">
        <is>
          <t>Spencer Young</t>
        </is>
      </c>
      <c r="B1718" s="7" t="n">
        <v>3</v>
      </c>
      <c r="C1718" s="7" t="n">
        <v>0</v>
      </c>
      <c r="D1718" s="7" t="n">
        <v>0</v>
      </c>
      <c r="E1718" s="7" t="n">
        <v>0</v>
      </c>
      <c r="F1718" s="8" t="inlineStr">
        <is>
          <t>Low</t>
        </is>
      </c>
      <c r="G1718" s="8" t="inlineStr">
        <is>
          <t>Low</t>
        </is>
      </c>
      <c r="H1718">
        <f>IF(F1718=G1718,"YES","NO")</f>
        <v/>
      </c>
    </row>
    <row r="1719">
      <c r="A1719" s="6" t="inlineStr">
        <is>
          <t>Stacey Rice</t>
        </is>
      </c>
      <c r="B1719" s="7" t="n">
        <v>4</v>
      </c>
      <c r="C1719" s="7" t="n">
        <v>0</v>
      </c>
      <c r="D1719" s="7" t="n">
        <v>0</v>
      </c>
      <c r="E1719" s="7" t="n">
        <v>0</v>
      </c>
      <c r="F1719" s="8" t="inlineStr">
        <is>
          <t>Low</t>
        </is>
      </c>
      <c r="G1719" s="8" t="inlineStr">
        <is>
          <t>Low</t>
        </is>
      </c>
      <c r="H1719">
        <f>IF(F1719=G1719,"YES","NO")</f>
        <v/>
      </c>
    </row>
    <row r="1720">
      <c r="A1720" s="6" t="inlineStr">
        <is>
          <t>Staci Sisco</t>
        </is>
      </c>
      <c r="B1720" s="7" t="n">
        <v>61</v>
      </c>
      <c r="C1720" s="7" t="n">
        <v>3</v>
      </c>
      <c r="D1720" s="7" t="n">
        <v>0.0492</v>
      </c>
      <c r="E1720" s="7" t="n">
        <v>0.0169</v>
      </c>
      <c r="F1720" s="8" t="inlineStr">
        <is>
          <t>Low</t>
        </is>
      </c>
      <c r="G1720" s="8" t="inlineStr">
        <is>
          <t>Low</t>
        </is>
      </c>
      <c r="H1720">
        <f>IF(F1720=G1720,"YES","NO")</f>
        <v/>
      </c>
    </row>
    <row r="1721">
      <c r="A1721" s="6" t="inlineStr">
        <is>
          <t>Stacy  Sumner</t>
        </is>
      </c>
      <c r="B1721" s="7" t="n">
        <v>12</v>
      </c>
      <c r="C1721" s="7" t="n">
        <v>0</v>
      </c>
      <c r="D1721" s="7" t="n">
        <v>0</v>
      </c>
      <c r="E1721" s="7" t="n">
        <v>0</v>
      </c>
      <c r="F1721" s="8" t="inlineStr">
        <is>
          <t>Low</t>
        </is>
      </c>
      <c r="G1721" s="8" t="inlineStr">
        <is>
          <t>Low</t>
        </is>
      </c>
      <c r="H1721">
        <f>IF(F1721=G1721,"YES","NO")</f>
        <v/>
      </c>
    </row>
    <row r="1722">
      <c r="A1722" s="6" t="inlineStr">
        <is>
          <t>Stephan Circle</t>
        </is>
      </c>
      <c r="B1722" s="7" t="n">
        <v>9</v>
      </c>
      <c r="C1722" s="7" t="n">
        <v>0</v>
      </c>
      <c r="D1722" s="7" t="n">
        <v>0</v>
      </c>
      <c r="E1722" s="7" t="n">
        <v>0</v>
      </c>
      <c r="F1722" s="8" t="inlineStr">
        <is>
          <t>Low</t>
        </is>
      </c>
      <c r="G1722" s="8" t="inlineStr">
        <is>
          <t>Low</t>
        </is>
      </c>
      <c r="H1722">
        <f>IF(F1722=G1722,"YES","NO")</f>
        <v/>
      </c>
    </row>
    <row r="1723">
      <c r="A1723" s="6" t="inlineStr">
        <is>
          <t>Stephanie Phillips</t>
        </is>
      </c>
      <c r="B1723" s="7" t="n">
        <v>357</v>
      </c>
      <c r="C1723" s="7" t="n">
        <v>11</v>
      </c>
      <c r="D1723" s="7" t="n">
        <v>0.0308</v>
      </c>
      <c r="E1723" s="7" t="n">
        <v>0.0173</v>
      </c>
      <c r="F1723" s="8" t="inlineStr">
        <is>
          <t>Low</t>
        </is>
      </c>
      <c r="G1723" s="8" t="inlineStr">
        <is>
          <t>Low</t>
        </is>
      </c>
      <c r="H1723">
        <f>IF(F1723=G1723,"YES","NO")</f>
        <v/>
      </c>
    </row>
    <row r="1724">
      <c r="A1724" s="6" t="inlineStr">
        <is>
          <t>Stephen Benton</t>
        </is>
      </c>
      <c r="B1724" s="7" t="n">
        <v>5</v>
      </c>
      <c r="C1724" s="7" t="n">
        <v>0</v>
      </c>
      <c r="D1724" s="7" t="n">
        <v>0</v>
      </c>
      <c r="E1724" s="7" t="n">
        <v>0</v>
      </c>
      <c r="F1724" s="8" t="inlineStr">
        <is>
          <t>Low</t>
        </is>
      </c>
      <c r="G1724" s="8" t="inlineStr">
        <is>
          <t>Low</t>
        </is>
      </c>
      <c r="H1724">
        <f>IF(F1724=G1724,"YES","NO")</f>
        <v/>
      </c>
    </row>
    <row r="1725">
      <c r="A1725" s="6" t="inlineStr">
        <is>
          <t>Stephen Cook</t>
        </is>
      </c>
      <c r="B1725" s="7" t="n">
        <v>159</v>
      </c>
      <c r="C1725" s="7" t="n">
        <v>8</v>
      </c>
      <c r="D1725" s="7" t="n">
        <v>0.0503</v>
      </c>
      <c r="E1725" s="7" t="n">
        <v>0.0257</v>
      </c>
      <c r="F1725" s="8" t="inlineStr">
        <is>
          <t>Low</t>
        </is>
      </c>
      <c r="G1725" s="8" t="inlineStr">
        <is>
          <t>Low</t>
        </is>
      </c>
      <c r="H1725">
        <f>IF(F1725=G1725,"YES","NO")</f>
        <v/>
      </c>
    </row>
    <row r="1726">
      <c r="A1726" s="6" t="inlineStr">
        <is>
          <t>Stephen Frierson</t>
        </is>
      </c>
      <c r="B1726" s="7" t="n">
        <v>204</v>
      </c>
      <c r="C1726" s="7" t="n">
        <v>7</v>
      </c>
      <c r="D1726" s="7" t="n">
        <v>0.0343</v>
      </c>
      <c r="E1726" s="7" t="n">
        <v>0.0167</v>
      </c>
      <c r="F1726" s="8" t="inlineStr">
        <is>
          <t>Low</t>
        </is>
      </c>
      <c r="G1726" s="8" t="inlineStr">
        <is>
          <t>Low</t>
        </is>
      </c>
      <c r="H1726">
        <f>IF(F1726=G1726,"YES","NO")</f>
        <v/>
      </c>
    </row>
    <row r="1727">
      <c r="A1727" s="6" t="inlineStr">
        <is>
          <t>Stephen Jetton</t>
        </is>
      </c>
      <c r="B1727" s="7" t="n">
        <v>73</v>
      </c>
      <c r="C1727" s="7" t="n">
        <v>3</v>
      </c>
      <c r="D1727" s="7" t="n">
        <v>0.0411</v>
      </c>
      <c r="E1727" s="7" t="n">
        <v>0.0141</v>
      </c>
      <c r="F1727" s="8" t="inlineStr">
        <is>
          <t>Low</t>
        </is>
      </c>
      <c r="G1727" s="8" t="inlineStr">
        <is>
          <t>Low</t>
        </is>
      </c>
      <c r="H1727">
        <f>IF(F1727=G1727,"YES","NO")</f>
        <v/>
      </c>
    </row>
    <row r="1728">
      <c r="A1728" s="6" t="inlineStr">
        <is>
          <t>Stephen Sepple</t>
        </is>
      </c>
      <c r="B1728" s="7" t="n">
        <v>1</v>
      </c>
      <c r="C1728" s="7" t="n">
        <v>0</v>
      </c>
      <c r="D1728" s="7" t="n">
        <v>0</v>
      </c>
      <c r="E1728" s="7" t="n">
        <v>0</v>
      </c>
      <c r="F1728" s="8" t="inlineStr">
        <is>
          <t>Low</t>
        </is>
      </c>
      <c r="G1728" s="8" t="inlineStr">
        <is>
          <t>Low</t>
        </is>
      </c>
      <c r="H1728">
        <f>IF(F1728=G1728,"YES","NO")</f>
        <v/>
      </c>
    </row>
    <row r="1729">
      <c r="A1729" s="6" t="inlineStr">
        <is>
          <t>Stephen Stewart</t>
        </is>
      </c>
      <c r="B1729" s="7" t="n">
        <v>10</v>
      </c>
      <c r="C1729" s="7" t="n">
        <v>0</v>
      </c>
      <c r="D1729" s="7" t="n">
        <v>0</v>
      </c>
      <c r="E1729" s="7" t="n">
        <v>0</v>
      </c>
      <c r="F1729" s="8" t="inlineStr">
        <is>
          <t>Low</t>
        </is>
      </c>
      <c r="G1729" s="8" t="inlineStr">
        <is>
          <t>Low</t>
        </is>
      </c>
      <c r="H1729">
        <f>IF(F1729=G1729,"YES","NO")</f>
        <v/>
      </c>
    </row>
    <row r="1730">
      <c r="A1730" s="6" t="inlineStr">
        <is>
          <t>Sterling Barron</t>
        </is>
      </c>
      <c r="B1730" s="7" t="n">
        <v>4</v>
      </c>
      <c r="C1730" s="7" t="n">
        <v>0</v>
      </c>
      <c r="D1730" s="7" t="n">
        <v>0</v>
      </c>
      <c r="E1730" s="7" t="n">
        <v>0</v>
      </c>
      <c r="F1730" s="8" t="inlineStr">
        <is>
          <t>Low</t>
        </is>
      </c>
      <c r="G1730" s="8" t="inlineStr">
        <is>
          <t>Low</t>
        </is>
      </c>
      <c r="H1730">
        <f>IF(F1730=G1730,"YES","NO")</f>
        <v/>
      </c>
    </row>
    <row r="1731">
      <c r="A1731" s="6" t="inlineStr">
        <is>
          <t>Steve Baxter</t>
        </is>
      </c>
      <c r="B1731" s="7" t="n">
        <v>1316</v>
      </c>
      <c r="C1731" s="7" t="n">
        <v>43</v>
      </c>
      <c r="D1731" s="7" t="n">
        <v>0.0327</v>
      </c>
      <c r="E1731" s="7" t="n">
        <v>0.0243</v>
      </c>
      <c r="F1731" s="8" t="inlineStr">
        <is>
          <t>Low</t>
        </is>
      </c>
      <c r="G1731" s="8" t="inlineStr">
        <is>
          <t>Low</t>
        </is>
      </c>
      <c r="H1731">
        <f>IF(F1731=G1731,"YES","NO")</f>
        <v/>
      </c>
    </row>
    <row r="1732">
      <c r="A1732" s="6" t="inlineStr">
        <is>
          <t>Steve Goeser</t>
        </is>
      </c>
      <c r="B1732" s="7" t="n">
        <v>24</v>
      </c>
      <c r="C1732" s="7" t="n">
        <v>0</v>
      </c>
      <c r="D1732" s="7" t="n">
        <v>0</v>
      </c>
      <c r="E1732" s="7" t="n">
        <v>0</v>
      </c>
      <c r="F1732" s="8" t="inlineStr">
        <is>
          <t>Low</t>
        </is>
      </c>
      <c r="G1732" s="8" t="inlineStr">
        <is>
          <t>Low</t>
        </is>
      </c>
      <c r="H1732">
        <f>IF(F1732=G1732,"YES","NO")</f>
        <v/>
      </c>
    </row>
    <row r="1733">
      <c r="A1733" s="6" t="inlineStr">
        <is>
          <t>Steve Lynch</t>
        </is>
      </c>
      <c r="B1733" s="7" t="n">
        <v>3</v>
      </c>
      <c r="C1733" s="7" t="n">
        <v>0</v>
      </c>
      <c r="D1733" s="7" t="n">
        <v>0</v>
      </c>
      <c r="E1733" s="7" t="n">
        <v>0</v>
      </c>
      <c r="F1733" s="8" t="inlineStr">
        <is>
          <t>Low</t>
        </is>
      </c>
      <c r="G1733" s="8" t="inlineStr">
        <is>
          <t>Low</t>
        </is>
      </c>
      <c r="H1733">
        <f>IF(F1733=G1733,"YES","NO")</f>
        <v/>
      </c>
    </row>
    <row r="1734">
      <c r="A1734" s="6" t="inlineStr">
        <is>
          <t>Steve Marusky</t>
        </is>
      </c>
      <c r="B1734" s="7" t="n">
        <v>2</v>
      </c>
      <c r="C1734" s="7" t="n">
        <v>0</v>
      </c>
      <c r="D1734" s="7" t="n">
        <v>0</v>
      </c>
      <c r="E1734" s="7" t="n">
        <v>0</v>
      </c>
      <c r="F1734" s="8" t="inlineStr">
        <is>
          <t>Low</t>
        </is>
      </c>
      <c r="G1734" s="8" t="inlineStr">
        <is>
          <t>Low</t>
        </is>
      </c>
      <c r="H1734">
        <f>IF(F1734=G1734,"YES","NO")</f>
        <v/>
      </c>
    </row>
    <row r="1735">
      <c r="A1735" s="6" t="inlineStr">
        <is>
          <t>Steve Murray</t>
        </is>
      </c>
      <c r="B1735" s="7" t="n">
        <v>5</v>
      </c>
      <c r="C1735" s="7" t="n">
        <v>0</v>
      </c>
      <c r="D1735" s="7" t="n">
        <v>0</v>
      </c>
      <c r="E1735" s="7" t="n">
        <v>0</v>
      </c>
      <c r="F1735" s="8" t="inlineStr">
        <is>
          <t>Low</t>
        </is>
      </c>
      <c r="G1735" s="8" t="inlineStr">
        <is>
          <t>Low</t>
        </is>
      </c>
      <c r="H1735">
        <f>IF(F1735=G1735,"YES","NO")</f>
        <v/>
      </c>
    </row>
    <row r="1736">
      <c r="A1736" s="6" t="inlineStr">
        <is>
          <t>Steve Postle</t>
        </is>
      </c>
      <c r="B1736" s="7" t="n">
        <v>10</v>
      </c>
      <c r="C1736" s="7" t="n">
        <v>0</v>
      </c>
      <c r="D1736" s="7" t="n">
        <v>0</v>
      </c>
      <c r="E1736" s="7" t="n">
        <v>0</v>
      </c>
      <c r="F1736" s="8" t="inlineStr">
        <is>
          <t>Low</t>
        </is>
      </c>
      <c r="G1736" s="8" t="inlineStr">
        <is>
          <t>Low</t>
        </is>
      </c>
      <c r="H1736">
        <f>IF(F1736=G1736,"YES","NO")</f>
        <v/>
      </c>
    </row>
    <row r="1737">
      <c r="A1737" s="6" t="inlineStr">
        <is>
          <t>Steve StDenis</t>
        </is>
      </c>
      <c r="B1737" s="7" t="n">
        <v>20</v>
      </c>
      <c r="C1737" s="7" t="n">
        <v>0</v>
      </c>
      <c r="D1737" s="7" t="n">
        <v>0</v>
      </c>
      <c r="E1737" s="7" t="n">
        <v>0</v>
      </c>
      <c r="F1737" s="8" t="inlineStr">
        <is>
          <t>Low</t>
        </is>
      </c>
      <c r="G1737" s="8" t="inlineStr">
        <is>
          <t>Low</t>
        </is>
      </c>
      <c r="H1737">
        <f>IF(F1737=G1737,"YES","NO")</f>
        <v/>
      </c>
    </row>
    <row r="1738">
      <c r="A1738" s="6" t="inlineStr">
        <is>
          <t>Steve Wallis</t>
        </is>
      </c>
      <c r="B1738" s="7" t="n">
        <v>10</v>
      </c>
      <c r="C1738" s="7" t="n">
        <v>0</v>
      </c>
      <c r="D1738" s="7" t="n">
        <v>0</v>
      </c>
      <c r="E1738" s="7" t="n">
        <v>0</v>
      </c>
      <c r="F1738" s="8" t="inlineStr">
        <is>
          <t>Low</t>
        </is>
      </c>
      <c r="G1738" s="8" t="inlineStr">
        <is>
          <t>Low</t>
        </is>
      </c>
      <c r="H1738">
        <f>IF(F1738=G1738,"YES","NO")</f>
        <v/>
      </c>
    </row>
    <row r="1739">
      <c r="A1739" s="6" t="inlineStr">
        <is>
          <t>Steve Xikes</t>
        </is>
      </c>
      <c r="B1739" s="7" t="n">
        <v>17</v>
      </c>
      <c r="C1739" s="7" t="n">
        <v>3</v>
      </c>
      <c r="D1739" s="7" t="n">
        <v>0.1765</v>
      </c>
      <c r="E1739" s="7" t="n">
        <v>0.0619</v>
      </c>
      <c r="F1739" s="8" t="inlineStr">
        <is>
          <t>Low</t>
        </is>
      </c>
      <c r="G1739" s="8" t="inlineStr">
        <is>
          <t>Low</t>
        </is>
      </c>
      <c r="H1739">
        <f>IF(F1739=G1739,"YES","NO")</f>
        <v/>
      </c>
    </row>
    <row r="1740">
      <c r="A1740" s="6" t="inlineStr">
        <is>
          <t>Steven Kadak</t>
        </is>
      </c>
      <c r="B1740" s="7" t="n">
        <v>15</v>
      </c>
      <c r="C1740" s="7" t="n">
        <v>0</v>
      </c>
      <c r="D1740" s="7" t="n">
        <v>0</v>
      </c>
      <c r="E1740" s="7" t="n">
        <v>0</v>
      </c>
      <c r="F1740" s="8" t="inlineStr">
        <is>
          <t>Low</t>
        </is>
      </c>
      <c r="G1740" s="8" t="inlineStr">
        <is>
          <t>Low</t>
        </is>
      </c>
      <c r="H1740">
        <f>IF(F1740=G1740,"YES","NO")</f>
        <v/>
      </c>
    </row>
    <row r="1741">
      <c r="A1741" s="6" t="inlineStr">
        <is>
          <t>Steven OBlanc</t>
        </is>
      </c>
      <c r="B1741" s="7" t="n">
        <v>21</v>
      </c>
      <c r="C1741" s="7" t="n">
        <v>0</v>
      </c>
      <c r="D1741" s="7" t="n">
        <v>0</v>
      </c>
      <c r="E1741" s="7" t="n">
        <v>0</v>
      </c>
      <c r="F1741" s="8" t="inlineStr">
        <is>
          <t>Low</t>
        </is>
      </c>
      <c r="G1741" s="8" t="inlineStr">
        <is>
          <t>Low</t>
        </is>
      </c>
      <c r="H1741">
        <f>IF(F1741=G1741,"YES","NO")</f>
        <v/>
      </c>
    </row>
    <row r="1742">
      <c r="A1742" s="6" t="inlineStr">
        <is>
          <t>Steven Waldrop</t>
        </is>
      </c>
      <c r="B1742" s="7" t="n">
        <v>21</v>
      </c>
      <c r="C1742" s="7" t="n">
        <v>0</v>
      </c>
      <c r="D1742" s="7" t="n">
        <v>0</v>
      </c>
      <c r="E1742" s="7" t="n">
        <v>0</v>
      </c>
      <c r="F1742" s="8" t="inlineStr">
        <is>
          <t>Low</t>
        </is>
      </c>
      <c r="G1742" s="8" t="inlineStr">
        <is>
          <t>Low</t>
        </is>
      </c>
      <c r="H1742">
        <f>IF(F1742=G1742,"YES","NO")</f>
        <v/>
      </c>
    </row>
    <row r="1743">
      <c r="A1743" s="6" t="inlineStr">
        <is>
          <t>Stewart Manning</t>
        </is>
      </c>
      <c r="B1743" s="7" t="n">
        <v>365</v>
      </c>
      <c r="C1743" s="7" t="n">
        <v>2</v>
      </c>
      <c r="D1743" s="7" t="n">
        <v>0.0055</v>
      </c>
      <c r="E1743" s="7" t="n">
        <v>0.0015</v>
      </c>
      <c r="F1743" s="8" t="inlineStr">
        <is>
          <t>Low</t>
        </is>
      </c>
      <c r="G1743" s="8" t="inlineStr">
        <is>
          <t>Low</t>
        </is>
      </c>
      <c r="H1743">
        <f>IF(F1743=G1743,"YES","NO")</f>
        <v/>
      </c>
    </row>
    <row r="1744">
      <c r="A1744" s="6" t="inlineStr">
        <is>
          <t>Stuart Fratkin</t>
        </is>
      </c>
      <c r="B1744" s="7" t="n">
        <v>2</v>
      </c>
      <c r="C1744" s="7" t="n">
        <v>0</v>
      </c>
      <c r="D1744" s="7" t="n">
        <v>0</v>
      </c>
      <c r="E1744" s="7" t="n">
        <v>0</v>
      </c>
      <c r="F1744" s="8" t="inlineStr">
        <is>
          <t>Low</t>
        </is>
      </c>
      <c r="G1744" s="8" t="inlineStr">
        <is>
          <t>Low</t>
        </is>
      </c>
      <c r="H1744">
        <f>IF(F1744=G1744,"YES","NO")</f>
        <v/>
      </c>
    </row>
    <row r="1745">
      <c r="A1745" s="6" t="inlineStr">
        <is>
          <t>Stuart Roderick</t>
        </is>
      </c>
      <c r="B1745" s="7" t="n">
        <v>26</v>
      </c>
      <c r="C1745" s="7" t="n">
        <v>0</v>
      </c>
      <c r="D1745" s="7" t="n">
        <v>0</v>
      </c>
      <c r="E1745" s="7" t="n">
        <v>0</v>
      </c>
      <c r="F1745" s="8" t="inlineStr">
        <is>
          <t>Low</t>
        </is>
      </c>
      <c r="G1745" s="8" t="inlineStr">
        <is>
          <t>Low</t>
        </is>
      </c>
      <c r="H1745">
        <f>IF(F1745=G1745,"YES","NO")</f>
        <v/>
      </c>
    </row>
    <row r="1746">
      <c r="A1746" s="6" t="inlineStr">
        <is>
          <t>Susan Brandt</t>
        </is>
      </c>
      <c r="B1746" s="7" t="n">
        <v>15</v>
      </c>
      <c r="C1746" s="7" t="n">
        <v>2</v>
      </c>
      <c r="D1746" s="7" t="n">
        <v>0.1333</v>
      </c>
      <c r="E1746" s="7" t="n">
        <v>0.0374</v>
      </c>
      <c r="F1746" s="8" t="inlineStr">
        <is>
          <t>Low</t>
        </is>
      </c>
      <c r="G1746" s="8" t="inlineStr">
        <is>
          <t>Low</t>
        </is>
      </c>
      <c r="H1746">
        <f>IF(F1746=G1746,"YES","NO")</f>
        <v/>
      </c>
    </row>
    <row r="1747">
      <c r="A1747" s="6" t="inlineStr">
        <is>
          <t>Susan Salisbury</t>
        </is>
      </c>
      <c r="B1747" s="7" t="n">
        <v>6</v>
      </c>
      <c r="C1747" s="7" t="n">
        <v>1</v>
      </c>
      <c r="D1747" s="7" t="n">
        <v>0.1667</v>
      </c>
      <c r="E1747" s="7" t="n">
        <v>0.0301</v>
      </c>
      <c r="F1747" s="8" t="inlineStr">
        <is>
          <t>Low</t>
        </is>
      </c>
      <c r="G1747" s="8" t="inlineStr">
        <is>
          <t>Low</t>
        </is>
      </c>
      <c r="H1747">
        <f>IF(F1747=G1747,"YES","NO")</f>
        <v/>
      </c>
    </row>
    <row r="1748">
      <c r="A1748" s="6" t="inlineStr">
        <is>
          <t>Suzanne Steiner</t>
        </is>
      </c>
      <c r="B1748" s="7" t="n">
        <v>26</v>
      </c>
      <c r="C1748" s="7" t="n">
        <v>2</v>
      </c>
      <c r="D1748" s="7" t="n">
        <v>0.0769</v>
      </c>
      <c r="E1748" s="7" t="n">
        <v>0.0214</v>
      </c>
      <c r="F1748" s="8" t="inlineStr">
        <is>
          <t>Low</t>
        </is>
      </c>
      <c r="G1748" s="8" t="inlineStr">
        <is>
          <t>Low</t>
        </is>
      </c>
      <c r="H1748">
        <f>IF(F1748=G1748,"YES","NO")</f>
        <v/>
      </c>
    </row>
    <row r="1749">
      <c r="A1749" s="6" t="inlineStr">
        <is>
          <t>Syd Schultz</t>
        </is>
      </c>
      <c r="B1749" s="7" t="n">
        <v>1</v>
      </c>
      <c r="C1749" s="7" t="n">
        <v>0</v>
      </c>
      <c r="D1749" s="7" t="n">
        <v>0</v>
      </c>
      <c r="E1749" s="7" t="n">
        <v>0</v>
      </c>
      <c r="F1749" s="8" t="inlineStr">
        <is>
          <t>Low</t>
        </is>
      </c>
      <c r="G1749" s="8" t="inlineStr">
        <is>
          <t>Low</t>
        </is>
      </c>
      <c r="H1749">
        <f>IF(F1749=G1749,"YES","NO")</f>
        <v/>
      </c>
    </row>
    <row r="1750">
      <c r="A1750" s="6" t="inlineStr">
        <is>
          <t>Sydney Campbell</t>
        </is>
      </c>
      <c r="B1750" s="7" t="n">
        <v>15</v>
      </c>
      <c r="C1750" s="7" t="n">
        <v>0</v>
      </c>
      <c r="D1750" s="7" t="n">
        <v>0</v>
      </c>
      <c r="E1750" s="7" t="n">
        <v>0</v>
      </c>
      <c r="F1750" s="8" t="inlineStr">
        <is>
          <t>Low</t>
        </is>
      </c>
      <c r="G1750" s="8" t="inlineStr">
        <is>
          <t>Low</t>
        </is>
      </c>
      <c r="H1750">
        <f>IF(F1750=G1750,"YES","NO")</f>
        <v/>
      </c>
    </row>
    <row r="1751">
      <c r="A1751" s="6" t="inlineStr">
        <is>
          <t>Sydney Winters</t>
        </is>
      </c>
      <c r="B1751" s="7" t="n">
        <v>11</v>
      </c>
      <c r="C1751" s="7" t="n">
        <v>0</v>
      </c>
      <c r="D1751" s="7" t="n">
        <v>0</v>
      </c>
      <c r="E1751" s="7" t="n">
        <v>0</v>
      </c>
      <c r="F1751" s="8" t="inlineStr">
        <is>
          <t>Low</t>
        </is>
      </c>
      <c r="G1751" s="8" t="inlineStr">
        <is>
          <t>Low</t>
        </is>
      </c>
      <c r="H1751">
        <f>IF(F1751=G1751,"YES","NO")</f>
        <v/>
      </c>
    </row>
    <row r="1752">
      <c r="A1752" s="6" t="inlineStr">
        <is>
          <t>Sylvain Champagne</t>
        </is>
      </c>
      <c r="B1752" s="7" t="n">
        <v>6</v>
      </c>
      <c r="C1752" s="7" t="n">
        <v>0</v>
      </c>
      <c r="D1752" s="7" t="n">
        <v>0</v>
      </c>
      <c r="E1752" s="7" t="n">
        <v>0</v>
      </c>
      <c r="F1752" s="8" t="inlineStr">
        <is>
          <t>Low</t>
        </is>
      </c>
      <c r="G1752" s="8" t="inlineStr">
        <is>
          <t>Low</t>
        </is>
      </c>
      <c r="H1752">
        <f>IF(F1752=G1752,"YES","NO")</f>
        <v/>
      </c>
    </row>
    <row r="1753">
      <c r="A1753" s="6" t="inlineStr">
        <is>
          <t>Syndi Dukes</t>
        </is>
      </c>
      <c r="B1753" s="7" t="n">
        <v>49</v>
      </c>
      <c r="C1753" s="7" t="n">
        <v>6</v>
      </c>
      <c r="D1753" s="7" t="n">
        <v>0.1224</v>
      </c>
      <c r="E1753" s="7" t="n">
        <v>0.0573</v>
      </c>
      <c r="F1753" s="8" t="inlineStr">
        <is>
          <t>Low</t>
        </is>
      </c>
      <c r="G1753" s="8" t="inlineStr">
        <is>
          <t>Low</t>
        </is>
      </c>
      <c r="H1753">
        <f>IF(F1753=G1753,"YES","NO")</f>
        <v/>
      </c>
    </row>
    <row r="1754">
      <c r="A1754" s="6" t="inlineStr">
        <is>
          <t>TALMADGE RAY</t>
        </is>
      </c>
      <c r="B1754" s="7" t="n">
        <v>47</v>
      </c>
      <c r="C1754" s="7" t="n">
        <v>6</v>
      </c>
      <c r="D1754" s="7" t="n">
        <v>0.1277</v>
      </c>
      <c r="E1754" s="7" t="n">
        <v>0.0598</v>
      </c>
      <c r="F1754" s="8" t="inlineStr">
        <is>
          <t>Low</t>
        </is>
      </c>
      <c r="G1754" s="8" t="inlineStr">
        <is>
          <t>Low</t>
        </is>
      </c>
      <c r="H1754">
        <f>IF(F1754=G1754,"YES","NO")</f>
        <v/>
      </c>
    </row>
    <row r="1755">
      <c r="A1755" s="6" t="inlineStr">
        <is>
          <t>TJ Weisenburger</t>
        </is>
      </c>
      <c r="B1755" s="7" t="n">
        <v>57</v>
      </c>
      <c r="C1755" s="7" t="n">
        <v>4</v>
      </c>
      <c r="D1755" s="7" t="n">
        <v>0.0702</v>
      </c>
      <c r="E1755" s="7" t="n">
        <v>0.0276</v>
      </c>
      <c r="F1755" s="8" t="inlineStr">
        <is>
          <t>Low</t>
        </is>
      </c>
      <c r="G1755" s="8" t="inlineStr">
        <is>
          <t>Low</t>
        </is>
      </c>
      <c r="H1755">
        <f>IF(F1755=G1755,"YES","NO")</f>
        <v/>
      </c>
    </row>
    <row r="1756">
      <c r="A1756" s="6" t="inlineStr">
        <is>
          <t>TRAVIS  REEVES</t>
        </is>
      </c>
      <c r="B1756" s="7" t="n">
        <v>3</v>
      </c>
      <c r="C1756" s="7" t="n">
        <v>0</v>
      </c>
      <c r="D1756" s="7" t="n">
        <v>0</v>
      </c>
      <c r="E1756" s="7" t="n">
        <v>0</v>
      </c>
      <c r="F1756" s="8" t="inlineStr">
        <is>
          <t>Low</t>
        </is>
      </c>
      <c r="G1756" s="8" t="inlineStr">
        <is>
          <t>Low</t>
        </is>
      </c>
      <c r="H1756">
        <f>IF(F1756=G1756,"YES","NO")</f>
        <v/>
      </c>
    </row>
    <row r="1757">
      <c r="A1757" s="6" t="inlineStr">
        <is>
          <t>Tahnee Ranieri</t>
        </is>
      </c>
      <c r="B1757" s="7" t="n">
        <v>6</v>
      </c>
      <c r="C1757" s="7" t="n">
        <v>0</v>
      </c>
      <c r="D1757" s="7" t="n">
        <v>0</v>
      </c>
      <c r="E1757" s="7" t="n">
        <v>0</v>
      </c>
      <c r="F1757" s="8" t="inlineStr">
        <is>
          <t>Low</t>
        </is>
      </c>
      <c r="G1757" s="8" t="inlineStr">
        <is>
          <t>Low</t>
        </is>
      </c>
      <c r="H1757">
        <f>IF(F1757=G1757,"YES","NO")</f>
        <v/>
      </c>
    </row>
    <row r="1758">
      <c r="A1758" s="6" t="inlineStr">
        <is>
          <t>Tait Thomsen</t>
        </is>
      </c>
      <c r="B1758" s="7" t="n">
        <v>532</v>
      </c>
      <c r="C1758" s="7" t="n">
        <v>1</v>
      </c>
      <c r="D1758" s="7" t="n">
        <v>0.0019</v>
      </c>
      <c r="E1758" s="7" t="n">
        <v>0.0003</v>
      </c>
      <c r="F1758" s="8" t="inlineStr">
        <is>
          <t>Low</t>
        </is>
      </c>
      <c r="G1758" s="8" t="inlineStr">
        <is>
          <t>Low</t>
        </is>
      </c>
      <c r="H1758">
        <f>IF(F1758=G1758,"YES","NO")</f>
        <v/>
      </c>
    </row>
    <row r="1759">
      <c r="A1759" s="6" t="inlineStr">
        <is>
          <t>Tami McHugh</t>
        </is>
      </c>
      <c r="B1759" s="7" t="n">
        <v>1</v>
      </c>
      <c r="C1759" s="7" t="n">
        <v>0</v>
      </c>
      <c r="D1759" s="7" t="n">
        <v>0</v>
      </c>
      <c r="E1759" s="7" t="n">
        <v>0</v>
      </c>
      <c r="F1759" s="8" t="inlineStr">
        <is>
          <t>Low</t>
        </is>
      </c>
      <c r="G1759" s="8" t="inlineStr">
        <is>
          <t>Low</t>
        </is>
      </c>
      <c r="H1759">
        <f>IF(F1759=G1759,"YES","NO")</f>
        <v/>
      </c>
    </row>
    <row r="1760">
      <c r="A1760" s="6" t="inlineStr">
        <is>
          <t>Tammy Thrush</t>
        </is>
      </c>
      <c r="B1760" s="7" t="n">
        <v>40</v>
      </c>
      <c r="C1760" s="7" t="n">
        <v>0</v>
      </c>
      <c r="D1760" s="7" t="n">
        <v>0</v>
      </c>
      <c r="E1760" s="7" t="n">
        <v>0</v>
      </c>
      <c r="F1760" s="8" t="inlineStr">
        <is>
          <t>Low</t>
        </is>
      </c>
      <c r="G1760" s="8" t="inlineStr">
        <is>
          <t>Low</t>
        </is>
      </c>
      <c r="H1760">
        <f>IF(F1760=G1760,"YES","NO")</f>
        <v/>
      </c>
    </row>
    <row r="1761">
      <c r="A1761" s="6" t="inlineStr">
        <is>
          <t>Tanner Engelhardt</t>
        </is>
      </c>
      <c r="B1761" s="7" t="n">
        <v>46</v>
      </c>
      <c r="C1761" s="7" t="n">
        <v>0</v>
      </c>
      <c r="D1761" s="7" t="n">
        <v>0</v>
      </c>
      <c r="E1761" s="7" t="n">
        <v>0</v>
      </c>
      <c r="F1761" s="8" t="inlineStr">
        <is>
          <t>Low</t>
        </is>
      </c>
      <c r="G1761" s="8" t="inlineStr">
        <is>
          <t>Low</t>
        </is>
      </c>
      <c r="H1761">
        <f>IF(F1761=G1761,"YES","NO")</f>
        <v/>
      </c>
    </row>
    <row r="1762">
      <c r="A1762" s="6" t="inlineStr">
        <is>
          <t>Tate Duncan</t>
        </is>
      </c>
      <c r="B1762" s="7" t="n">
        <v>10</v>
      </c>
      <c r="C1762" s="7" t="n">
        <v>0</v>
      </c>
      <c r="D1762" s="7" t="n">
        <v>0</v>
      </c>
      <c r="E1762" s="7" t="n">
        <v>0</v>
      </c>
      <c r="F1762" s="8" t="inlineStr">
        <is>
          <t>Low</t>
        </is>
      </c>
      <c r="G1762" s="8" t="inlineStr">
        <is>
          <t>Low</t>
        </is>
      </c>
      <c r="H1762">
        <f>IF(F1762=G1762,"YES","NO")</f>
        <v/>
      </c>
    </row>
    <row r="1763">
      <c r="A1763" s="6" t="inlineStr">
        <is>
          <t>Tate Salley</t>
        </is>
      </c>
      <c r="B1763" s="7" t="n">
        <v>5</v>
      </c>
      <c r="C1763" s="7" t="n">
        <v>0</v>
      </c>
      <c r="D1763" s="7" t="n">
        <v>0</v>
      </c>
      <c r="E1763" s="7" t="n">
        <v>0</v>
      </c>
      <c r="F1763" s="8" t="inlineStr">
        <is>
          <t>Low</t>
        </is>
      </c>
      <c r="G1763" s="8" t="inlineStr">
        <is>
          <t>Low</t>
        </is>
      </c>
      <c r="H1763">
        <f>IF(F1763=G1763,"YES","NO")</f>
        <v/>
      </c>
    </row>
    <row r="1764">
      <c r="A1764" s="6" t="inlineStr">
        <is>
          <t>Tatyana Legette</t>
        </is>
      </c>
      <c r="B1764" s="7" t="n">
        <v>12</v>
      </c>
      <c r="C1764" s="7" t="n">
        <v>0</v>
      </c>
      <c r="D1764" s="7" t="n">
        <v>0</v>
      </c>
      <c r="E1764" s="7" t="n">
        <v>0</v>
      </c>
      <c r="F1764" s="8" t="inlineStr">
        <is>
          <t>Low</t>
        </is>
      </c>
      <c r="G1764" s="8" t="inlineStr">
        <is>
          <t>Low</t>
        </is>
      </c>
      <c r="H1764">
        <f>IF(F1764=G1764,"YES","NO")</f>
        <v/>
      </c>
    </row>
    <row r="1765">
      <c r="A1765" s="6" t="inlineStr">
        <is>
          <t>Taylor  Neaton</t>
        </is>
      </c>
      <c r="B1765" s="7" t="n">
        <v>1</v>
      </c>
      <c r="C1765" s="7" t="n">
        <v>0</v>
      </c>
      <c r="D1765" s="7" t="n">
        <v>0</v>
      </c>
      <c r="E1765" s="7" t="n">
        <v>0</v>
      </c>
      <c r="F1765" s="8" t="inlineStr">
        <is>
          <t>Low</t>
        </is>
      </c>
      <c r="G1765" s="8" t="inlineStr">
        <is>
          <t>Low</t>
        </is>
      </c>
      <c r="H1765">
        <f>IF(F1765=G1765,"YES","NO")</f>
        <v/>
      </c>
    </row>
    <row r="1766">
      <c r="A1766" s="6" t="inlineStr">
        <is>
          <t>Taylor Cragin</t>
        </is>
      </c>
      <c r="B1766" s="7" t="n">
        <v>5</v>
      </c>
      <c r="C1766" s="7" t="n">
        <v>0</v>
      </c>
      <c r="D1766" s="7" t="n">
        <v>0</v>
      </c>
      <c r="E1766" s="7" t="n">
        <v>0</v>
      </c>
      <c r="F1766" s="8" t="inlineStr">
        <is>
          <t>Low</t>
        </is>
      </c>
      <c r="G1766" s="8" t="inlineStr">
        <is>
          <t>Low</t>
        </is>
      </c>
      <c r="H1766">
        <f>IF(F1766=G1766,"YES","NO")</f>
        <v/>
      </c>
    </row>
    <row r="1767">
      <c r="A1767" s="6" t="inlineStr">
        <is>
          <t>Taylor Dobrucky</t>
        </is>
      </c>
      <c r="B1767" s="7" t="n">
        <v>19</v>
      </c>
      <c r="C1767" s="7" t="n">
        <v>0</v>
      </c>
      <c r="D1767" s="7" t="n">
        <v>0</v>
      </c>
      <c r="E1767" s="7" t="n">
        <v>0</v>
      </c>
      <c r="F1767" s="8" t="inlineStr">
        <is>
          <t>Low</t>
        </is>
      </c>
      <c r="G1767" s="8" t="inlineStr">
        <is>
          <t>Low</t>
        </is>
      </c>
      <c r="H1767">
        <f>IF(F1767=G1767,"YES","NO")</f>
        <v/>
      </c>
    </row>
    <row r="1768">
      <c r="A1768" s="6" t="inlineStr">
        <is>
          <t>Taylor Hackett</t>
        </is>
      </c>
      <c r="B1768" s="7" t="n">
        <v>292</v>
      </c>
      <c r="C1768" s="7" t="n">
        <v>0</v>
      </c>
      <c r="D1768" s="7" t="n">
        <v>0</v>
      </c>
      <c r="E1768" s="7" t="n">
        <v>0</v>
      </c>
      <c r="F1768" s="8" t="inlineStr">
        <is>
          <t>Low</t>
        </is>
      </c>
      <c r="G1768" s="8" t="inlineStr">
        <is>
          <t>Low</t>
        </is>
      </c>
      <c r="H1768">
        <f>IF(F1768=G1768,"YES","NO")</f>
        <v/>
      </c>
    </row>
    <row r="1769">
      <c r="A1769" s="6" t="inlineStr">
        <is>
          <t>Taylor Kott</t>
        </is>
      </c>
      <c r="B1769" s="7" t="n">
        <v>1</v>
      </c>
      <c r="C1769" s="7" t="n">
        <v>0</v>
      </c>
      <c r="D1769" s="7" t="n">
        <v>0</v>
      </c>
      <c r="E1769" s="7" t="n">
        <v>0</v>
      </c>
      <c r="F1769" s="8" t="inlineStr">
        <is>
          <t>Low</t>
        </is>
      </c>
      <c r="G1769" s="8" t="inlineStr">
        <is>
          <t>Low</t>
        </is>
      </c>
      <c r="H1769">
        <f>IF(F1769=G1769,"YES","NO")</f>
        <v/>
      </c>
    </row>
    <row r="1770">
      <c r="A1770" s="6" t="inlineStr">
        <is>
          <t>Taylor Pollard</t>
        </is>
      </c>
      <c r="B1770" s="7" t="n">
        <v>3</v>
      </c>
      <c r="C1770" s="7" t="n">
        <v>0</v>
      </c>
      <c r="D1770" s="7" t="n">
        <v>0</v>
      </c>
      <c r="E1770" s="7" t="n">
        <v>0</v>
      </c>
      <c r="F1770" s="8" t="inlineStr">
        <is>
          <t>Low</t>
        </is>
      </c>
      <c r="G1770" s="8" t="inlineStr">
        <is>
          <t>Low</t>
        </is>
      </c>
      <c r="H1770">
        <f>IF(F1770=G1770,"YES","NO")</f>
        <v/>
      </c>
    </row>
    <row r="1771">
      <c r="A1771" s="6" t="inlineStr">
        <is>
          <t>Taylor Ross</t>
        </is>
      </c>
      <c r="B1771" s="7" t="n">
        <v>20</v>
      </c>
      <c r="C1771" s="7" t="n">
        <v>0</v>
      </c>
      <c r="D1771" s="7" t="n">
        <v>0</v>
      </c>
      <c r="E1771" s="7" t="n">
        <v>0</v>
      </c>
      <c r="F1771" s="8" t="inlineStr">
        <is>
          <t>Low</t>
        </is>
      </c>
      <c r="G1771" s="8" t="inlineStr">
        <is>
          <t>Low</t>
        </is>
      </c>
      <c r="H1771">
        <f>IF(F1771=G1771,"YES","NO")</f>
        <v/>
      </c>
    </row>
    <row r="1772">
      <c r="A1772" s="6" t="inlineStr">
        <is>
          <t>Ted Hoal</t>
        </is>
      </c>
      <c r="B1772" s="7" t="n">
        <v>21</v>
      </c>
      <c r="C1772" s="7" t="n">
        <v>3</v>
      </c>
      <c r="D1772" s="7" t="n">
        <v>0.1429</v>
      </c>
      <c r="E1772" s="7" t="n">
        <v>0.0498</v>
      </c>
      <c r="F1772" s="8" t="inlineStr">
        <is>
          <t>Low</t>
        </is>
      </c>
      <c r="G1772" s="8" t="inlineStr">
        <is>
          <t>Low</t>
        </is>
      </c>
      <c r="H1772">
        <f>IF(F1772=G1772,"YES","NO")</f>
        <v/>
      </c>
    </row>
    <row r="1773">
      <c r="A1773" s="6" t="inlineStr">
        <is>
          <t>Ted Kochman</t>
        </is>
      </c>
      <c r="B1773" s="7" t="n">
        <v>3</v>
      </c>
      <c r="C1773" s="7" t="n">
        <v>0</v>
      </c>
      <c r="D1773" s="7" t="n">
        <v>0</v>
      </c>
      <c r="E1773" s="7" t="n">
        <v>0</v>
      </c>
      <c r="F1773" s="8" t="inlineStr">
        <is>
          <t>Low</t>
        </is>
      </c>
      <c r="G1773" s="8" t="inlineStr">
        <is>
          <t>Low</t>
        </is>
      </c>
      <c r="H1773">
        <f>IF(F1773=G1773,"YES","NO")</f>
        <v/>
      </c>
    </row>
    <row r="1774">
      <c r="A1774" s="6" t="inlineStr">
        <is>
          <t>Teresa Jorgensen</t>
        </is>
      </c>
      <c r="B1774" s="7" t="n">
        <v>72</v>
      </c>
      <c r="C1774" s="7" t="n">
        <v>2</v>
      </c>
      <c r="D1774" s="7" t="n">
        <v>0.0278</v>
      </c>
      <c r="E1774" s="7" t="n">
        <v>0.0077</v>
      </c>
      <c r="F1774" s="8" t="inlineStr">
        <is>
          <t>Low</t>
        </is>
      </c>
      <c r="G1774" s="8" t="inlineStr">
        <is>
          <t>Low</t>
        </is>
      </c>
      <c r="H1774">
        <f>IF(F1774=G1774,"YES","NO")</f>
        <v/>
      </c>
    </row>
    <row r="1775">
      <c r="A1775" s="6" t="inlineStr">
        <is>
          <t>Teri Marner</t>
        </is>
      </c>
      <c r="B1775" s="7" t="n">
        <v>55</v>
      </c>
      <c r="C1775" s="7" t="n">
        <v>0</v>
      </c>
      <c r="D1775" s="7" t="n">
        <v>0</v>
      </c>
      <c r="E1775" s="7" t="n">
        <v>0</v>
      </c>
      <c r="F1775" s="8" t="inlineStr">
        <is>
          <t>Low</t>
        </is>
      </c>
      <c r="G1775" s="8" t="inlineStr">
        <is>
          <t>Low</t>
        </is>
      </c>
      <c r="H1775">
        <f>IF(F1775=G1775,"YES","NO")</f>
        <v/>
      </c>
    </row>
    <row r="1776">
      <c r="A1776" s="6" t="inlineStr">
        <is>
          <t>Terry Coleman</t>
        </is>
      </c>
      <c r="B1776" s="7" t="n">
        <v>13</v>
      </c>
      <c r="C1776" s="7" t="n">
        <v>0</v>
      </c>
      <c r="D1776" s="7" t="n">
        <v>0</v>
      </c>
      <c r="E1776" s="7" t="n">
        <v>0</v>
      </c>
      <c r="F1776" s="8" t="inlineStr">
        <is>
          <t>Low</t>
        </is>
      </c>
      <c r="G1776" s="8" t="inlineStr">
        <is>
          <t>Low</t>
        </is>
      </c>
      <c r="H1776">
        <f>IF(F1776=G1776,"YES","NO")</f>
        <v/>
      </c>
    </row>
    <row r="1777">
      <c r="A1777" s="6" t="inlineStr">
        <is>
          <t>Terry Shayne</t>
        </is>
      </c>
      <c r="B1777" s="7" t="n">
        <v>136</v>
      </c>
      <c r="C1777" s="7" t="n">
        <v>1</v>
      </c>
      <c r="D1777" s="7" t="n">
        <v>0.0074</v>
      </c>
      <c r="E1777" s="7" t="n">
        <v>0.0013</v>
      </c>
      <c r="F1777" s="8" t="inlineStr">
        <is>
          <t>Low</t>
        </is>
      </c>
      <c r="G1777" s="8" t="inlineStr">
        <is>
          <t>Low</t>
        </is>
      </c>
      <c r="H1777">
        <f>IF(F1777=G1777,"YES","NO")</f>
        <v/>
      </c>
    </row>
    <row r="1778">
      <c r="A1778" s="6" t="inlineStr">
        <is>
          <t>Theo Lentsch</t>
        </is>
      </c>
      <c r="B1778" s="7" t="n">
        <v>1</v>
      </c>
      <c r="C1778" s="7" t="n">
        <v>0</v>
      </c>
      <c r="D1778" s="7" t="n">
        <v>0</v>
      </c>
      <c r="E1778" s="7" t="n">
        <v>0</v>
      </c>
      <c r="F1778" s="8" t="inlineStr">
        <is>
          <t>Low</t>
        </is>
      </c>
      <c r="G1778" s="8" t="inlineStr">
        <is>
          <t>Low</t>
        </is>
      </c>
      <c r="H1778">
        <f>IF(F1778=G1778,"YES","NO")</f>
        <v/>
      </c>
    </row>
    <row r="1779">
      <c r="A1779" s="6" t="inlineStr">
        <is>
          <t>Thersia Perry</t>
        </is>
      </c>
      <c r="B1779" s="7" t="n">
        <v>12</v>
      </c>
      <c r="C1779" s="7" t="n">
        <v>0</v>
      </c>
      <c r="D1779" s="7" t="n">
        <v>0</v>
      </c>
      <c r="E1779" s="7" t="n">
        <v>0</v>
      </c>
      <c r="F1779" s="8" t="inlineStr">
        <is>
          <t>Low</t>
        </is>
      </c>
      <c r="G1779" s="8" t="inlineStr">
        <is>
          <t>Low</t>
        </is>
      </c>
      <c r="H1779">
        <f>IF(F1779=G1779,"YES","NO")</f>
        <v/>
      </c>
    </row>
    <row r="1780">
      <c r="A1780" s="6" t="inlineStr">
        <is>
          <t>Thiago Pagotto</t>
        </is>
      </c>
      <c r="B1780" s="7" t="n">
        <v>10</v>
      </c>
      <c r="C1780" s="7" t="n">
        <v>0</v>
      </c>
      <c r="D1780" s="7" t="n">
        <v>0</v>
      </c>
      <c r="E1780" s="7" t="n">
        <v>0</v>
      </c>
      <c r="F1780" s="8" t="inlineStr">
        <is>
          <t>Low</t>
        </is>
      </c>
      <c r="G1780" s="8" t="inlineStr">
        <is>
          <t>Low</t>
        </is>
      </c>
      <c r="H1780">
        <f>IF(F1780=G1780,"YES","NO")</f>
        <v/>
      </c>
    </row>
    <row r="1781">
      <c r="A1781" s="6" t="inlineStr">
        <is>
          <t>Thomas Aldridge</t>
        </is>
      </c>
      <c r="B1781" s="7" t="n">
        <v>7</v>
      </c>
      <c r="C1781" s="7" t="n">
        <v>0</v>
      </c>
      <c r="D1781" s="7" t="n">
        <v>0</v>
      </c>
      <c r="E1781" s="7" t="n">
        <v>0</v>
      </c>
      <c r="F1781" s="8" t="inlineStr">
        <is>
          <t>Low</t>
        </is>
      </c>
      <c r="G1781" s="8" t="inlineStr">
        <is>
          <t>Low</t>
        </is>
      </c>
      <c r="H1781">
        <f>IF(F1781=G1781,"YES","NO")</f>
        <v/>
      </c>
    </row>
    <row r="1782">
      <c r="A1782" s="6" t="inlineStr">
        <is>
          <t>Thomas Baldasare</t>
        </is>
      </c>
      <c r="B1782" s="7" t="n">
        <v>4</v>
      </c>
      <c r="C1782" s="7" t="n">
        <v>0</v>
      </c>
      <c r="D1782" s="7" t="n">
        <v>0</v>
      </c>
      <c r="E1782" s="7" t="n">
        <v>0</v>
      </c>
      <c r="F1782" s="8" t="inlineStr">
        <is>
          <t>Low</t>
        </is>
      </c>
      <c r="G1782" s="8" t="inlineStr">
        <is>
          <t>Low</t>
        </is>
      </c>
      <c r="H1782">
        <f>IF(F1782=G1782,"YES","NO")</f>
        <v/>
      </c>
    </row>
    <row r="1783">
      <c r="A1783" s="6" t="inlineStr">
        <is>
          <t>Thomas Davis</t>
        </is>
      </c>
      <c r="B1783" s="7" t="n">
        <v>44</v>
      </c>
      <c r="C1783" s="7" t="n">
        <v>0</v>
      </c>
      <c r="D1783" s="7" t="n">
        <v>0</v>
      </c>
      <c r="E1783" s="7" t="n">
        <v>0</v>
      </c>
      <c r="F1783" s="8" t="inlineStr">
        <is>
          <t>Low</t>
        </is>
      </c>
      <c r="G1783" s="8" t="inlineStr">
        <is>
          <t>Low</t>
        </is>
      </c>
      <c r="H1783">
        <f>IF(F1783=G1783,"YES","NO")</f>
        <v/>
      </c>
    </row>
    <row r="1784">
      <c r="A1784" s="6" t="inlineStr">
        <is>
          <t>Thomas Erbe</t>
        </is>
      </c>
      <c r="B1784" s="7" t="n">
        <v>224</v>
      </c>
      <c r="C1784" s="7" t="n">
        <v>17</v>
      </c>
      <c r="D1784" s="7" t="n">
        <v>0.0759</v>
      </c>
      <c r="E1784" s="7" t="n">
        <v>0.0479</v>
      </c>
      <c r="F1784" s="8" t="inlineStr">
        <is>
          <t>Low</t>
        </is>
      </c>
      <c r="G1784" s="8" t="inlineStr">
        <is>
          <t>Low</t>
        </is>
      </c>
      <c r="H1784">
        <f>IF(F1784=G1784,"YES","NO")</f>
        <v/>
      </c>
    </row>
    <row r="1785">
      <c r="A1785" s="6" t="inlineStr">
        <is>
          <t>Thomas Kellum</t>
        </is>
      </c>
      <c r="B1785" s="7" t="n">
        <v>134</v>
      </c>
      <c r="C1785" s="7" t="n">
        <v>0</v>
      </c>
      <c r="D1785" s="7" t="n">
        <v>0</v>
      </c>
      <c r="E1785" s="7" t="n">
        <v>0</v>
      </c>
      <c r="F1785" s="8" t="inlineStr">
        <is>
          <t>Low</t>
        </is>
      </c>
      <c r="G1785" s="8" t="inlineStr">
        <is>
          <t>Low</t>
        </is>
      </c>
      <c r="H1785">
        <f>IF(F1785=G1785,"YES","NO")</f>
        <v/>
      </c>
    </row>
    <row r="1786">
      <c r="A1786" s="6" t="inlineStr">
        <is>
          <t>Thomas Messmer</t>
        </is>
      </c>
      <c r="B1786" s="7" t="n">
        <v>29</v>
      </c>
      <c r="C1786" s="7" t="n">
        <v>0</v>
      </c>
      <c r="D1786" s="7" t="n">
        <v>0</v>
      </c>
      <c r="E1786" s="7" t="n">
        <v>0</v>
      </c>
      <c r="F1786" s="8" t="inlineStr">
        <is>
          <t>Low</t>
        </is>
      </c>
      <c r="G1786" s="8" t="inlineStr">
        <is>
          <t>Low</t>
        </is>
      </c>
      <c r="H1786">
        <f>IF(F1786=G1786,"YES","NO")</f>
        <v/>
      </c>
    </row>
    <row r="1787">
      <c r="A1787" s="6" t="inlineStr">
        <is>
          <t>Thomas Woolsey</t>
        </is>
      </c>
      <c r="B1787" s="7" t="n">
        <v>1</v>
      </c>
      <c r="C1787" s="7" t="n">
        <v>0</v>
      </c>
      <c r="D1787" s="7" t="n">
        <v>0</v>
      </c>
      <c r="E1787" s="7" t="n">
        <v>0</v>
      </c>
      <c r="F1787" s="8" t="inlineStr">
        <is>
          <t>Low</t>
        </is>
      </c>
      <c r="G1787" s="8" t="inlineStr">
        <is>
          <t>High</t>
        </is>
      </c>
      <c r="H1787">
        <f>IF(F1787=G1787,"YES","NO")</f>
        <v/>
      </c>
    </row>
    <row r="1788">
      <c r="A1788" s="6" t="inlineStr">
        <is>
          <t>Thunder Butler</t>
        </is>
      </c>
      <c r="B1788" s="7" t="n">
        <v>219</v>
      </c>
      <c r="C1788" s="7" t="n">
        <v>8</v>
      </c>
      <c r="D1788" s="7" t="n">
        <v>0.0365</v>
      </c>
      <c r="E1788" s="7" t="n">
        <v>0.0186</v>
      </c>
      <c r="F1788" s="8" t="inlineStr">
        <is>
          <t>Low</t>
        </is>
      </c>
      <c r="G1788" s="8" t="inlineStr">
        <is>
          <t>Low</t>
        </is>
      </c>
      <c r="H1788">
        <f>IF(F1788=G1788,"YES","NO")</f>
        <v/>
      </c>
    </row>
    <row r="1789">
      <c r="A1789" s="6" t="inlineStr">
        <is>
          <t>Tim Cutter</t>
        </is>
      </c>
      <c r="B1789" s="7" t="n">
        <v>10</v>
      </c>
      <c r="C1789" s="7" t="n">
        <v>0</v>
      </c>
      <c r="D1789" s="7" t="n">
        <v>0</v>
      </c>
      <c r="E1789" s="7" t="n">
        <v>0</v>
      </c>
      <c r="F1789" s="8" t="inlineStr">
        <is>
          <t>Low</t>
        </is>
      </c>
      <c r="G1789" s="8" t="inlineStr">
        <is>
          <t>Low</t>
        </is>
      </c>
      <c r="H1789">
        <f>IF(F1789=G1789,"YES","NO")</f>
        <v/>
      </c>
    </row>
    <row r="1790">
      <c r="A1790" s="6" t="inlineStr">
        <is>
          <t>Tim Davenport</t>
        </is>
      </c>
      <c r="B1790" s="7" t="n">
        <v>18</v>
      </c>
      <c r="C1790" s="7" t="n">
        <v>1</v>
      </c>
      <c r="D1790" s="7" t="n">
        <v>0.0556</v>
      </c>
      <c r="E1790" s="7" t="n">
        <v>0.009900000000000001</v>
      </c>
      <c r="F1790" s="8" t="inlineStr">
        <is>
          <t>Low</t>
        </is>
      </c>
      <c r="G1790" s="8" t="inlineStr">
        <is>
          <t>Low</t>
        </is>
      </c>
      <c r="H1790">
        <f>IF(F1790=G1790,"YES","NO")</f>
        <v/>
      </c>
    </row>
    <row r="1791">
      <c r="A1791" s="6" t="inlineStr">
        <is>
          <t>Tim Dempsey</t>
        </is>
      </c>
      <c r="B1791" s="7" t="n">
        <v>86</v>
      </c>
      <c r="C1791" s="7" t="n">
        <v>6</v>
      </c>
      <c r="D1791" s="7" t="n">
        <v>0.0698</v>
      </c>
      <c r="E1791" s="7" t="n">
        <v>0.0324</v>
      </c>
      <c r="F1791" s="8" t="inlineStr">
        <is>
          <t>Low</t>
        </is>
      </c>
      <c r="G1791" s="8" t="inlineStr">
        <is>
          <t>Low</t>
        </is>
      </c>
      <c r="H1791">
        <f>IF(F1791=G1791,"YES","NO")</f>
        <v/>
      </c>
    </row>
    <row r="1792">
      <c r="A1792" s="6" t="inlineStr">
        <is>
          <t>Tim Groat</t>
        </is>
      </c>
      <c r="B1792" s="7" t="n">
        <v>13</v>
      </c>
      <c r="C1792" s="7" t="n">
        <v>0</v>
      </c>
      <c r="D1792" s="7" t="n">
        <v>0</v>
      </c>
      <c r="E1792" s="7" t="n">
        <v>0</v>
      </c>
      <c r="F1792" s="8" t="inlineStr">
        <is>
          <t>Low</t>
        </is>
      </c>
      <c r="G1792" s="8" t="inlineStr">
        <is>
          <t>Low</t>
        </is>
      </c>
      <c r="H1792">
        <f>IF(F1792=G1792,"YES","NO")</f>
        <v/>
      </c>
    </row>
    <row r="1793">
      <c r="A1793" s="6" t="inlineStr">
        <is>
          <t>Tim Jungels</t>
        </is>
      </c>
      <c r="B1793" s="7" t="n">
        <v>48</v>
      </c>
      <c r="C1793" s="7" t="n">
        <v>0</v>
      </c>
      <c r="D1793" s="7" t="n">
        <v>0</v>
      </c>
      <c r="E1793" s="7" t="n">
        <v>0</v>
      </c>
      <c r="F1793" s="8" t="inlineStr">
        <is>
          <t>Low</t>
        </is>
      </c>
      <c r="G1793" s="8" t="inlineStr">
        <is>
          <t>High</t>
        </is>
      </c>
      <c r="H1793">
        <f>IF(F1793=G1793,"YES","NO")</f>
        <v/>
      </c>
    </row>
    <row r="1794">
      <c r="A1794" s="6" t="inlineStr">
        <is>
          <t>Tim Seeley, Jr.</t>
        </is>
      </c>
      <c r="B1794" s="7" t="n">
        <v>405</v>
      </c>
      <c r="C1794" s="7" t="n">
        <v>4</v>
      </c>
      <c r="D1794" s="7" t="n">
        <v>0.009900000000000001</v>
      </c>
      <c r="E1794" s="7" t="n">
        <v>0.0038</v>
      </c>
      <c r="F1794" s="8" t="inlineStr">
        <is>
          <t>Low</t>
        </is>
      </c>
      <c r="G1794" s="8" t="inlineStr">
        <is>
          <t>Low</t>
        </is>
      </c>
      <c r="H1794">
        <f>IF(F1794=G1794,"YES","NO")</f>
        <v/>
      </c>
    </row>
    <row r="1795">
      <c r="A1795" s="6" t="inlineStr">
        <is>
          <t>Tim Trent</t>
        </is>
      </c>
      <c r="B1795" s="7" t="n">
        <v>6</v>
      </c>
      <c r="C1795" s="7" t="n">
        <v>0</v>
      </c>
      <c r="D1795" s="7" t="n">
        <v>0</v>
      </c>
      <c r="E1795" s="7" t="n">
        <v>0</v>
      </c>
      <c r="F1795" s="8" t="inlineStr">
        <is>
          <t>Low</t>
        </is>
      </c>
      <c r="G1795" s="8" t="inlineStr">
        <is>
          <t>Low</t>
        </is>
      </c>
      <c r="H1795">
        <f>IF(F1795=G1795,"YES","NO")</f>
        <v/>
      </c>
    </row>
    <row r="1796">
      <c r="A1796" s="6" t="inlineStr">
        <is>
          <t>Tim Weaver</t>
        </is>
      </c>
      <c r="B1796" s="7" t="n">
        <v>219</v>
      </c>
      <c r="C1796" s="7" t="n">
        <v>3</v>
      </c>
      <c r="D1796" s="7" t="n">
        <v>0.0137</v>
      </c>
      <c r="E1796" s="7" t="n">
        <v>0.0047</v>
      </c>
      <c r="F1796" s="8" t="inlineStr">
        <is>
          <t>Low</t>
        </is>
      </c>
      <c r="G1796" s="8" t="inlineStr">
        <is>
          <t>Low</t>
        </is>
      </c>
      <c r="H1796">
        <f>IF(F1796=G1796,"YES","NO")</f>
        <v/>
      </c>
    </row>
    <row r="1797">
      <c r="A1797" s="6" t="inlineStr">
        <is>
          <t>Timothy Mikityuk</t>
        </is>
      </c>
      <c r="B1797" s="7" t="n">
        <v>12</v>
      </c>
      <c r="C1797" s="7" t="n">
        <v>0</v>
      </c>
      <c r="D1797" s="7" t="n">
        <v>0</v>
      </c>
      <c r="E1797" s="7" t="n">
        <v>0</v>
      </c>
      <c r="F1797" s="8" t="inlineStr">
        <is>
          <t>Low</t>
        </is>
      </c>
      <c r="G1797" s="8" t="inlineStr">
        <is>
          <t>Low</t>
        </is>
      </c>
      <c r="H1797">
        <f>IF(F1797=G1797,"YES","NO")</f>
        <v/>
      </c>
    </row>
    <row r="1798">
      <c r="A1798" s="6" t="inlineStr">
        <is>
          <t>Tina Cornett</t>
        </is>
      </c>
      <c r="B1798" s="7" t="n">
        <v>44</v>
      </c>
      <c r="C1798" s="7" t="n">
        <v>6</v>
      </c>
      <c r="D1798" s="7" t="n">
        <v>0.1364</v>
      </c>
      <c r="E1798" s="7" t="n">
        <v>0.064</v>
      </c>
      <c r="F1798" s="8" t="inlineStr">
        <is>
          <t>Low</t>
        </is>
      </c>
      <c r="G1798" s="8" t="inlineStr">
        <is>
          <t>High</t>
        </is>
      </c>
      <c r="H1798">
        <f>IF(F1798=G1798,"YES","NO")</f>
        <v/>
      </c>
    </row>
    <row r="1799">
      <c r="A1799" s="6" t="inlineStr">
        <is>
          <t>Tina Thomas</t>
        </is>
      </c>
      <c r="B1799" s="7" t="n">
        <v>7</v>
      </c>
      <c r="C1799" s="7" t="n">
        <v>0</v>
      </c>
      <c r="D1799" s="7" t="n">
        <v>0</v>
      </c>
      <c r="E1799" s="7" t="n">
        <v>0</v>
      </c>
      <c r="F1799" s="8" t="inlineStr">
        <is>
          <t>Low</t>
        </is>
      </c>
      <c r="G1799" s="8" t="inlineStr">
        <is>
          <t>Low</t>
        </is>
      </c>
      <c r="H1799">
        <f>IF(F1799=G1799,"YES","NO")</f>
        <v/>
      </c>
    </row>
    <row r="1800">
      <c r="A1800" s="6" t="inlineStr">
        <is>
          <t>Todd Brown</t>
        </is>
      </c>
      <c r="B1800" s="7" t="n">
        <v>11</v>
      </c>
      <c r="C1800" s="7" t="n">
        <v>0</v>
      </c>
      <c r="D1800" s="7" t="n">
        <v>0</v>
      </c>
      <c r="E1800" s="7" t="n">
        <v>0</v>
      </c>
      <c r="F1800" s="8" t="inlineStr">
        <is>
          <t>Low</t>
        </is>
      </c>
      <c r="G1800" s="8" t="inlineStr">
        <is>
          <t>Low</t>
        </is>
      </c>
      <c r="H1800">
        <f>IF(F1800=G1800,"YES","NO")</f>
        <v/>
      </c>
    </row>
    <row r="1801">
      <c r="A1801" s="6" t="inlineStr">
        <is>
          <t>Todd Chauvin</t>
        </is>
      </c>
      <c r="B1801" s="7" t="n">
        <v>9</v>
      </c>
      <c r="C1801" s="7" t="n">
        <v>1</v>
      </c>
      <c r="D1801" s="7" t="n">
        <v>0.1111</v>
      </c>
      <c r="E1801" s="7" t="n">
        <v>0.0199</v>
      </c>
      <c r="F1801" s="8" t="inlineStr">
        <is>
          <t>Low</t>
        </is>
      </c>
      <c r="G1801" s="8" t="inlineStr">
        <is>
          <t>Low</t>
        </is>
      </c>
      <c r="H1801">
        <f>IF(F1801=G1801,"YES","NO")</f>
        <v/>
      </c>
    </row>
    <row r="1802">
      <c r="A1802" s="6" t="inlineStr">
        <is>
          <t>Todd Culbertson</t>
        </is>
      </c>
      <c r="B1802" s="7" t="n">
        <v>1</v>
      </c>
      <c r="C1802" s="7" t="n">
        <v>0</v>
      </c>
      <c r="D1802" s="7" t="n">
        <v>0</v>
      </c>
      <c r="E1802" s="7" t="n">
        <v>0</v>
      </c>
      <c r="F1802" s="8" t="inlineStr">
        <is>
          <t>Low</t>
        </is>
      </c>
      <c r="G1802" s="8" t="inlineStr">
        <is>
          <t>High</t>
        </is>
      </c>
      <c r="H1802">
        <f>IF(F1802=G1802,"YES","NO")</f>
        <v/>
      </c>
    </row>
    <row r="1803">
      <c r="A1803" s="6" t="inlineStr">
        <is>
          <t>Todd Kress</t>
        </is>
      </c>
      <c r="B1803" s="7" t="n">
        <v>3</v>
      </c>
      <c r="C1803" s="7" t="n">
        <v>0</v>
      </c>
      <c r="D1803" s="7" t="n">
        <v>0</v>
      </c>
      <c r="E1803" s="7" t="n">
        <v>0</v>
      </c>
      <c r="F1803" s="8" t="inlineStr">
        <is>
          <t>Low</t>
        </is>
      </c>
      <c r="G1803" s="8" t="inlineStr">
        <is>
          <t>Low</t>
        </is>
      </c>
      <c r="H1803">
        <f>IF(F1803=G1803,"YES","NO")</f>
        <v/>
      </c>
    </row>
    <row r="1804">
      <c r="A1804" s="6" t="inlineStr">
        <is>
          <t>Todd Kudrna</t>
        </is>
      </c>
      <c r="B1804" s="7" t="n">
        <v>297</v>
      </c>
      <c r="C1804" s="7" t="n">
        <v>3</v>
      </c>
      <c r="D1804" s="7" t="n">
        <v>0.0101</v>
      </c>
      <c r="E1804" s="7" t="n">
        <v>0.0034</v>
      </c>
      <c r="F1804" s="8" t="inlineStr">
        <is>
          <t>Low</t>
        </is>
      </c>
      <c r="G1804" s="8" t="inlineStr">
        <is>
          <t>Low</t>
        </is>
      </c>
      <c r="H1804">
        <f>IF(F1804=G1804,"YES","NO")</f>
        <v/>
      </c>
    </row>
    <row r="1805">
      <c r="A1805" s="6" t="inlineStr">
        <is>
          <t>Todd Leonard</t>
        </is>
      </c>
      <c r="B1805" s="7" t="n">
        <v>10</v>
      </c>
      <c r="C1805" s="7" t="n">
        <v>0</v>
      </c>
      <c r="D1805" s="7" t="n">
        <v>0</v>
      </c>
      <c r="E1805" s="7" t="n">
        <v>0</v>
      </c>
      <c r="F1805" s="8" t="inlineStr">
        <is>
          <t>Low</t>
        </is>
      </c>
      <c r="G1805" s="8" t="inlineStr">
        <is>
          <t>Low</t>
        </is>
      </c>
      <c r="H1805">
        <f>IF(F1805=G1805,"YES","NO")</f>
        <v/>
      </c>
    </row>
    <row r="1806">
      <c r="A1806" s="6" t="inlineStr">
        <is>
          <t>Tollece Al-Aziz</t>
        </is>
      </c>
      <c r="B1806" s="7" t="n">
        <v>9</v>
      </c>
      <c r="C1806" s="7" t="n">
        <v>0</v>
      </c>
      <c r="D1806" s="7" t="n">
        <v>0</v>
      </c>
      <c r="E1806" s="7" t="n">
        <v>0</v>
      </c>
      <c r="F1806" s="8" t="inlineStr">
        <is>
          <t>Low</t>
        </is>
      </c>
      <c r="G1806" s="8" t="inlineStr">
        <is>
          <t>Low</t>
        </is>
      </c>
      <c r="H1806">
        <f>IF(F1806=G1806,"YES","NO")</f>
        <v/>
      </c>
    </row>
    <row r="1807">
      <c r="A1807" s="6" t="inlineStr">
        <is>
          <t>Tom Flahaven</t>
        </is>
      </c>
      <c r="B1807" s="7" t="n">
        <v>1</v>
      </c>
      <c r="C1807" s="7" t="n">
        <v>0</v>
      </c>
      <c r="D1807" s="7" t="n">
        <v>0</v>
      </c>
      <c r="E1807" s="7" t="n">
        <v>0</v>
      </c>
      <c r="F1807" s="8" t="inlineStr">
        <is>
          <t>Low</t>
        </is>
      </c>
      <c r="G1807" s="8" t="inlineStr">
        <is>
          <t>High</t>
        </is>
      </c>
      <c r="H1807">
        <f>IF(F1807=G1807,"YES","NO")</f>
        <v/>
      </c>
    </row>
    <row r="1808">
      <c r="A1808" s="6" t="inlineStr">
        <is>
          <t>Tom Lajeunesse</t>
        </is>
      </c>
      <c r="B1808" s="7" t="n">
        <v>80</v>
      </c>
      <c r="C1808" s="7" t="n">
        <v>1</v>
      </c>
      <c r="D1808" s="7" t="n">
        <v>0.0125</v>
      </c>
      <c r="E1808" s="7" t="n">
        <v>0.0022</v>
      </c>
      <c r="F1808" s="8" t="inlineStr">
        <is>
          <t>Low</t>
        </is>
      </c>
      <c r="G1808" s="8" t="inlineStr">
        <is>
          <t>High</t>
        </is>
      </c>
      <c r="H1808">
        <f>IF(F1808=G1808,"YES","NO")</f>
        <v/>
      </c>
    </row>
    <row r="1809">
      <c r="A1809" s="6" t="inlineStr">
        <is>
          <t>Tom Locatelli</t>
        </is>
      </c>
      <c r="B1809" s="7" t="n">
        <v>9</v>
      </c>
      <c r="C1809" s="7" t="n">
        <v>0</v>
      </c>
      <c r="D1809" s="7" t="n">
        <v>0</v>
      </c>
      <c r="E1809" s="7" t="n">
        <v>0</v>
      </c>
      <c r="F1809" s="8" t="inlineStr">
        <is>
          <t>Low</t>
        </is>
      </c>
      <c r="G1809" s="8" t="inlineStr">
        <is>
          <t>Low</t>
        </is>
      </c>
      <c r="H1809">
        <f>IF(F1809=G1809,"YES","NO")</f>
        <v/>
      </c>
    </row>
    <row r="1810">
      <c r="A1810" s="6" t="inlineStr">
        <is>
          <t>Tom Morris</t>
        </is>
      </c>
      <c r="B1810" s="7" t="n">
        <v>57</v>
      </c>
      <c r="C1810" s="7" t="n">
        <v>2</v>
      </c>
      <c r="D1810" s="7" t="n">
        <v>0.0351</v>
      </c>
      <c r="E1810" s="7" t="n">
        <v>0.0097</v>
      </c>
      <c r="F1810" s="8" t="inlineStr">
        <is>
          <t>Low</t>
        </is>
      </c>
      <c r="G1810" s="8" t="inlineStr">
        <is>
          <t>Low</t>
        </is>
      </c>
      <c r="H1810">
        <f>IF(F1810=G1810,"YES","NO")</f>
        <v/>
      </c>
    </row>
    <row r="1811">
      <c r="A1811" s="6" t="inlineStr">
        <is>
          <t>Tom Ouellette</t>
        </is>
      </c>
      <c r="B1811" s="7" t="n">
        <v>4</v>
      </c>
      <c r="C1811" s="7" t="n">
        <v>0</v>
      </c>
      <c r="D1811" s="7" t="n">
        <v>0</v>
      </c>
      <c r="E1811" s="7" t="n">
        <v>0</v>
      </c>
      <c r="F1811" s="8" t="inlineStr">
        <is>
          <t>Low</t>
        </is>
      </c>
      <c r="G1811" s="8" t="inlineStr">
        <is>
          <t>Low</t>
        </is>
      </c>
      <c r="H1811">
        <f>IF(F1811=G1811,"YES","NO")</f>
        <v/>
      </c>
    </row>
    <row r="1812">
      <c r="A1812" s="6" t="inlineStr">
        <is>
          <t>Tom Skeels</t>
        </is>
      </c>
      <c r="B1812" s="7" t="n">
        <v>2</v>
      </c>
      <c r="C1812" s="7" t="n">
        <v>0</v>
      </c>
      <c r="D1812" s="7" t="n">
        <v>0</v>
      </c>
      <c r="E1812" s="7" t="n">
        <v>0</v>
      </c>
      <c r="F1812" s="8" t="inlineStr">
        <is>
          <t>Low</t>
        </is>
      </c>
      <c r="G1812" s="8" t="inlineStr">
        <is>
          <t>Low</t>
        </is>
      </c>
      <c r="H1812">
        <f>IF(F1812=G1812,"YES","NO")</f>
        <v/>
      </c>
    </row>
    <row r="1813">
      <c r="A1813" s="6" t="inlineStr">
        <is>
          <t>Tommy Donelson</t>
        </is>
      </c>
      <c r="B1813" s="7" t="n">
        <v>1</v>
      </c>
      <c r="C1813" s="7" t="n">
        <v>0</v>
      </c>
      <c r="D1813" s="7" t="n">
        <v>0</v>
      </c>
      <c r="E1813" s="7" t="n">
        <v>0</v>
      </c>
      <c r="F1813" s="8" t="inlineStr">
        <is>
          <t>Low</t>
        </is>
      </c>
      <c r="G1813" s="8" t="inlineStr">
        <is>
          <t>Low</t>
        </is>
      </c>
      <c r="H1813">
        <f>IF(F1813=G1813,"YES","NO")</f>
        <v/>
      </c>
    </row>
    <row r="1814">
      <c r="A1814" s="6" t="inlineStr">
        <is>
          <t>Tommy Haislip</t>
        </is>
      </c>
      <c r="B1814" s="7" t="n">
        <v>35</v>
      </c>
      <c r="C1814" s="7" t="n">
        <v>0</v>
      </c>
      <c r="D1814" s="7" t="n">
        <v>0</v>
      </c>
      <c r="E1814" s="7" t="n">
        <v>0</v>
      </c>
      <c r="F1814" s="8" t="inlineStr">
        <is>
          <t>Low</t>
        </is>
      </c>
      <c r="G1814" s="8" t="inlineStr">
        <is>
          <t>Low</t>
        </is>
      </c>
      <c r="H1814">
        <f>IF(F1814=G1814,"YES","NO")</f>
        <v/>
      </c>
    </row>
    <row r="1815">
      <c r="A1815" s="6" t="inlineStr">
        <is>
          <t>Tommy Kelly</t>
        </is>
      </c>
      <c r="B1815" s="7" t="n">
        <v>64</v>
      </c>
      <c r="C1815" s="7" t="n">
        <v>2</v>
      </c>
      <c r="D1815" s="7" t="n">
        <v>0.0312</v>
      </c>
      <c r="E1815" s="7" t="n">
        <v>0.0086</v>
      </c>
      <c r="F1815" s="8" t="inlineStr">
        <is>
          <t>Low</t>
        </is>
      </c>
      <c r="G1815" s="8" t="inlineStr">
        <is>
          <t>Low</t>
        </is>
      </c>
      <c r="H1815">
        <f>IF(F1815=G1815,"YES","NO")</f>
        <v/>
      </c>
    </row>
    <row r="1816">
      <c r="A1816" s="6" t="inlineStr">
        <is>
          <t>Toni Dickenson</t>
        </is>
      </c>
      <c r="B1816" s="7" t="n">
        <v>2</v>
      </c>
      <c r="C1816" s="7" t="n">
        <v>0</v>
      </c>
      <c r="D1816" s="7" t="n">
        <v>0</v>
      </c>
      <c r="E1816" s="7" t="n">
        <v>0</v>
      </c>
      <c r="F1816" s="8" t="inlineStr">
        <is>
          <t>Low</t>
        </is>
      </c>
      <c r="G1816" s="8" t="inlineStr">
        <is>
          <t>Low</t>
        </is>
      </c>
      <c r="H1816">
        <f>IF(F1816=G1816,"YES","NO")</f>
        <v/>
      </c>
    </row>
    <row r="1817">
      <c r="A1817" s="6" t="inlineStr">
        <is>
          <t>Tony Floyd</t>
        </is>
      </c>
      <c r="B1817" s="7" t="n">
        <v>2</v>
      </c>
      <c r="C1817" s="7" t="n">
        <v>0</v>
      </c>
      <c r="D1817" s="7" t="n">
        <v>0</v>
      </c>
      <c r="E1817" s="7" t="n">
        <v>0</v>
      </c>
      <c r="F1817" s="8" t="inlineStr">
        <is>
          <t>Low</t>
        </is>
      </c>
      <c r="G1817" s="8" t="inlineStr">
        <is>
          <t>Low</t>
        </is>
      </c>
      <c r="H1817">
        <f>IF(F1817=G1817,"YES","NO")</f>
        <v/>
      </c>
    </row>
    <row r="1818">
      <c r="A1818" s="6" t="inlineStr">
        <is>
          <t>Tony Grigoryan</t>
        </is>
      </c>
      <c r="B1818" s="7" t="n">
        <v>34</v>
      </c>
      <c r="C1818" s="7" t="n">
        <v>6</v>
      </c>
      <c r="D1818" s="7" t="n">
        <v>0.1765</v>
      </c>
      <c r="E1818" s="7" t="n">
        <v>0.0835</v>
      </c>
      <c r="F1818" s="8" t="inlineStr">
        <is>
          <t>Low</t>
        </is>
      </c>
      <c r="G1818" s="8" t="inlineStr">
        <is>
          <t>Medium</t>
        </is>
      </c>
      <c r="H1818">
        <f>IF(F1818=G1818,"YES","NO")</f>
        <v/>
      </c>
    </row>
    <row r="1819">
      <c r="A1819" s="6" t="inlineStr">
        <is>
          <t>Tony Simeone</t>
        </is>
      </c>
      <c r="B1819" s="7" t="n">
        <v>128</v>
      </c>
      <c r="C1819" s="7" t="n">
        <v>12</v>
      </c>
      <c r="D1819" s="7" t="n">
        <v>0.09379999999999999</v>
      </c>
      <c r="E1819" s="7" t="n">
        <v>0.0544</v>
      </c>
      <c r="F1819" s="8" t="inlineStr">
        <is>
          <t>Low</t>
        </is>
      </c>
      <c r="G1819" s="8" t="inlineStr">
        <is>
          <t>Low</t>
        </is>
      </c>
      <c r="H1819">
        <f>IF(F1819=G1819,"YES","NO")</f>
        <v/>
      </c>
    </row>
    <row r="1820">
      <c r="A1820" s="6" t="inlineStr">
        <is>
          <t>Tonya Vera</t>
        </is>
      </c>
      <c r="B1820" s="7" t="n">
        <v>108</v>
      </c>
      <c r="C1820" s="7" t="n">
        <v>1</v>
      </c>
      <c r="D1820" s="7" t="n">
        <v>0.009299999999999999</v>
      </c>
      <c r="E1820" s="7" t="n">
        <v>0.0016</v>
      </c>
      <c r="F1820" s="8" t="inlineStr">
        <is>
          <t>Low</t>
        </is>
      </c>
      <c r="G1820" s="8" t="inlineStr">
        <is>
          <t>Low</t>
        </is>
      </c>
      <c r="H1820">
        <f>IF(F1820=G1820,"YES","NO")</f>
        <v/>
      </c>
    </row>
    <row r="1821">
      <c r="A1821" s="6" t="inlineStr">
        <is>
          <t>Travis Barry</t>
        </is>
      </c>
      <c r="B1821" s="7" t="n">
        <v>14</v>
      </c>
      <c r="C1821" s="7" t="n">
        <v>0</v>
      </c>
      <c r="D1821" s="7" t="n">
        <v>0</v>
      </c>
      <c r="E1821" s="7" t="n">
        <v>0</v>
      </c>
      <c r="F1821" s="8" t="inlineStr">
        <is>
          <t>Low</t>
        </is>
      </c>
      <c r="G1821" s="8" t="inlineStr">
        <is>
          <t>Low</t>
        </is>
      </c>
      <c r="H1821">
        <f>IF(F1821=G1821,"YES","NO")</f>
        <v/>
      </c>
    </row>
    <row r="1822">
      <c r="A1822" s="6" t="inlineStr">
        <is>
          <t>Travis Brigham</t>
        </is>
      </c>
      <c r="B1822" s="7" t="n">
        <v>1</v>
      </c>
      <c r="C1822" s="7" t="n">
        <v>0</v>
      </c>
      <c r="D1822" s="7" t="n">
        <v>0</v>
      </c>
      <c r="E1822" s="7" t="n">
        <v>0</v>
      </c>
      <c r="F1822" s="8" t="inlineStr">
        <is>
          <t>Low</t>
        </is>
      </c>
      <c r="G1822" s="8" t="inlineStr">
        <is>
          <t>Low</t>
        </is>
      </c>
      <c r="H1822">
        <f>IF(F1822=G1822,"YES","NO")</f>
        <v/>
      </c>
    </row>
    <row r="1823">
      <c r="A1823" s="6" t="inlineStr">
        <is>
          <t>Travis Davis</t>
        </is>
      </c>
      <c r="B1823" s="7" t="n">
        <v>1</v>
      </c>
      <c r="C1823" s="7" t="n">
        <v>0</v>
      </c>
      <c r="D1823" s="7" t="n">
        <v>0</v>
      </c>
      <c r="E1823" s="7" t="n">
        <v>0</v>
      </c>
      <c r="F1823" s="8" t="inlineStr">
        <is>
          <t>Low</t>
        </is>
      </c>
      <c r="G1823" s="8" t="inlineStr">
        <is>
          <t>Low</t>
        </is>
      </c>
      <c r="H1823">
        <f>IF(F1823=G1823,"YES","NO")</f>
        <v/>
      </c>
    </row>
    <row r="1824">
      <c r="A1824" s="6" t="inlineStr">
        <is>
          <t>Travis Link</t>
        </is>
      </c>
      <c r="B1824" s="7" t="n">
        <v>596</v>
      </c>
      <c r="C1824" s="7" t="n">
        <v>2</v>
      </c>
      <c r="D1824" s="7" t="n">
        <v>0.0034</v>
      </c>
      <c r="E1824" s="7" t="n">
        <v>0.0009</v>
      </c>
      <c r="F1824" s="8" t="inlineStr">
        <is>
          <t>Low</t>
        </is>
      </c>
      <c r="G1824" s="8" t="inlineStr">
        <is>
          <t>Low</t>
        </is>
      </c>
      <c r="H1824">
        <f>IF(F1824=G1824,"YES","NO")</f>
        <v/>
      </c>
    </row>
    <row r="1825">
      <c r="A1825" s="6" t="inlineStr">
        <is>
          <t>Travis Lloyd</t>
        </is>
      </c>
      <c r="B1825" s="7" t="n">
        <v>135</v>
      </c>
      <c r="C1825" s="7" t="n">
        <v>2</v>
      </c>
      <c r="D1825" s="7" t="n">
        <v>0.0148</v>
      </c>
      <c r="E1825" s="7" t="n">
        <v>0.0041</v>
      </c>
      <c r="F1825" s="8" t="inlineStr">
        <is>
          <t>Low</t>
        </is>
      </c>
      <c r="G1825" s="8" t="inlineStr">
        <is>
          <t>Low</t>
        </is>
      </c>
      <c r="H1825">
        <f>IF(F1825=G1825,"YES","NO")</f>
        <v/>
      </c>
    </row>
    <row r="1826">
      <c r="A1826" s="6" t="inlineStr">
        <is>
          <t>Travis Ockey</t>
        </is>
      </c>
      <c r="B1826" s="7" t="n">
        <v>1</v>
      </c>
      <c r="C1826" s="7" t="n">
        <v>0</v>
      </c>
      <c r="D1826" s="7" t="n">
        <v>0</v>
      </c>
      <c r="E1826" s="7" t="n">
        <v>0</v>
      </c>
      <c r="F1826" s="8" t="inlineStr">
        <is>
          <t>Low</t>
        </is>
      </c>
      <c r="G1826" s="8" t="inlineStr">
        <is>
          <t>Low</t>
        </is>
      </c>
      <c r="H1826">
        <f>IF(F1826=G1826,"YES","NO")</f>
        <v/>
      </c>
    </row>
    <row r="1827">
      <c r="A1827" s="6" t="inlineStr">
        <is>
          <t>Travis Tate</t>
        </is>
      </c>
      <c r="B1827" s="7" t="n">
        <v>7</v>
      </c>
      <c r="C1827" s="7" t="n">
        <v>0</v>
      </c>
      <c r="D1827" s="7" t="n">
        <v>0</v>
      </c>
      <c r="E1827" s="7" t="n">
        <v>0</v>
      </c>
      <c r="F1827" s="8" t="inlineStr">
        <is>
          <t>Low</t>
        </is>
      </c>
      <c r="G1827" s="8" t="inlineStr">
        <is>
          <t>Low</t>
        </is>
      </c>
      <c r="H1827">
        <f>IF(F1827=G1827,"YES","NO")</f>
        <v/>
      </c>
    </row>
    <row r="1828">
      <c r="A1828" s="6" t="inlineStr">
        <is>
          <t>Travis Weiss</t>
        </is>
      </c>
      <c r="B1828" s="7" t="n">
        <v>2</v>
      </c>
      <c r="C1828" s="7" t="n">
        <v>0</v>
      </c>
      <c r="D1828" s="7" t="n">
        <v>0</v>
      </c>
      <c r="E1828" s="7" t="n">
        <v>0</v>
      </c>
      <c r="F1828" s="8" t="inlineStr">
        <is>
          <t>Low</t>
        </is>
      </c>
      <c r="G1828" s="8" t="inlineStr">
        <is>
          <t>Low</t>
        </is>
      </c>
      <c r="H1828">
        <f>IF(F1828=G1828,"YES","NO")</f>
        <v/>
      </c>
    </row>
    <row r="1829">
      <c r="A1829" s="6" t="inlineStr">
        <is>
          <t>Tre Watson</t>
        </is>
      </c>
      <c r="B1829" s="7" t="n">
        <v>12</v>
      </c>
      <c r="C1829" s="7" t="n">
        <v>2</v>
      </c>
      <c r="D1829" s="7" t="n">
        <v>0.1667</v>
      </c>
      <c r="E1829" s="7" t="n">
        <v>0.047</v>
      </c>
      <c r="F1829" s="8" t="inlineStr">
        <is>
          <t>Low</t>
        </is>
      </c>
      <c r="G1829" s="8" t="inlineStr">
        <is>
          <t>Medium</t>
        </is>
      </c>
      <c r="H1829">
        <f>IF(F1829=G1829,"YES","NO")</f>
        <v/>
      </c>
    </row>
    <row r="1830">
      <c r="A1830" s="6" t="inlineStr">
        <is>
          <t>Trent Becker</t>
        </is>
      </c>
      <c r="B1830" s="7" t="n">
        <v>5</v>
      </c>
      <c r="C1830" s="7" t="n">
        <v>0</v>
      </c>
      <c r="D1830" s="7" t="n">
        <v>0</v>
      </c>
      <c r="E1830" s="7" t="n">
        <v>0</v>
      </c>
      <c r="F1830" s="8" t="inlineStr">
        <is>
          <t>Low</t>
        </is>
      </c>
      <c r="G1830" s="8" t="inlineStr">
        <is>
          <t>Low</t>
        </is>
      </c>
      <c r="H1830">
        <f>IF(F1830=G1830,"YES","NO")</f>
        <v/>
      </c>
    </row>
    <row r="1831">
      <c r="A1831" s="6" t="inlineStr">
        <is>
          <t>Trent Linden</t>
        </is>
      </c>
      <c r="B1831" s="7" t="n">
        <v>1</v>
      </c>
      <c r="C1831" s="7" t="n">
        <v>0</v>
      </c>
      <c r="D1831" s="7" t="n">
        <v>0</v>
      </c>
      <c r="E1831" s="7" t="n">
        <v>0</v>
      </c>
      <c r="F1831" s="8" t="inlineStr">
        <is>
          <t>Low</t>
        </is>
      </c>
      <c r="G1831" s="8" t="inlineStr">
        <is>
          <t>Low</t>
        </is>
      </c>
      <c r="H1831">
        <f>IF(F1831=G1831,"YES","NO")</f>
        <v/>
      </c>
    </row>
    <row r="1832">
      <c r="A1832" s="6" t="inlineStr">
        <is>
          <t>Trenton Green</t>
        </is>
      </c>
      <c r="B1832" s="7" t="n">
        <v>4</v>
      </c>
      <c r="C1832" s="7" t="n">
        <v>0</v>
      </c>
      <c r="D1832" s="7" t="n">
        <v>0</v>
      </c>
      <c r="E1832" s="7" t="n">
        <v>0</v>
      </c>
      <c r="F1832" s="8" t="inlineStr">
        <is>
          <t>Low</t>
        </is>
      </c>
      <c r="G1832" s="8" t="inlineStr">
        <is>
          <t>Low</t>
        </is>
      </c>
      <c r="H1832">
        <f>IF(F1832=G1832,"YES","NO")</f>
        <v/>
      </c>
    </row>
    <row r="1833">
      <c r="A1833" s="6" t="inlineStr">
        <is>
          <t>Trevor Aviles</t>
        </is>
      </c>
      <c r="B1833" s="7" t="n">
        <v>25</v>
      </c>
      <c r="C1833" s="7" t="n">
        <v>0</v>
      </c>
      <c r="D1833" s="7" t="n">
        <v>0</v>
      </c>
      <c r="E1833" s="7" t="n">
        <v>0</v>
      </c>
      <c r="F1833" s="8" t="inlineStr">
        <is>
          <t>Low</t>
        </is>
      </c>
      <c r="G1833" s="8" t="inlineStr">
        <is>
          <t>Low</t>
        </is>
      </c>
      <c r="H1833">
        <f>IF(F1833=G1833,"YES","NO")</f>
        <v/>
      </c>
    </row>
    <row r="1834">
      <c r="A1834" s="6" t="inlineStr">
        <is>
          <t>Trevor Burchard</t>
        </is>
      </c>
      <c r="B1834" s="7" t="n">
        <v>22</v>
      </c>
      <c r="C1834" s="7" t="n">
        <v>2</v>
      </c>
      <c r="D1834" s="7" t="n">
        <v>0.09089999999999999</v>
      </c>
      <c r="E1834" s="7" t="n">
        <v>0.0253</v>
      </c>
      <c r="F1834" s="8" t="inlineStr">
        <is>
          <t>Low</t>
        </is>
      </c>
      <c r="G1834" s="8" t="inlineStr">
        <is>
          <t>Low</t>
        </is>
      </c>
      <c r="H1834">
        <f>IF(F1834=G1834,"YES","NO")</f>
        <v/>
      </c>
    </row>
    <row r="1835">
      <c r="A1835" s="6" t="inlineStr">
        <is>
          <t>Trevor Clem</t>
        </is>
      </c>
      <c r="B1835" s="7" t="n">
        <v>52</v>
      </c>
      <c r="C1835" s="7" t="n">
        <v>0</v>
      </c>
      <c r="D1835" s="7" t="n">
        <v>0</v>
      </c>
      <c r="E1835" s="7" t="n">
        <v>0</v>
      </c>
      <c r="F1835" s="8" t="inlineStr">
        <is>
          <t>Low</t>
        </is>
      </c>
      <c r="G1835" s="8" t="inlineStr">
        <is>
          <t>Low</t>
        </is>
      </c>
      <c r="H1835">
        <f>IF(F1835=G1835,"YES","NO")</f>
        <v/>
      </c>
    </row>
    <row r="1836">
      <c r="A1836" s="6" t="inlineStr">
        <is>
          <t>Trevor Franklin</t>
        </is>
      </c>
      <c r="B1836" s="7" t="n">
        <v>10</v>
      </c>
      <c r="C1836" s="7" t="n">
        <v>1</v>
      </c>
      <c r="D1836" s="7" t="n">
        <v>0.1</v>
      </c>
      <c r="E1836" s="7" t="n">
        <v>0.0179</v>
      </c>
      <c r="F1836" s="8" t="inlineStr">
        <is>
          <t>Low</t>
        </is>
      </c>
      <c r="G1836" s="8" t="inlineStr">
        <is>
          <t>Low</t>
        </is>
      </c>
      <c r="H1836">
        <f>IF(F1836=G1836,"YES","NO")</f>
        <v/>
      </c>
    </row>
    <row r="1837">
      <c r="A1837" s="6" t="inlineStr">
        <is>
          <t>Trevor Mahnert</t>
        </is>
      </c>
      <c r="B1837" s="7" t="n">
        <v>1</v>
      </c>
      <c r="C1837" s="7" t="n">
        <v>0</v>
      </c>
      <c r="D1837" s="7" t="n">
        <v>0</v>
      </c>
      <c r="E1837" s="7" t="n">
        <v>0</v>
      </c>
      <c r="F1837" s="8" t="inlineStr">
        <is>
          <t>Low</t>
        </is>
      </c>
      <c r="G1837" s="8" t="inlineStr">
        <is>
          <t>Low</t>
        </is>
      </c>
      <c r="H1837">
        <f>IF(F1837=G1837,"YES","NO")</f>
        <v/>
      </c>
    </row>
    <row r="1838">
      <c r="A1838" s="6" t="inlineStr">
        <is>
          <t>Trevor Meyer</t>
        </is>
      </c>
      <c r="B1838" s="7" t="n">
        <v>1</v>
      </c>
      <c r="C1838" s="7" t="n">
        <v>0</v>
      </c>
      <c r="D1838" s="7" t="n">
        <v>0</v>
      </c>
      <c r="E1838" s="7" t="n">
        <v>0</v>
      </c>
      <c r="F1838" s="8" t="inlineStr">
        <is>
          <t>Low</t>
        </is>
      </c>
      <c r="G1838" s="8" t="inlineStr">
        <is>
          <t>Low</t>
        </is>
      </c>
      <c r="H1838">
        <f>IF(F1838=G1838,"YES","NO")</f>
        <v/>
      </c>
    </row>
    <row r="1839">
      <c r="A1839" s="6" t="inlineStr">
        <is>
          <t>Trisha Clair</t>
        </is>
      </c>
      <c r="B1839" s="7" t="n">
        <v>5</v>
      </c>
      <c r="C1839" s="7" t="n">
        <v>0</v>
      </c>
      <c r="D1839" s="7" t="n">
        <v>0</v>
      </c>
      <c r="E1839" s="7" t="n">
        <v>0</v>
      </c>
      <c r="F1839" s="8" t="inlineStr">
        <is>
          <t>Low</t>
        </is>
      </c>
      <c r="G1839" s="8" t="inlineStr">
        <is>
          <t>Low</t>
        </is>
      </c>
      <c r="H1839">
        <f>IF(F1839=G1839,"YES","NO")</f>
        <v/>
      </c>
    </row>
    <row r="1840">
      <c r="A1840" s="6" t="inlineStr">
        <is>
          <t>Troy Baranek</t>
        </is>
      </c>
      <c r="B1840" s="7" t="n">
        <v>9</v>
      </c>
      <c r="C1840" s="7" t="n">
        <v>0</v>
      </c>
      <c r="D1840" s="7" t="n">
        <v>0</v>
      </c>
      <c r="E1840" s="7" t="n">
        <v>0</v>
      </c>
      <c r="F1840" s="8" t="inlineStr">
        <is>
          <t>Low</t>
        </is>
      </c>
      <c r="G1840" s="8" t="inlineStr">
        <is>
          <t>Low</t>
        </is>
      </c>
      <c r="H1840">
        <f>IF(F1840=G1840,"YES","NO")</f>
        <v/>
      </c>
    </row>
    <row r="1841">
      <c r="A1841" s="6" t="inlineStr">
        <is>
          <t>Troy Melerine</t>
        </is>
      </c>
      <c r="B1841" s="7" t="n">
        <v>172</v>
      </c>
      <c r="C1841" s="7" t="n">
        <v>1</v>
      </c>
      <c r="D1841" s="7" t="n">
        <v>0.0058</v>
      </c>
      <c r="E1841" s="7" t="n">
        <v>0.001</v>
      </c>
      <c r="F1841" s="8" t="inlineStr">
        <is>
          <t>Low</t>
        </is>
      </c>
      <c r="G1841" s="8" t="inlineStr">
        <is>
          <t>Low</t>
        </is>
      </c>
      <c r="H1841">
        <f>IF(F1841=G1841,"YES","NO")</f>
        <v/>
      </c>
    </row>
    <row r="1842">
      <c r="A1842" s="6" t="inlineStr">
        <is>
          <t>Troy Sheets</t>
        </is>
      </c>
      <c r="B1842" s="7" t="n">
        <v>6</v>
      </c>
      <c r="C1842" s="7" t="n">
        <v>0</v>
      </c>
      <c r="D1842" s="7" t="n">
        <v>0</v>
      </c>
      <c r="E1842" s="7" t="n">
        <v>0</v>
      </c>
      <c r="F1842" s="8" t="inlineStr">
        <is>
          <t>Low</t>
        </is>
      </c>
      <c r="G1842" s="8" t="inlineStr">
        <is>
          <t>Low</t>
        </is>
      </c>
      <c r="H1842">
        <f>IF(F1842=G1842,"YES","NO")</f>
        <v/>
      </c>
    </row>
    <row r="1843">
      <c r="A1843" s="6" t="inlineStr">
        <is>
          <t>Troy Watson</t>
        </is>
      </c>
      <c r="B1843" s="7" t="n">
        <v>12</v>
      </c>
      <c r="C1843" s="7" t="n">
        <v>1</v>
      </c>
      <c r="D1843" s="7" t="n">
        <v>0.0833</v>
      </c>
      <c r="E1843" s="7" t="n">
        <v>0.0149</v>
      </c>
      <c r="F1843" s="8" t="inlineStr">
        <is>
          <t>Low</t>
        </is>
      </c>
      <c r="G1843" s="8" t="inlineStr">
        <is>
          <t>Low</t>
        </is>
      </c>
      <c r="H1843">
        <f>IF(F1843=G1843,"YES","NO")</f>
        <v/>
      </c>
    </row>
    <row r="1844">
      <c r="A1844" s="6" t="inlineStr">
        <is>
          <t>Tseday Mesfin</t>
        </is>
      </c>
      <c r="B1844" s="7" t="n">
        <v>5</v>
      </c>
      <c r="C1844" s="7" t="n">
        <v>0</v>
      </c>
      <c r="D1844" s="7" t="n">
        <v>0</v>
      </c>
      <c r="E1844" s="7" t="n">
        <v>0</v>
      </c>
      <c r="F1844" s="8" t="inlineStr">
        <is>
          <t>Low</t>
        </is>
      </c>
      <c r="G1844" s="8" t="inlineStr">
        <is>
          <t>Low</t>
        </is>
      </c>
      <c r="H1844">
        <f>IF(F1844=G1844,"YES","NO")</f>
        <v/>
      </c>
    </row>
    <row r="1845">
      <c r="A1845" s="6" t="inlineStr">
        <is>
          <t>Tuesday Miller</t>
        </is>
      </c>
      <c r="B1845" s="7" t="n">
        <v>9</v>
      </c>
      <c r="C1845" s="7" t="n">
        <v>0</v>
      </c>
      <c r="D1845" s="7" t="n">
        <v>0</v>
      </c>
      <c r="E1845" s="7" t="n">
        <v>0</v>
      </c>
      <c r="F1845" s="8" t="inlineStr">
        <is>
          <t>Low</t>
        </is>
      </c>
      <c r="G1845" s="8" t="inlineStr">
        <is>
          <t>High</t>
        </is>
      </c>
      <c r="H1845">
        <f>IF(F1845=G1845,"YES","NO")</f>
        <v/>
      </c>
    </row>
    <row r="1846">
      <c r="A1846" s="6" t="inlineStr">
        <is>
          <t>Ty Dockery</t>
        </is>
      </c>
      <c r="B1846" s="7" t="n">
        <v>1</v>
      </c>
      <c r="C1846" s="7" t="n">
        <v>0</v>
      </c>
      <c r="D1846" s="7" t="n">
        <v>0</v>
      </c>
      <c r="E1846" s="7" t="n">
        <v>0</v>
      </c>
      <c r="F1846" s="8" t="inlineStr">
        <is>
          <t>Low</t>
        </is>
      </c>
      <c r="G1846" s="8" t="inlineStr">
        <is>
          <t>Low</t>
        </is>
      </c>
      <c r="H1846">
        <f>IF(F1846=G1846,"YES","NO")</f>
        <v/>
      </c>
    </row>
    <row r="1847">
      <c r="A1847" s="6" t="inlineStr">
        <is>
          <t>Tyler Bringman</t>
        </is>
      </c>
      <c r="B1847" s="7" t="n">
        <v>9</v>
      </c>
      <c r="C1847" s="7" t="n">
        <v>0</v>
      </c>
      <c r="D1847" s="7" t="n">
        <v>0</v>
      </c>
      <c r="E1847" s="7" t="n">
        <v>0</v>
      </c>
      <c r="F1847" s="8" t="inlineStr">
        <is>
          <t>Low</t>
        </is>
      </c>
      <c r="G1847" s="8" t="inlineStr">
        <is>
          <t>Low</t>
        </is>
      </c>
      <c r="H1847">
        <f>IF(F1847=G1847,"YES","NO")</f>
        <v/>
      </c>
    </row>
    <row r="1848">
      <c r="A1848" s="6" t="inlineStr">
        <is>
          <t>Tyler Carroll</t>
        </is>
      </c>
      <c r="B1848" s="7" t="n">
        <v>70</v>
      </c>
      <c r="C1848" s="7" t="n">
        <v>0</v>
      </c>
      <c r="D1848" s="7" t="n">
        <v>0</v>
      </c>
      <c r="E1848" s="7" t="n">
        <v>0</v>
      </c>
      <c r="F1848" s="8" t="inlineStr">
        <is>
          <t>Low</t>
        </is>
      </c>
      <c r="G1848" s="8" t="inlineStr">
        <is>
          <t>Low</t>
        </is>
      </c>
      <c r="H1848">
        <f>IF(F1848=G1848,"YES","NO")</f>
        <v/>
      </c>
    </row>
    <row r="1849">
      <c r="A1849" s="6" t="inlineStr">
        <is>
          <t>Tyler Dunn</t>
        </is>
      </c>
      <c r="B1849" s="7" t="n">
        <v>49</v>
      </c>
      <c r="C1849" s="7" t="n">
        <v>3</v>
      </c>
      <c r="D1849" s="7" t="n">
        <v>0.0612</v>
      </c>
      <c r="E1849" s="7" t="n">
        <v>0.021</v>
      </c>
      <c r="F1849" s="8" t="inlineStr">
        <is>
          <t>Low</t>
        </is>
      </c>
      <c r="G1849" s="8" t="inlineStr">
        <is>
          <t>Low</t>
        </is>
      </c>
      <c r="H1849">
        <f>IF(F1849=G1849,"YES","NO")</f>
        <v/>
      </c>
    </row>
    <row r="1850">
      <c r="A1850" s="6" t="inlineStr">
        <is>
          <t>Tyler Gobin</t>
        </is>
      </c>
      <c r="B1850" s="7" t="n">
        <v>20</v>
      </c>
      <c r="C1850" s="7" t="n">
        <v>0</v>
      </c>
      <c r="D1850" s="7" t="n">
        <v>0</v>
      </c>
      <c r="E1850" s="7" t="n">
        <v>0</v>
      </c>
      <c r="F1850" s="8" t="inlineStr">
        <is>
          <t>Low</t>
        </is>
      </c>
      <c r="G1850" s="8" t="inlineStr">
        <is>
          <t>Low</t>
        </is>
      </c>
      <c r="H1850">
        <f>IF(F1850=G1850,"YES","NO")</f>
        <v/>
      </c>
    </row>
    <row r="1851">
      <c r="A1851" s="6" t="inlineStr">
        <is>
          <t>Tyler Kelso</t>
        </is>
      </c>
      <c r="B1851" s="7" t="n">
        <v>10</v>
      </c>
      <c r="C1851" s="7" t="n">
        <v>0</v>
      </c>
      <c r="D1851" s="7" t="n">
        <v>0</v>
      </c>
      <c r="E1851" s="7" t="n">
        <v>0</v>
      </c>
      <c r="F1851" s="8" t="inlineStr">
        <is>
          <t>Low</t>
        </is>
      </c>
      <c r="G1851" s="8" t="inlineStr">
        <is>
          <t>Low</t>
        </is>
      </c>
      <c r="H1851">
        <f>IF(F1851=G1851,"YES","NO")</f>
        <v/>
      </c>
    </row>
    <row r="1852">
      <c r="A1852" s="6" t="inlineStr">
        <is>
          <t>Tyler Ritchi</t>
        </is>
      </c>
      <c r="B1852" s="7" t="n">
        <v>1</v>
      </c>
      <c r="C1852" s="7" t="n">
        <v>0</v>
      </c>
      <c r="D1852" s="7" t="n">
        <v>0</v>
      </c>
      <c r="E1852" s="7" t="n">
        <v>0</v>
      </c>
      <c r="F1852" s="8" t="inlineStr">
        <is>
          <t>Low</t>
        </is>
      </c>
      <c r="G1852" s="8" t="inlineStr">
        <is>
          <t>Low</t>
        </is>
      </c>
      <c r="H1852">
        <f>IF(F1852=G1852,"YES","NO")</f>
        <v/>
      </c>
    </row>
    <row r="1853">
      <c r="A1853" s="6" t="inlineStr">
        <is>
          <t>Tyler Snyder</t>
        </is>
      </c>
      <c r="B1853" s="7" t="n">
        <v>7</v>
      </c>
      <c r="C1853" s="7" t="n">
        <v>0</v>
      </c>
      <c r="D1853" s="7" t="n">
        <v>0</v>
      </c>
      <c r="E1853" s="7" t="n">
        <v>0</v>
      </c>
      <c r="F1853" s="8" t="inlineStr">
        <is>
          <t>Low</t>
        </is>
      </c>
      <c r="G1853" s="8" t="inlineStr">
        <is>
          <t>Low</t>
        </is>
      </c>
      <c r="H1853">
        <f>IF(F1853=G1853,"YES","NO")</f>
        <v/>
      </c>
    </row>
    <row r="1854">
      <c r="A1854" s="6" t="inlineStr">
        <is>
          <t>Tyler Sprunger</t>
        </is>
      </c>
      <c r="B1854" s="7" t="n">
        <v>407</v>
      </c>
      <c r="C1854" s="7" t="n">
        <v>20</v>
      </c>
      <c r="D1854" s="7" t="n">
        <v>0.0491</v>
      </c>
      <c r="E1854" s="7" t="n">
        <v>0.032</v>
      </c>
      <c r="F1854" s="8" t="inlineStr">
        <is>
          <t>Low</t>
        </is>
      </c>
      <c r="G1854" s="8" t="inlineStr">
        <is>
          <t>Low</t>
        </is>
      </c>
      <c r="H1854">
        <f>IF(F1854=G1854,"YES","NO")</f>
        <v/>
      </c>
    </row>
    <row r="1855">
      <c r="A1855" s="6" t="inlineStr">
        <is>
          <t>Umang Patel</t>
        </is>
      </c>
      <c r="B1855" s="7" t="n">
        <v>2</v>
      </c>
      <c r="C1855" s="7" t="n">
        <v>0</v>
      </c>
      <c r="D1855" s="7" t="n">
        <v>0</v>
      </c>
      <c r="E1855" s="7" t="n">
        <v>0</v>
      </c>
      <c r="F1855" s="8" t="inlineStr">
        <is>
          <t>Low</t>
        </is>
      </c>
      <c r="G1855" s="8" t="inlineStr">
        <is>
          <t>Low</t>
        </is>
      </c>
      <c r="H1855">
        <f>IF(F1855=G1855,"YES","NO")</f>
        <v/>
      </c>
    </row>
    <row r="1856">
      <c r="A1856" s="6" t="inlineStr">
        <is>
          <t>Van Seretis</t>
        </is>
      </c>
      <c r="B1856" s="7" t="n">
        <v>1</v>
      </c>
      <c r="C1856" s="7" t="n">
        <v>0</v>
      </c>
      <c r="D1856" s="7" t="n">
        <v>0</v>
      </c>
      <c r="E1856" s="7" t="n">
        <v>0</v>
      </c>
      <c r="F1856" s="8" t="inlineStr">
        <is>
          <t>Low</t>
        </is>
      </c>
      <c r="G1856" s="8" t="inlineStr">
        <is>
          <t>Low</t>
        </is>
      </c>
      <c r="H1856">
        <f>IF(F1856=G1856,"YES","NO")</f>
        <v/>
      </c>
    </row>
    <row r="1857">
      <c r="A1857" s="6" t="inlineStr">
        <is>
          <t>Vaughn Coblentz</t>
        </is>
      </c>
      <c r="B1857" s="7" t="n">
        <v>5</v>
      </c>
      <c r="C1857" s="7" t="n">
        <v>1</v>
      </c>
      <c r="D1857" s="7" t="n">
        <v>0.2</v>
      </c>
      <c r="E1857" s="7" t="n">
        <v>0.0362</v>
      </c>
      <c r="F1857" s="8" t="inlineStr">
        <is>
          <t>Low</t>
        </is>
      </c>
      <c r="G1857" s="8" t="inlineStr">
        <is>
          <t>Medium</t>
        </is>
      </c>
      <c r="H1857">
        <f>IF(F1857=G1857,"YES","NO")</f>
        <v/>
      </c>
    </row>
    <row r="1858">
      <c r="A1858" s="6" t="inlineStr">
        <is>
          <t>Vicki Rodriguez</t>
        </is>
      </c>
      <c r="B1858" s="7" t="n">
        <v>170</v>
      </c>
      <c r="C1858" s="7" t="n">
        <v>4</v>
      </c>
      <c r="D1858" s="7" t="n">
        <v>0.0235</v>
      </c>
      <c r="E1858" s="7" t="n">
        <v>0.0092</v>
      </c>
      <c r="F1858" s="8" t="inlineStr">
        <is>
          <t>Low</t>
        </is>
      </c>
      <c r="G1858" s="8" t="inlineStr">
        <is>
          <t>High</t>
        </is>
      </c>
      <c r="H1858">
        <f>IF(F1858=G1858,"YES","NO")</f>
        <v/>
      </c>
    </row>
    <row r="1859">
      <c r="A1859" s="6" t="inlineStr">
        <is>
          <t>Victoria Anderson</t>
        </is>
      </c>
      <c r="B1859" s="7" t="n">
        <v>48</v>
      </c>
      <c r="C1859" s="7" t="n">
        <v>0</v>
      </c>
      <c r="D1859" s="7" t="n">
        <v>0</v>
      </c>
      <c r="E1859" s="7" t="n">
        <v>0</v>
      </c>
      <c r="F1859" s="8" t="inlineStr">
        <is>
          <t>Low</t>
        </is>
      </c>
      <c r="G1859" s="8" t="inlineStr">
        <is>
          <t>Low</t>
        </is>
      </c>
      <c r="H1859">
        <f>IF(F1859=G1859,"YES","NO")</f>
        <v/>
      </c>
    </row>
    <row r="1860">
      <c r="A1860" s="6" t="inlineStr">
        <is>
          <t>Victoria Mitchell</t>
        </is>
      </c>
      <c r="B1860" s="7" t="n">
        <v>5</v>
      </c>
      <c r="C1860" s="7" t="n">
        <v>1</v>
      </c>
      <c r="D1860" s="7" t="n">
        <v>0.2</v>
      </c>
      <c r="E1860" s="7" t="n">
        <v>0.0362</v>
      </c>
      <c r="F1860" s="8" t="inlineStr">
        <is>
          <t>Low</t>
        </is>
      </c>
      <c r="G1860" s="8" t="inlineStr">
        <is>
          <t>Low</t>
        </is>
      </c>
      <c r="H1860">
        <f>IF(F1860=G1860,"YES","NO")</f>
        <v/>
      </c>
    </row>
    <row r="1861">
      <c r="A1861" s="6" t="inlineStr">
        <is>
          <t>Vince Wright</t>
        </is>
      </c>
      <c r="B1861" s="7" t="n">
        <v>40</v>
      </c>
      <c r="C1861" s="7" t="n">
        <v>0</v>
      </c>
      <c r="D1861" s="7" t="n">
        <v>0</v>
      </c>
      <c r="E1861" s="7" t="n">
        <v>0</v>
      </c>
      <c r="F1861" s="8" t="inlineStr">
        <is>
          <t>Low</t>
        </is>
      </c>
      <c r="G1861" s="8" t="inlineStr">
        <is>
          <t>Low</t>
        </is>
      </c>
      <c r="H1861">
        <f>IF(F1861=G1861,"YES","NO")</f>
        <v/>
      </c>
    </row>
    <row r="1862">
      <c r="A1862" s="6" t="inlineStr">
        <is>
          <t>Vincent Volkes</t>
        </is>
      </c>
      <c r="B1862" s="7" t="n">
        <v>9</v>
      </c>
      <c r="C1862" s="7" t="n">
        <v>0</v>
      </c>
      <c r="D1862" s="7" t="n">
        <v>0</v>
      </c>
      <c r="E1862" s="7" t="n">
        <v>0</v>
      </c>
      <c r="F1862" s="8" t="inlineStr">
        <is>
          <t>Low</t>
        </is>
      </c>
      <c r="G1862" s="8" t="inlineStr">
        <is>
          <t>Low</t>
        </is>
      </c>
      <c r="H1862">
        <f>IF(F1862=G1862,"YES","NO")</f>
        <v/>
      </c>
    </row>
    <row r="1863">
      <c r="A1863" s="6" t="inlineStr">
        <is>
          <t>Vito Sala</t>
        </is>
      </c>
      <c r="B1863" s="7" t="n">
        <v>55</v>
      </c>
      <c r="C1863" s="7" t="n">
        <v>0</v>
      </c>
      <c r="D1863" s="7" t="n">
        <v>0</v>
      </c>
      <c r="E1863" s="7" t="n">
        <v>0</v>
      </c>
      <c r="F1863" s="8" t="inlineStr">
        <is>
          <t>Low</t>
        </is>
      </c>
      <c r="G1863" s="8" t="inlineStr">
        <is>
          <t>Low</t>
        </is>
      </c>
      <c r="H1863">
        <f>IF(F1863=G1863,"YES","NO")</f>
        <v/>
      </c>
    </row>
    <row r="1864">
      <c r="A1864" s="6" t="inlineStr">
        <is>
          <t>Walker Allen</t>
        </is>
      </c>
      <c r="B1864" s="7" t="n">
        <v>106</v>
      </c>
      <c r="C1864" s="7" t="n">
        <v>0</v>
      </c>
      <c r="D1864" s="7" t="n">
        <v>0</v>
      </c>
      <c r="E1864" s="7" t="n">
        <v>0</v>
      </c>
      <c r="F1864" s="8" t="inlineStr">
        <is>
          <t>Low</t>
        </is>
      </c>
      <c r="G1864" s="8" t="inlineStr">
        <is>
          <t>Low</t>
        </is>
      </c>
      <c r="H1864">
        <f>IF(F1864=G1864,"YES","NO")</f>
        <v/>
      </c>
    </row>
    <row r="1865">
      <c r="A1865" s="6" t="inlineStr">
        <is>
          <t>Walter Williams</t>
        </is>
      </c>
      <c r="B1865" s="7" t="n">
        <v>3</v>
      </c>
      <c r="C1865" s="7" t="n">
        <v>0</v>
      </c>
      <c r="D1865" s="7" t="n">
        <v>0</v>
      </c>
      <c r="E1865" s="7" t="n">
        <v>0</v>
      </c>
      <c r="F1865" s="8" t="inlineStr">
        <is>
          <t>Low</t>
        </is>
      </c>
      <c r="G1865" s="8" t="inlineStr">
        <is>
          <t>Low</t>
        </is>
      </c>
      <c r="H1865">
        <f>IF(F1865=G1865,"YES","NO")</f>
        <v/>
      </c>
    </row>
    <row r="1866">
      <c r="A1866" s="6" t="inlineStr">
        <is>
          <t>Warren Lascolette</t>
        </is>
      </c>
      <c r="B1866" s="7" t="n">
        <v>5</v>
      </c>
      <c r="C1866" s="7" t="n">
        <v>0</v>
      </c>
      <c r="D1866" s="7" t="n">
        <v>0</v>
      </c>
      <c r="E1866" s="7" t="n">
        <v>0</v>
      </c>
      <c r="F1866" s="8" t="inlineStr">
        <is>
          <t>Low</t>
        </is>
      </c>
      <c r="G1866" s="8" t="inlineStr">
        <is>
          <t>Low</t>
        </is>
      </c>
      <c r="H1866">
        <f>IF(F1866=G1866,"YES","NO")</f>
        <v/>
      </c>
    </row>
    <row r="1867">
      <c r="A1867" s="6" t="inlineStr">
        <is>
          <t>Watson Salvant</t>
        </is>
      </c>
      <c r="B1867" s="7" t="n">
        <v>9</v>
      </c>
      <c r="C1867" s="7" t="n">
        <v>0</v>
      </c>
      <c r="D1867" s="7" t="n">
        <v>0</v>
      </c>
      <c r="E1867" s="7" t="n">
        <v>0</v>
      </c>
      <c r="F1867" s="8" t="inlineStr">
        <is>
          <t>Low</t>
        </is>
      </c>
      <c r="G1867" s="8" t="inlineStr">
        <is>
          <t>Low</t>
        </is>
      </c>
      <c r="H1867">
        <f>IF(F1867=G1867,"YES","NO")</f>
        <v/>
      </c>
    </row>
    <row r="1868">
      <c r="A1868" s="6" t="inlineStr">
        <is>
          <t>Waylon  Karr</t>
        </is>
      </c>
      <c r="B1868" s="7" t="n">
        <v>1</v>
      </c>
      <c r="C1868" s="7" t="n">
        <v>0</v>
      </c>
      <c r="D1868" s="7" t="n">
        <v>0</v>
      </c>
      <c r="E1868" s="7" t="n">
        <v>0</v>
      </c>
      <c r="F1868" s="8" t="inlineStr">
        <is>
          <t>Low</t>
        </is>
      </c>
      <c r="G1868" s="8" t="inlineStr">
        <is>
          <t>Low</t>
        </is>
      </c>
      <c r="H1868">
        <f>IF(F1868=G1868,"YES","NO")</f>
        <v/>
      </c>
    </row>
    <row r="1869">
      <c r="A1869" s="6" t="inlineStr">
        <is>
          <t>Wayne King</t>
        </is>
      </c>
      <c r="B1869" s="7" t="n">
        <v>2</v>
      </c>
      <c r="C1869" s="7" t="n">
        <v>0</v>
      </c>
      <c r="D1869" s="7" t="n">
        <v>0</v>
      </c>
      <c r="E1869" s="7" t="n">
        <v>0</v>
      </c>
      <c r="F1869" s="8" t="inlineStr">
        <is>
          <t>Low</t>
        </is>
      </c>
      <c r="G1869" s="8" t="inlineStr">
        <is>
          <t>Low</t>
        </is>
      </c>
      <c r="H1869">
        <f>IF(F1869=G1869,"YES","NO")</f>
        <v/>
      </c>
    </row>
    <row r="1870">
      <c r="A1870" s="6" t="inlineStr">
        <is>
          <t>Wayne Klima</t>
        </is>
      </c>
      <c r="B1870" s="7" t="n">
        <v>9</v>
      </c>
      <c r="C1870" s="7" t="n">
        <v>0</v>
      </c>
      <c r="D1870" s="7" t="n">
        <v>0</v>
      </c>
      <c r="E1870" s="7" t="n">
        <v>0</v>
      </c>
      <c r="F1870" s="8" t="inlineStr">
        <is>
          <t>Low</t>
        </is>
      </c>
      <c r="G1870" s="8" t="inlineStr">
        <is>
          <t>Low</t>
        </is>
      </c>
      <c r="H1870">
        <f>IF(F1870=G1870,"YES","NO")</f>
        <v/>
      </c>
    </row>
    <row r="1871">
      <c r="A1871" s="6" t="inlineStr">
        <is>
          <t>Wayne Post</t>
        </is>
      </c>
      <c r="B1871" s="7" t="n">
        <v>16</v>
      </c>
      <c r="C1871" s="7" t="n">
        <v>0</v>
      </c>
      <c r="D1871" s="7" t="n">
        <v>0</v>
      </c>
      <c r="E1871" s="7" t="n">
        <v>0</v>
      </c>
      <c r="F1871" s="8" t="inlineStr">
        <is>
          <t>Low</t>
        </is>
      </c>
      <c r="G1871" s="8" t="inlineStr">
        <is>
          <t>Low</t>
        </is>
      </c>
      <c r="H1871">
        <f>IF(F1871=G1871,"YES","NO")</f>
        <v/>
      </c>
    </row>
    <row r="1872">
      <c r="A1872" s="6" t="inlineStr">
        <is>
          <t>Weldon Hall</t>
        </is>
      </c>
      <c r="B1872" s="7" t="n">
        <v>147</v>
      </c>
      <c r="C1872" s="7" t="n">
        <v>1</v>
      </c>
      <c r="D1872" s="7" t="n">
        <v>0.0068</v>
      </c>
      <c r="E1872" s="7" t="n">
        <v>0.0012</v>
      </c>
      <c r="F1872" s="8" t="inlineStr">
        <is>
          <t>Low</t>
        </is>
      </c>
      <c r="G1872" s="8" t="inlineStr">
        <is>
          <t>Low</t>
        </is>
      </c>
      <c r="H1872">
        <f>IF(F1872=G1872,"YES","NO")</f>
        <v/>
      </c>
    </row>
    <row r="1873">
      <c r="A1873" s="6" t="inlineStr">
        <is>
          <t>Wendy Kleibscheidel</t>
        </is>
      </c>
      <c r="B1873" s="7" t="n">
        <v>3</v>
      </c>
      <c r="C1873" s="7" t="n">
        <v>0</v>
      </c>
      <c r="D1873" s="7" t="n">
        <v>0</v>
      </c>
      <c r="E1873" s="7" t="n">
        <v>0</v>
      </c>
      <c r="F1873" s="8" t="inlineStr">
        <is>
          <t>Low</t>
        </is>
      </c>
      <c r="G1873" s="8" t="inlineStr">
        <is>
          <t>Low</t>
        </is>
      </c>
      <c r="H1873">
        <f>IF(F1873=G1873,"YES","NO")</f>
        <v/>
      </c>
    </row>
    <row r="1874">
      <c r="A1874" s="6" t="inlineStr">
        <is>
          <t>Wendy O'Koon</t>
        </is>
      </c>
      <c r="B1874" s="7" t="n">
        <v>31</v>
      </c>
      <c r="C1874" s="7" t="n">
        <v>0</v>
      </c>
      <c r="D1874" s="7" t="n">
        <v>0</v>
      </c>
      <c r="E1874" s="7" t="n">
        <v>0</v>
      </c>
      <c r="F1874" s="8" t="inlineStr">
        <is>
          <t>Low</t>
        </is>
      </c>
      <c r="G1874" s="8" t="inlineStr">
        <is>
          <t>Low</t>
        </is>
      </c>
      <c r="H1874">
        <f>IF(F1874=G1874,"YES","NO")</f>
        <v/>
      </c>
    </row>
    <row r="1875">
      <c r="A1875" s="6" t="inlineStr">
        <is>
          <t>Wes Baxter</t>
        </is>
      </c>
      <c r="B1875" s="7" t="n">
        <v>1002</v>
      </c>
      <c r="C1875" s="7" t="n">
        <v>36</v>
      </c>
      <c r="D1875" s="7" t="n">
        <v>0.0359</v>
      </c>
      <c r="E1875" s="7" t="n">
        <v>0.0261</v>
      </c>
      <c r="F1875" s="8" t="inlineStr">
        <is>
          <t>Low</t>
        </is>
      </c>
      <c r="G1875" s="8" t="inlineStr">
        <is>
          <t>Low</t>
        </is>
      </c>
      <c r="H1875">
        <f>IF(F1875=G1875,"YES","NO")</f>
        <v/>
      </c>
    </row>
    <row r="1876">
      <c r="A1876" s="6" t="inlineStr">
        <is>
          <t>Wil Wittmann</t>
        </is>
      </c>
      <c r="B1876" s="7" t="n">
        <v>79</v>
      </c>
      <c r="C1876" s="7" t="n">
        <v>1</v>
      </c>
      <c r="D1876" s="7" t="n">
        <v>0.0127</v>
      </c>
      <c r="E1876" s="7" t="n">
        <v>0.0022</v>
      </c>
      <c r="F1876" s="8" t="inlineStr">
        <is>
          <t>Low</t>
        </is>
      </c>
      <c r="G1876" s="8" t="inlineStr">
        <is>
          <t>Low</t>
        </is>
      </c>
      <c r="H1876">
        <f>IF(F1876=G1876,"YES","NO")</f>
        <v/>
      </c>
    </row>
    <row r="1877">
      <c r="A1877" s="6" t="inlineStr">
        <is>
          <t>Will Columbia</t>
        </is>
      </c>
      <c r="B1877" s="7" t="n">
        <v>9</v>
      </c>
      <c r="C1877" s="7" t="n">
        <v>0</v>
      </c>
      <c r="D1877" s="7" t="n">
        <v>0</v>
      </c>
      <c r="E1877" s="7" t="n">
        <v>0</v>
      </c>
      <c r="F1877" s="8" t="inlineStr">
        <is>
          <t>Low</t>
        </is>
      </c>
      <c r="G1877" s="8" t="inlineStr">
        <is>
          <t>Low</t>
        </is>
      </c>
      <c r="H1877">
        <f>IF(F1877=G1877,"YES","NO")</f>
        <v/>
      </c>
    </row>
    <row r="1878">
      <c r="A1878" s="6" t="inlineStr">
        <is>
          <t>Will Hartung</t>
        </is>
      </c>
      <c r="B1878" s="7" t="n">
        <v>2</v>
      </c>
      <c r="C1878" s="7" t="n">
        <v>0</v>
      </c>
      <c r="D1878" s="7" t="n">
        <v>0</v>
      </c>
      <c r="E1878" s="7" t="n">
        <v>0</v>
      </c>
      <c r="F1878" s="8" t="inlineStr">
        <is>
          <t>Low</t>
        </is>
      </c>
      <c r="G1878" s="8" t="inlineStr">
        <is>
          <t>Low</t>
        </is>
      </c>
      <c r="H1878">
        <f>IF(F1878=G1878,"YES","NO")</f>
        <v/>
      </c>
    </row>
    <row r="1879">
      <c r="A1879" s="6" t="inlineStr">
        <is>
          <t>Will Hines</t>
        </is>
      </c>
      <c r="B1879" s="7" t="n">
        <v>151</v>
      </c>
      <c r="C1879" s="7" t="n">
        <v>1</v>
      </c>
      <c r="D1879" s="7" t="n">
        <v>0.0066</v>
      </c>
      <c r="E1879" s="7" t="n">
        <v>0.0012</v>
      </c>
      <c r="F1879" s="8" t="inlineStr">
        <is>
          <t>Low</t>
        </is>
      </c>
      <c r="G1879" s="8" t="inlineStr">
        <is>
          <t>Low</t>
        </is>
      </c>
      <c r="H1879">
        <f>IF(F1879=G1879,"YES","NO")</f>
        <v/>
      </c>
    </row>
    <row r="1880">
      <c r="A1880" s="6" t="inlineStr">
        <is>
          <t>Will Noordyk</t>
        </is>
      </c>
      <c r="B1880" s="7" t="n">
        <v>54</v>
      </c>
      <c r="C1880" s="7" t="n">
        <v>2</v>
      </c>
      <c r="D1880" s="7" t="n">
        <v>0.037</v>
      </c>
      <c r="E1880" s="7" t="n">
        <v>0.0102</v>
      </c>
      <c r="F1880" s="8" t="inlineStr">
        <is>
          <t>Low</t>
        </is>
      </c>
      <c r="G1880" s="8" t="inlineStr">
        <is>
          <t>Low</t>
        </is>
      </c>
      <c r="H1880">
        <f>IF(F1880=G1880,"YES","NO")</f>
        <v/>
      </c>
    </row>
    <row r="1881">
      <c r="A1881" s="6" t="inlineStr">
        <is>
          <t>Will Overton</t>
        </is>
      </c>
      <c r="B1881" s="7" t="n">
        <v>7</v>
      </c>
      <c r="C1881" s="7" t="n">
        <v>0</v>
      </c>
      <c r="D1881" s="7" t="n">
        <v>0</v>
      </c>
      <c r="E1881" s="7" t="n">
        <v>0</v>
      </c>
      <c r="F1881" s="8" t="inlineStr">
        <is>
          <t>Low</t>
        </is>
      </c>
      <c r="G1881" s="8" t="inlineStr">
        <is>
          <t>Low</t>
        </is>
      </c>
      <c r="H1881">
        <f>IF(F1881=G1881,"YES","NO")</f>
        <v/>
      </c>
    </row>
    <row r="1882">
      <c r="A1882" s="6" t="inlineStr">
        <is>
          <t>Will Smith</t>
        </is>
      </c>
      <c r="B1882" s="7" t="n">
        <v>3</v>
      </c>
      <c r="C1882" s="7" t="n">
        <v>0</v>
      </c>
      <c r="D1882" s="7" t="n">
        <v>0</v>
      </c>
      <c r="E1882" s="7" t="n">
        <v>0</v>
      </c>
      <c r="F1882" s="8" t="inlineStr">
        <is>
          <t>Low</t>
        </is>
      </c>
      <c r="G1882" s="8" t="inlineStr">
        <is>
          <t>Low</t>
        </is>
      </c>
      <c r="H1882">
        <f>IF(F1882=G1882,"YES","NO")</f>
        <v/>
      </c>
    </row>
    <row r="1883">
      <c r="A1883" s="6" t="inlineStr">
        <is>
          <t>William Champlin</t>
        </is>
      </c>
      <c r="B1883" s="7" t="n">
        <v>151</v>
      </c>
      <c r="C1883" s="7" t="n">
        <v>0</v>
      </c>
      <c r="D1883" s="7" t="n">
        <v>0</v>
      </c>
      <c r="E1883" s="7" t="n">
        <v>0</v>
      </c>
      <c r="F1883" s="8" t="inlineStr">
        <is>
          <t>Low</t>
        </is>
      </c>
      <c r="G1883" s="8" t="inlineStr">
        <is>
          <t>Low</t>
        </is>
      </c>
      <c r="H1883">
        <f>IF(F1883=G1883,"YES","NO")</f>
        <v/>
      </c>
    </row>
    <row r="1884">
      <c r="A1884" s="6" t="inlineStr">
        <is>
          <t>William Harbin</t>
        </is>
      </c>
      <c r="B1884" s="7" t="n">
        <v>11</v>
      </c>
      <c r="C1884" s="7" t="n">
        <v>0</v>
      </c>
      <c r="D1884" s="7" t="n">
        <v>0</v>
      </c>
      <c r="E1884" s="7" t="n">
        <v>0</v>
      </c>
      <c r="F1884" s="8" t="inlineStr">
        <is>
          <t>Low</t>
        </is>
      </c>
      <c r="G1884" s="8" t="inlineStr">
        <is>
          <t>Low</t>
        </is>
      </c>
      <c r="H1884">
        <f>IF(F1884=G1884,"YES","NO")</f>
        <v/>
      </c>
    </row>
    <row r="1885">
      <c r="A1885" s="6" t="inlineStr">
        <is>
          <t>William Herrin</t>
        </is>
      </c>
      <c r="B1885" s="7" t="n">
        <v>7</v>
      </c>
      <c r="C1885" s="7" t="n">
        <v>1</v>
      </c>
      <c r="D1885" s="7" t="n">
        <v>0.1429</v>
      </c>
      <c r="E1885" s="7" t="n">
        <v>0.0257</v>
      </c>
      <c r="F1885" s="8" t="inlineStr">
        <is>
          <t>Low</t>
        </is>
      </c>
      <c r="G1885" s="8" t="inlineStr">
        <is>
          <t>Low</t>
        </is>
      </c>
      <c r="H1885">
        <f>IF(F1885=G1885,"YES","NO")</f>
        <v/>
      </c>
    </row>
    <row r="1886">
      <c r="A1886" s="6" t="inlineStr">
        <is>
          <t>William Kennedy</t>
        </is>
      </c>
      <c r="B1886" s="7" t="n">
        <v>17</v>
      </c>
      <c r="C1886" s="7" t="n">
        <v>0</v>
      </c>
      <c r="D1886" s="7" t="n">
        <v>0</v>
      </c>
      <c r="E1886" s="7" t="n">
        <v>0</v>
      </c>
      <c r="F1886" s="8" t="inlineStr">
        <is>
          <t>Low</t>
        </is>
      </c>
      <c r="G1886" s="8" t="inlineStr">
        <is>
          <t>Low</t>
        </is>
      </c>
      <c r="H1886">
        <f>IF(F1886=G1886,"YES","NO")</f>
        <v/>
      </c>
    </row>
    <row r="1887">
      <c r="A1887" s="6" t="inlineStr">
        <is>
          <t>William Phillips</t>
        </is>
      </c>
      <c r="B1887" s="7" t="n">
        <v>1</v>
      </c>
      <c r="C1887" s="7" t="n">
        <v>0</v>
      </c>
      <c r="D1887" s="7" t="n">
        <v>0</v>
      </c>
      <c r="E1887" s="7" t="n">
        <v>0</v>
      </c>
      <c r="F1887" s="8" t="inlineStr">
        <is>
          <t>Low</t>
        </is>
      </c>
      <c r="G1887" s="8" t="inlineStr">
        <is>
          <t>Low</t>
        </is>
      </c>
      <c r="H1887">
        <f>IF(F1887=G1887,"YES","NO")</f>
        <v/>
      </c>
    </row>
    <row r="1888">
      <c r="A1888" s="6" t="inlineStr">
        <is>
          <t>William Sullivan</t>
        </is>
      </c>
      <c r="B1888" s="7" t="n">
        <v>133</v>
      </c>
      <c r="C1888" s="7" t="n">
        <v>0</v>
      </c>
      <c r="D1888" s="7" t="n">
        <v>0</v>
      </c>
      <c r="E1888" s="7" t="n">
        <v>0</v>
      </c>
      <c r="F1888" s="8" t="inlineStr">
        <is>
          <t>Low</t>
        </is>
      </c>
      <c r="G1888" s="8" t="inlineStr">
        <is>
          <t>Low</t>
        </is>
      </c>
      <c r="H1888">
        <f>IF(F1888=G1888,"YES","NO")</f>
        <v/>
      </c>
    </row>
    <row r="1889">
      <c r="A1889" s="6" t="inlineStr">
        <is>
          <t>William Ward</t>
        </is>
      </c>
      <c r="B1889" s="7" t="n">
        <v>14</v>
      </c>
      <c r="C1889" s="7" t="n">
        <v>0</v>
      </c>
      <c r="D1889" s="7" t="n">
        <v>0</v>
      </c>
      <c r="E1889" s="7" t="n">
        <v>0</v>
      </c>
      <c r="F1889" s="8" t="inlineStr">
        <is>
          <t>Low</t>
        </is>
      </c>
      <c r="G1889" s="8" t="inlineStr">
        <is>
          <t>Low</t>
        </is>
      </c>
      <c r="H1889">
        <f>IF(F1889=G1889,"YES","NO")</f>
        <v/>
      </c>
    </row>
    <row r="1890">
      <c r="A1890" s="6" t="inlineStr">
        <is>
          <t>Wyatt Elledge</t>
        </is>
      </c>
      <c r="B1890" s="7" t="n">
        <v>1</v>
      </c>
      <c r="C1890" s="7" t="n">
        <v>0</v>
      </c>
      <c r="D1890" s="7" t="n">
        <v>0</v>
      </c>
      <c r="E1890" s="7" t="n">
        <v>0</v>
      </c>
      <c r="F1890" s="8" t="inlineStr">
        <is>
          <t>Low</t>
        </is>
      </c>
      <c r="G1890" s="8" t="inlineStr">
        <is>
          <t>Low</t>
        </is>
      </c>
      <c r="H1890">
        <f>IF(F1890=G1890,"YES","NO")</f>
        <v/>
      </c>
    </row>
    <row r="1891">
      <c r="A1891" s="6" t="inlineStr">
        <is>
          <t>Wyeth Firestone</t>
        </is>
      </c>
      <c r="B1891" s="7" t="n">
        <v>16</v>
      </c>
      <c r="C1891" s="7" t="n">
        <v>0</v>
      </c>
      <c r="D1891" s="7" t="n">
        <v>0</v>
      </c>
      <c r="E1891" s="7" t="n">
        <v>0</v>
      </c>
      <c r="F1891" s="8" t="inlineStr">
        <is>
          <t>Low</t>
        </is>
      </c>
      <c r="G1891" s="8" t="inlineStr">
        <is>
          <t>Low</t>
        </is>
      </c>
      <c r="H1891">
        <f>IF(F1891=G1891,"YES","NO")</f>
        <v/>
      </c>
    </row>
    <row r="1892">
      <c r="A1892" s="6" t="inlineStr">
        <is>
          <t>Yahia Merrouche</t>
        </is>
      </c>
      <c r="B1892" s="7" t="n">
        <v>36</v>
      </c>
      <c r="C1892" s="7" t="n">
        <v>4</v>
      </c>
      <c r="D1892" s="7" t="n">
        <v>0.1111</v>
      </c>
      <c r="E1892" s="7" t="n">
        <v>0.0441</v>
      </c>
      <c r="F1892" s="8" t="inlineStr">
        <is>
          <t>Low</t>
        </is>
      </c>
      <c r="G1892" s="8" t="inlineStr">
        <is>
          <t>Low</t>
        </is>
      </c>
      <c r="H1892">
        <f>IF(F1892=G1892,"YES","NO")</f>
        <v/>
      </c>
    </row>
    <row r="1893">
      <c r="A1893" s="6" t="inlineStr">
        <is>
          <t>Yahya Kharouf</t>
        </is>
      </c>
      <c r="B1893" s="7" t="n">
        <v>12</v>
      </c>
      <c r="C1893" s="7" t="n">
        <v>0</v>
      </c>
      <c r="D1893" s="7" t="n">
        <v>0</v>
      </c>
      <c r="E1893" s="7" t="n">
        <v>0</v>
      </c>
      <c r="F1893" s="8" t="inlineStr">
        <is>
          <t>Low</t>
        </is>
      </c>
      <c r="G1893" s="8" t="inlineStr">
        <is>
          <t>Low</t>
        </is>
      </c>
      <c r="H1893">
        <f>IF(F1893=G1893,"YES","NO")</f>
        <v/>
      </c>
    </row>
    <row r="1894">
      <c r="A1894" s="6" t="inlineStr">
        <is>
          <t>Yolanda Hawkins</t>
        </is>
      </c>
      <c r="B1894" s="7" t="n">
        <v>10</v>
      </c>
      <c r="C1894" s="7" t="n">
        <v>0</v>
      </c>
      <c r="D1894" s="7" t="n">
        <v>0</v>
      </c>
      <c r="E1894" s="7" t="n">
        <v>0</v>
      </c>
      <c r="F1894" s="8" t="inlineStr">
        <is>
          <t>Low</t>
        </is>
      </c>
      <c r="G1894" s="8" t="inlineStr">
        <is>
          <t>Low</t>
        </is>
      </c>
      <c r="H1894">
        <f>IF(F1894=G1894,"YES","NO")</f>
        <v/>
      </c>
    </row>
    <row r="1895">
      <c r="A1895" s="6" t="inlineStr">
        <is>
          <t>Ysidoro Quintanilla</t>
        </is>
      </c>
      <c r="B1895" s="7" t="n">
        <v>25</v>
      </c>
      <c r="C1895" s="7" t="n">
        <v>1</v>
      </c>
      <c r="D1895" s="7" t="n">
        <v>0.04</v>
      </c>
      <c r="E1895" s="7" t="n">
        <v>0.0071</v>
      </c>
      <c r="F1895" s="8" t="inlineStr">
        <is>
          <t>Low</t>
        </is>
      </c>
      <c r="G1895" s="8" t="inlineStr">
        <is>
          <t>High</t>
        </is>
      </c>
      <c r="H1895">
        <f>IF(F1895=G1895,"YES","NO")</f>
        <v/>
      </c>
    </row>
    <row r="1896">
      <c r="A1896" s="6" t="inlineStr">
        <is>
          <t>Yvonne Garza</t>
        </is>
      </c>
      <c r="B1896" s="7" t="n">
        <v>1</v>
      </c>
      <c r="C1896" s="7" t="n">
        <v>0</v>
      </c>
      <c r="D1896" s="7" t="n">
        <v>0</v>
      </c>
      <c r="E1896" s="7" t="n">
        <v>0</v>
      </c>
      <c r="F1896" s="8" t="inlineStr">
        <is>
          <t>Low</t>
        </is>
      </c>
      <c r="G1896" s="8" t="inlineStr">
        <is>
          <t>Low</t>
        </is>
      </c>
      <c r="H1896">
        <f>IF(F1896=G1896,"YES","NO")</f>
        <v/>
      </c>
    </row>
    <row r="1897">
      <c r="A1897" s="6" t="inlineStr">
        <is>
          <t>Zac Schneider</t>
        </is>
      </c>
      <c r="B1897" s="7" t="n">
        <v>5</v>
      </c>
      <c r="C1897" s="7" t="n">
        <v>0</v>
      </c>
      <c r="D1897" s="7" t="n">
        <v>0</v>
      </c>
      <c r="E1897" s="7" t="n">
        <v>0</v>
      </c>
      <c r="F1897" s="8" t="inlineStr">
        <is>
          <t>Low</t>
        </is>
      </c>
      <c r="G1897" s="8" t="inlineStr">
        <is>
          <t>Low</t>
        </is>
      </c>
      <c r="H1897">
        <f>IF(F1897=G1897,"YES","NO")</f>
        <v/>
      </c>
    </row>
    <row r="1898">
      <c r="A1898" s="6" t="inlineStr">
        <is>
          <t>Zach Sargis</t>
        </is>
      </c>
      <c r="B1898" s="7" t="n">
        <v>1</v>
      </c>
      <c r="C1898" s="7" t="n">
        <v>0</v>
      </c>
      <c r="D1898" s="7" t="n">
        <v>0</v>
      </c>
      <c r="E1898" s="7" t="n">
        <v>0</v>
      </c>
      <c r="F1898" s="8" t="inlineStr">
        <is>
          <t>Low</t>
        </is>
      </c>
      <c r="G1898" s="8" t="inlineStr">
        <is>
          <t>High</t>
        </is>
      </c>
      <c r="H1898">
        <f>IF(F1898=G1898,"YES","NO")</f>
        <v/>
      </c>
    </row>
    <row r="1899">
      <c r="A1899" s="6" t="inlineStr">
        <is>
          <t>Zach Shackelford</t>
        </is>
      </c>
      <c r="B1899" s="7" t="n">
        <v>338</v>
      </c>
      <c r="C1899" s="7" t="n">
        <v>6</v>
      </c>
      <c r="D1899" s="7" t="n">
        <v>0.0178</v>
      </c>
      <c r="E1899" s="7" t="n">
        <v>0.008200000000000001</v>
      </c>
      <c r="F1899" s="8" t="inlineStr">
        <is>
          <t>Low</t>
        </is>
      </c>
      <c r="G1899" s="8" t="inlineStr">
        <is>
          <t>Low</t>
        </is>
      </c>
      <c r="H1899">
        <f>IF(F1899=G1899,"YES","NO")</f>
        <v/>
      </c>
    </row>
    <row r="1900">
      <c r="A1900" s="6" t="inlineStr">
        <is>
          <t>Zach Torson</t>
        </is>
      </c>
      <c r="B1900" s="7" t="n">
        <v>282</v>
      </c>
      <c r="C1900" s="7" t="n">
        <v>0</v>
      </c>
      <c r="D1900" s="7" t="n">
        <v>0</v>
      </c>
      <c r="E1900" s="7" t="n">
        <v>0</v>
      </c>
      <c r="F1900" s="8" t="inlineStr">
        <is>
          <t>Low</t>
        </is>
      </c>
      <c r="G1900" s="8" t="inlineStr">
        <is>
          <t>Low</t>
        </is>
      </c>
      <c r="H1900">
        <f>IF(F1900=G1900,"YES","NO")</f>
        <v/>
      </c>
    </row>
    <row r="1901">
      <c r="A1901" s="6" t="inlineStr">
        <is>
          <t>Zach Venesky</t>
        </is>
      </c>
      <c r="B1901" s="7" t="n">
        <v>15</v>
      </c>
      <c r="C1901" s="7" t="n">
        <v>1</v>
      </c>
      <c r="D1901" s="7" t="n">
        <v>0.0667</v>
      </c>
      <c r="E1901" s="7" t="n">
        <v>0.0119</v>
      </c>
      <c r="F1901" s="8" t="inlineStr">
        <is>
          <t>Low</t>
        </is>
      </c>
      <c r="G1901" s="8" t="inlineStr">
        <is>
          <t>Low</t>
        </is>
      </c>
      <c r="H1901">
        <f>IF(F1901=G1901,"YES","NO")</f>
        <v/>
      </c>
    </row>
    <row r="1902">
      <c r="A1902" s="6" t="inlineStr">
        <is>
          <t>Zachary Darif</t>
        </is>
      </c>
      <c r="B1902" s="7" t="n">
        <v>3</v>
      </c>
      <c r="C1902" s="7" t="n">
        <v>0</v>
      </c>
      <c r="D1902" s="7" t="n">
        <v>0</v>
      </c>
      <c r="E1902" s="7" t="n">
        <v>0</v>
      </c>
      <c r="F1902" s="8" t="inlineStr">
        <is>
          <t>Low</t>
        </is>
      </c>
      <c r="G1902" s="8" t="inlineStr">
        <is>
          <t>Low</t>
        </is>
      </c>
      <c r="H1902">
        <f>IF(F1902=G1902,"YES","NO")</f>
        <v/>
      </c>
    </row>
    <row r="1903">
      <c r="A1903" s="6" t="inlineStr">
        <is>
          <t>Zachary Fahrny</t>
        </is>
      </c>
      <c r="B1903" s="7" t="n">
        <v>7</v>
      </c>
      <c r="C1903" s="7" t="n">
        <v>0</v>
      </c>
      <c r="D1903" s="7" t="n">
        <v>0</v>
      </c>
      <c r="E1903" s="7" t="n">
        <v>0</v>
      </c>
      <c r="F1903" s="8" t="inlineStr">
        <is>
          <t>Low</t>
        </is>
      </c>
      <c r="G1903" s="8" t="inlineStr">
        <is>
          <t>Low</t>
        </is>
      </c>
      <c r="H1903">
        <f>IF(F1903=G1903,"YES","NO")</f>
        <v/>
      </c>
    </row>
    <row r="1904">
      <c r="A1904" s="6" t="inlineStr">
        <is>
          <t>Zachary Martenson</t>
        </is>
      </c>
      <c r="B1904" s="7" t="n">
        <v>4</v>
      </c>
      <c r="C1904" s="7" t="n">
        <v>0</v>
      </c>
      <c r="D1904" s="7" t="n">
        <v>0</v>
      </c>
      <c r="E1904" s="7" t="n">
        <v>0</v>
      </c>
      <c r="F1904" s="8" t="inlineStr">
        <is>
          <t>Low</t>
        </is>
      </c>
      <c r="G1904" s="8" t="inlineStr">
        <is>
          <t>Low</t>
        </is>
      </c>
      <c r="H1904">
        <f>IF(F1904=G1904,"YES","NO")</f>
        <v/>
      </c>
    </row>
    <row r="1905">
      <c r="A1905" s="6" t="inlineStr">
        <is>
          <t>Zachary Mills</t>
        </is>
      </c>
      <c r="B1905" s="7" t="n">
        <v>13</v>
      </c>
      <c r="C1905" s="7" t="n">
        <v>0</v>
      </c>
      <c r="D1905" s="7" t="n">
        <v>0</v>
      </c>
      <c r="E1905" s="7" t="n">
        <v>0</v>
      </c>
      <c r="F1905" s="8" t="inlineStr">
        <is>
          <t>Low</t>
        </is>
      </c>
      <c r="G1905" s="8" t="inlineStr">
        <is>
          <t>Low</t>
        </is>
      </c>
      <c r="H1905">
        <f>IF(F1905=G1905,"YES","NO")</f>
        <v/>
      </c>
    </row>
    <row r="1906">
      <c r="A1906" s="6" t="inlineStr">
        <is>
          <t>Zeke Mayfield</t>
        </is>
      </c>
      <c r="B1906" s="7" t="n">
        <v>6</v>
      </c>
      <c r="C1906" s="7" t="n">
        <v>0</v>
      </c>
      <c r="D1906" s="7" t="n">
        <v>0</v>
      </c>
      <c r="E1906" s="7" t="n">
        <v>0</v>
      </c>
      <c r="F1906" s="8" t="inlineStr">
        <is>
          <t>Low</t>
        </is>
      </c>
      <c r="G1906" s="8" t="inlineStr">
        <is>
          <t>Low</t>
        </is>
      </c>
      <c r="H1906">
        <f>IF(F1906=G1906,"YES","NO")</f>
        <v/>
      </c>
    </row>
    <row r="1907">
      <c r="A1907" s="6" t="inlineStr">
        <is>
          <t>Zoey Schaefer</t>
        </is>
      </c>
      <c r="B1907" s="7" t="n">
        <v>29</v>
      </c>
      <c r="C1907" s="7" t="n">
        <v>4</v>
      </c>
      <c r="D1907" s="7" t="n">
        <v>0.1379</v>
      </c>
      <c r="E1907" s="7" t="n">
        <v>0.055</v>
      </c>
      <c r="F1907" s="8" t="inlineStr">
        <is>
          <t>Low</t>
        </is>
      </c>
      <c r="G1907" s="8" t="inlineStr">
        <is>
          <t>Medium</t>
        </is>
      </c>
      <c r="H1907">
        <f>IF(F1907=G1907,"YES","NO")</f>
        <v/>
      </c>
    </row>
    <row r="1908">
      <c r="A1908" s="6" t="inlineStr">
        <is>
          <t>stephanie Redfern</t>
        </is>
      </c>
      <c r="B1908" s="7" t="n">
        <v>136</v>
      </c>
      <c r="C1908" s="7" t="n">
        <v>2</v>
      </c>
      <c r="D1908" s="7" t="n">
        <v>0.0147</v>
      </c>
      <c r="E1908" s="7" t="n">
        <v>0.004</v>
      </c>
      <c r="F1908" s="8" t="inlineStr">
        <is>
          <t>Low</t>
        </is>
      </c>
      <c r="G1908" s="8" t="inlineStr">
        <is>
          <t>Low</t>
        </is>
      </c>
      <c r="H1908">
        <f>IF(F1908=G1908,"YES","NO")</f>
        <v/>
      </c>
    </row>
    <row r="1909">
      <c r="A1909" s="6" t="inlineStr">
        <is>
          <t>zachary Cassel</t>
        </is>
      </c>
      <c r="B1909" s="7" t="n">
        <v>44</v>
      </c>
      <c r="C1909" s="7" t="n">
        <v>2</v>
      </c>
      <c r="D1909" s="7" t="n">
        <v>0.0455</v>
      </c>
      <c r="E1909" s="7" t="n">
        <v>0.0126</v>
      </c>
      <c r="F1909" s="8" t="inlineStr">
        <is>
          <t>Low</t>
        </is>
      </c>
      <c r="G1909" s="8" t="inlineStr">
        <is>
          <t>Low</t>
        </is>
      </c>
      <c r="H1909">
        <f>IF(F1909=G1909,"YES","NO")</f>
        <v/>
      </c>
    </row>
    <row r="1910">
      <c r="A1910" s="6" t="inlineStr">
        <is>
          <t>AJ Wyman</t>
        </is>
      </c>
      <c r="B1910" s="7" t="n">
        <v>3</v>
      </c>
      <c r="C1910" s="7" t="n">
        <v>1</v>
      </c>
      <c r="D1910" s="7" t="n">
        <v>0.3333</v>
      </c>
      <c r="E1910" s="7" t="n">
        <v>0.0615</v>
      </c>
      <c r="F1910" s="8" t="inlineStr">
        <is>
          <t>Medium</t>
        </is>
      </c>
      <c r="G1910" s="8" t="inlineStr">
        <is>
          <t>Medium</t>
        </is>
      </c>
      <c r="H1910">
        <f>IF(F1910=G1910,"YES","NO")</f>
        <v/>
      </c>
    </row>
    <row r="1911">
      <c r="A1911" s="6" t="inlineStr">
        <is>
          <t>Alyson Gentry</t>
        </is>
      </c>
      <c r="B1911" s="7" t="n">
        <v>8</v>
      </c>
      <c r="C1911" s="7" t="n">
        <v>2</v>
      </c>
      <c r="D1911" s="7" t="n">
        <v>0.25</v>
      </c>
      <c r="E1911" s="7" t="n">
        <v>0.07149999999999999</v>
      </c>
      <c r="F1911" s="8" t="inlineStr">
        <is>
          <t>Medium</t>
        </is>
      </c>
      <c r="G1911" s="8" t="inlineStr">
        <is>
          <t>Low</t>
        </is>
      </c>
      <c r="H1911">
        <f>IF(F1911=G1911,"YES","NO")</f>
        <v/>
      </c>
    </row>
    <row r="1912">
      <c r="A1912" s="6" t="inlineStr">
        <is>
          <t>Anne Davis</t>
        </is>
      </c>
      <c r="B1912" s="7" t="n">
        <v>10</v>
      </c>
      <c r="C1912" s="7" t="n">
        <v>3</v>
      </c>
      <c r="D1912" s="7" t="n">
        <v>0.3</v>
      </c>
      <c r="E1912" s="7" t="n">
        <v>0.1078</v>
      </c>
      <c r="F1912" s="8" t="inlineStr">
        <is>
          <t>Medium</t>
        </is>
      </c>
      <c r="G1912" s="8" t="inlineStr">
        <is>
          <t>Medium</t>
        </is>
      </c>
      <c r="H1912">
        <f>IF(F1912=G1912,"YES","NO")</f>
        <v/>
      </c>
    </row>
    <row r="1913">
      <c r="A1913" s="6" t="inlineStr">
        <is>
          <t>Austin Chitmon</t>
        </is>
      </c>
      <c r="B1913" s="7" t="n">
        <v>2</v>
      </c>
      <c r="C1913" s="7" t="n">
        <v>1</v>
      </c>
      <c r="D1913" s="7" t="n">
        <v>0.5</v>
      </c>
      <c r="E1913" s="7" t="n">
        <v>0.0945</v>
      </c>
      <c r="F1913" s="8" t="inlineStr">
        <is>
          <t>Medium</t>
        </is>
      </c>
      <c r="G1913" s="8" t="inlineStr">
        <is>
          <t>Low</t>
        </is>
      </c>
      <c r="H1913">
        <f>IF(F1913=G1913,"YES","NO")</f>
        <v/>
      </c>
    </row>
    <row r="1914">
      <c r="A1914" s="6" t="inlineStr">
        <is>
          <t>Brady Bruhn</t>
        </is>
      </c>
      <c r="B1914" s="7" t="n">
        <v>3</v>
      </c>
      <c r="C1914" s="7" t="n">
        <v>1</v>
      </c>
      <c r="D1914" s="7" t="n">
        <v>0.3333</v>
      </c>
      <c r="E1914" s="7" t="n">
        <v>0.0615</v>
      </c>
      <c r="F1914" s="8" t="inlineStr">
        <is>
          <t>Medium</t>
        </is>
      </c>
      <c r="G1914" s="8" t="inlineStr">
        <is>
          <t>High</t>
        </is>
      </c>
      <c r="H1914">
        <f>IF(F1914=G1914,"YES","NO")</f>
        <v/>
      </c>
    </row>
    <row r="1915">
      <c r="A1915" s="6" t="inlineStr">
        <is>
          <t>Brandon Hogan</t>
        </is>
      </c>
      <c r="B1915" s="7" t="n">
        <v>3</v>
      </c>
      <c r="C1915" s="7" t="n">
        <v>1</v>
      </c>
      <c r="D1915" s="7" t="n">
        <v>0.3333</v>
      </c>
      <c r="E1915" s="7" t="n">
        <v>0.0615</v>
      </c>
      <c r="F1915" s="8" t="inlineStr">
        <is>
          <t>Medium</t>
        </is>
      </c>
      <c r="G1915" s="8" t="inlineStr">
        <is>
          <t>Low</t>
        </is>
      </c>
      <c r="H1915">
        <f>IF(F1915=G1915,"YES","NO")</f>
        <v/>
      </c>
    </row>
    <row r="1916">
      <c r="A1916" s="6" t="inlineStr">
        <is>
          <t>Brian Miller</t>
        </is>
      </c>
      <c r="B1916" s="7" t="n">
        <v>3</v>
      </c>
      <c r="C1916" s="7" t="n">
        <v>1</v>
      </c>
      <c r="D1916" s="7" t="n">
        <v>0.3333</v>
      </c>
      <c r="E1916" s="7" t="n">
        <v>0.0615</v>
      </c>
      <c r="F1916" s="8" t="inlineStr">
        <is>
          <t>Medium</t>
        </is>
      </c>
      <c r="G1916" s="8" t="inlineStr">
        <is>
          <t>Low</t>
        </is>
      </c>
      <c r="H1916">
        <f>IF(F1916=G1916,"YES","NO")</f>
        <v/>
      </c>
    </row>
    <row r="1917">
      <c r="A1917" s="6" t="inlineStr">
        <is>
          <t>Brian Pearman</t>
        </is>
      </c>
      <c r="B1917" s="7" t="n">
        <v>4</v>
      </c>
      <c r="C1917" s="7" t="n">
        <v>1</v>
      </c>
      <c r="D1917" s="7" t="n">
        <v>0.25</v>
      </c>
      <c r="E1917" s="7" t="n">
        <v>0.0456</v>
      </c>
      <c r="F1917" s="8" t="inlineStr">
        <is>
          <t>Medium</t>
        </is>
      </c>
      <c r="G1917" s="8" t="inlineStr">
        <is>
          <t>Medium</t>
        </is>
      </c>
      <c r="H1917">
        <f>IF(F1917=G1917,"YES","NO")</f>
        <v/>
      </c>
    </row>
    <row r="1918">
      <c r="A1918" s="6" t="inlineStr">
        <is>
          <t>Caden Tennison</t>
        </is>
      </c>
      <c r="B1918" s="7" t="n">
        <v>3</v>
      </c>
      <c r="C1918" s="7" t="n">
        <v>1</v>
      </c>
      <c r="D1918" s="7" t="n">
        <v>0.3333</v>
      </c>
      <c r="E1918" s="7" t="n">
        <v>0.0615</v>
      </c>
      <c r="F1918" s="8" t="inlineStr">
        <is>
          <t>Medium</t>
        </is>
      </c>
      <c r="G1918" s="8" t="inlineStr">
        <is>
          <t>Low</t>
        </is>
      </c>
      <c r="H1918">
        <f>IF(F1918=G1918,"YES","NO")</f>
        <v/>
      </c>
    </row>
    <row r="1919">
      <c r="A1919" s="6" t="inlineStr">
        <is>
          <t>Cece Yeh</t>
        </is>
      </c>
      <c r="B1919" s="7" t="n">
        <v>7</v>
      </c>
      <c r="C1919" s="7" t="n">
        <v>2</v>
      </c>
      <c r="D1919" s="7" t="n">
        <v>0.2857</v>
      </c>
      <c r="E1919" s="7" t="n">
        <v>0.0822</v>
      </c>
      <c r="F1919" s="8" t="inlineStr">
        <is>
          <t>Medium</t>
        </is>
      </c>
      <c r="G1919" s="8" t="inlineStr">
        <is>
          <t>Medium</t>
        </is>
      </c>
      <c r="H1919">
        <f>IF(F1919=G1919,"YES","NO")</f>
        <v/>
      </c>
    </row>
    <row r="1920">
      <c r="A1920" s="6" t="inlineStr">
        <is>
          <t>Chase Wanner</t>
        </is>
      </c>
      <c r="B1920" s="7" t="n">
        <v>8</v>
      </c>
      <c r="C1920" s="7" t="n">
        <v>2</v>
      </c>
      <c r="D1920" s="7" t="n">
        <v>0.25</v>
      </c>
      <c r="E1920" s="7" t="n">
        <v>0.07149999999999999</v>
      </c>
      <c r="F1920" s="8" t="inlineStr">
        <is>
          <t>Medium</t>
        </is>
      </c>
      <c r="G1920" s="8" t="inlineStr">
        <is>
          <t>Low</t>
        </is>
      </c>
      <c r="H1920">
        <f>IF(F1920=G1920,"YES","NO")</f>
        <v/>
      </c>
    </row>
    <row r="1921">
      <c r="A1921" s="6" t="inlineStr">
        <is>
          <t>Dakotah Grett</t>
        </is>
      </c>
      <c r="B1921" s="7" t="n">
        <v>12</v>
      </c>
      <c r="C1921" s="7" t="n">
        <v>3</v>
      </c>
      <c r="D1921" s="7" t="n">
        <v>0.25</v>
      </c>
      <c r="E1921" s="7" t="n">
        <v>0.08890000000000001</v>
      </c>
      <c r="F1921" s="8" t="inlineStr">
        <is>
          <t>Medium</t>
        </is>
      </c>
      <c r="G1921" s="8" t="inlineStr">
        <is>
          <t>Low</t>
        </is>
      </c>
      <c r="H1921">
        <f>IF(F1921=G1921,"YES","NO")</f>
        <v/>
      </c>
    </row>
    <row r="1922">
      <c r="A1922" s="6" t="inlineStr">
        <is>
          <t>Dan Smith</t>
        </is>
      </c>
      <c r="B1922" s="7" t="n">
        <v>2</v>
      </c>
      <c r="C1922" s="7" t="n">
        <v>1</v>
      </c>
      <c r="D1922" s="7" t="n">
        <v>0.5</v>
      </c>
      <c r="E1922" s="7" t="n">
        <v>0.0945</v>
      </c>
      <c r="F1922" s="8" t="inlineStr">
        <is>
          <t>Medium</t>
        </is>
      </c>
      <c r="G1922" s="8" t="inlineStr">
        <is>
          <t>Low</t>
        </is>
      </c>
      <c r="H1922">
        <f>IF(F1922=G1922,"YES","NO")</f>
        <v/>
      </c>
    </row>
    <row r="1923">
      <c r="A1923" s="6" t="inlineStr">
        <is>
          <t>Dave Reis</t>
        </is>
      </c>
      <c r="B1923" s="7" t="n">
        <v>4</v>
      </c>
      <c r="C1923" s="7" t="n">
        <v>1</v>
      </c>
      <c r="D1923" s="7" t="n">
        <v>0.25</v>
      </c>
      <c r="E1923" s="7" t="n">
        <v>0.0456</v>
      </c>
      <c r="F1923" s="8" t="inlineStr">
        <is>
          <t>Medium</t>
        </is>
      </c>
      <c r="G1923" s="8" t="inlineStr">
        <is>
          <t>Medium</t>
        </is>
      </c>
      <c r="H1923">
        <f>IF(F1923=G1923,"YES","NO")</f>
        <v/>
      </c>
    </row>
    <row r="1924">
      <c r="A1924" s="6" t="inlineStr">
        <is>
          <t>David Darling</t>
        </is>
      </c>
      <c r="B1924" s="7" t="n">
        <v>2</v>
      </c>
      <c r="C1924" s="7" t="n">
        <v>1</v>
      </c>
      <c r="D1924" s="7" t="n">
        <v>0.5</v>
      </c>
      <c r="E1924" s="7" t="n">
        <v>0.0945</v>
      </c>
      <c r="F1924" s="8" t="inlineStr">
        <is>
          <t>Medium</t>
        </is>
      </c>
      <c r="G1924" s="8" t="inlineStr">
        <is>
          <t>Low</t>
        </is>
      </c>
      <c r="H1924">
        <f>IF(F1924=G1924,"YES","NO")</f>
        <v/>
      </c>
    </row>
    <row r="1925">
      <c r="A1925" s="6" t="inlineStr">
        <is>
          <t>David Maeda</t>
        </is>
      </c>
      <c r="B1925" s="7" t="n">
        <v>3</v>
      </c>
      <c r="C1925" s="7" t="n">
        <v>1</v>
      </c>
      <c r="D1925" s="7" t="n">
        <v>0.3333</v>
      </c>
      <c r="E1925" s="7" t="n">
        <v>0.0615</v>
      </c>
      <c r="F1925" s="8" t="inlineStr">
        <is>
          <t>Medium</t>
        </is>
      </c>
      <c r="G1925" s="8" t="inlineStr">
        <is>
          <t>Low</t>
        </is>
      </c>
      <c r="H1925">
        <f>IF(F1925=G1925,"YES","NO")</f>
        <v/>
      </c>
    </row>
    <row r="1926">
      <c r="A1926" s="6" t="inlineStr">
        <is>
          <t>Dawn Petit</t>
        </is>
      </c>
      <c r="B1926" s="7" t="n">
        <v>7</v>
      </c>
      <c r="C1926" s="7" t="n">
        <v>2</v>
      </c>
      <c r="D1926" s="7" t="n">
        <v>0.2857</v>
      </c>
      <c r="E1926" s="7" t="n">
        <v>0.0822</v>
      </c>
      <c r="F1926" s="8" t="inlineStr">
        <is>
          <t>Medium</t>
        </is>
      </c>
      <c r="G1926" s="8" t="inlineStr">
        <is>
          <t>Low</t>
        </is>
      </c>
      <c r="H1926">
        <f>IF(F1926=G1926,"YES","NO")</f>
        <v/>
      </c>
    </row>
    <row r="1927">
      <c r="A1927" s="6" t="inlineStr">
        <is>
          <t>Derris Butler</t>
        </is>
      </c>
      <c r="B1927" s="7" t="n">
        <v>21</v>
      </c>
      <c r="C1927" s="7" t="n">
        <v>4</v>
      </c>
      <c r="D1927" s="7" t="n">
        <v>0.1905</v>
      </c>
      <c r="E1927" s="7" t="n">
        <v>0.0767</v>
      </c>
      <c r="F1927" s="8" t="inlineStr">
        <is>
          <t>Medium</t>
        </is>
      </c>
      <c r="G1927" s="8" t="inlineStr">
        <is>
          <t>Low</t>
        </is>
      </c>
      <c r="H1927">
        <f>IF(F1927=G1927,"YES","NO")</f>
        <v/>
      </c>
    </row>
    <row r="1928">
      <c r="A1928" s="6" t="inlineStr">
        <is>
          <t>Diana Miller</t>
        </is>
      </c>
      <c r="B1928" s="7" t="n">
        <v>10</v>
      </c>
      <c r="C1928" s="7" t="n">
        <v>3</v>
      </c>
      <c r="D1928" s="7" t="n">
        <v>0.3</v>
      </c>
      <c r="E1928" s="7" t="n">
        <v>0.1078</v>
      </c>
      <c r="F1928" s="8" t="inlineStr">
        <is>
          <t>Medium</t>
        </is>
      </c>
      <c r="G1928" s="8" t="inlineStr">
        <is>
          <t>Medium</t>
        </is>
      </c>
      <c r="H1928">
        <f>IF(F1928=G1928,"YES","NO")</f>
        <v/>
      </c>
    </row>
    <row r="1929">
      <c r="A1929" s="6" t="inlineStr">
        <is>
          <t>Donald Rudie</t>
        </is>
      </c>
      <c r="B1929" s="7" t="n">
        <v>21</v>
      </c>
      <c r="C1929" s="7" t="n">
        <v>4</v>
      </c>
      <c r="D1929" s="7" t="n">
        <v>0.1905</v>
      </c>
      <c r="E1929" s="7" t="n">
        <v>0.0767</v>
      </c>
      <c r="F1929" s="8" t="inlineStr">
        <is>
          <t>Medium</t>
        </is>
      </c>
      <c r="G1929" s="8" t="inlineStr">
        <is>
          <t>Low</t>
        </is>
      </c>
      <c r="H1929">
        <f>IF(F1929=G1929,"YES","NO")</f>
        <v/>
      </c>
    </row>
    <row r="1930">
      <c r="A1930" s="6" t="inlineStr">
        <is>
          <t>Donna McCarthy</t>
        </is>
      </c>
      <c r="B1930" s="7" t="n">
        <v>12</v>
      </c>
      <c r="C1930" s="7" t="n">
        <v>3</v>
      </c>
      <c r="D1930" s="7" t="n">
        <v>0.25</v>
      </c>
      <c r="E1930" s="7" t="n">
        <v>0.08890000000000001</v>
      </c>
      <c r="F1930" s="8" t="inlineStr">
        <is>
          <t>Medium</t>
        </is>
      </c>
      <c r="G1930" s="8" t="inlineStr">
        <is>
          <t>Medium</t>
        </is>
      </c>
      <c r="H1930">
        <f>IF(F1930=G1930,"YES","NO")</f>
        <v/>
      </c>
    </row>
    <row r="1931">
      <c r="A1931" s="6" t="inlineStr">
        <is>
          <t>Evan Baughman</t>
        </is>
      </c>
      <c r="B1931" s="7" t="n">
        <v>31</v>
      </c>
      <c r="C1931" s="7" t="n">
        <v>7</v>
      </c>
      <c r="D1931" s="7" t="n">
        <v>0.2258</v>
      </c>
      <c r="E1931" s="7" t="n">
        <v>0.1139</v>
      </c>
      <c r="F1931" s="8" t="inlineStr">
        <is>
          <t>Medium</t>
        </is>
      </c>
      <c r="G1931" s="8" t="inlineStr">
        <is>
          <t>Low</t>
        </is>
      </c>
      <c r="H1931">
        <f>IF(F1931=G1931,"YES","NO")</f>
        <v/>
      </c>
    </row>
    <row r="1932">
      <c r="A1932" s="6" t="inlineStr">
        <is>
          <t>Evan Langan</t>
        </is>
      </c>
      <c r="B1932" s="7" t="n">
        <v>46</v>
      </c>
      <c r="C1932" s="7" t="n">
        <v>9</v>
      </c>
      <c r="D1932" s="7" t="n">
        <v>0.1957</v>
      </c>
      <c r="E1932" s="7" t="n">
        <v>0.1065</v>
      </c>
      <c r="F1932" s="8" t="inlineStr">
        <is>
          <t>Medium</t>
        </is>
      </c>
      <c r="G1932" s="8" t="inlineStr">
        <is>
          <t>Low</t>
        </is>
      </c>
      <c r="H1932">
        <f>IF(F1932=G1932,"YES","NO")</f>
        <v/>
      </c>
    </row>
    <row r="1933">
      <c r="A1933" s="6" t="inlineStr">
        <is>
          <t>GREG  KELL</t>
        </is>
      </c>
      <c r="B1933" s="7" t="n">
        <v>4</v>
      </c>
      <c r="C1933" s="7" t="n">
        <v>1</v>
      </c>
      <c r="D1933" s="7" t="n">
        <v>0.25</v>
      </c>
      <c r="E1933" s="7" t="n">
        <v>0.0456</v>
      </c>
      <c r="F1933" s="8" t="inlineStr">
        <is>
          <t>Medium</t>
        </is>
      </c>
      <c r="G1933" s="8" t="inlineStr">
        <is>
          <t>Medium</t>
        </is>
      </c>
      <c r="H1933">
        <f>IF(F1933=G1933,"YES","NO")</f>
        <v/>
      </c>
    </row>
    <row r="1934">
      <c r="A1934" s="6" t="inlineStr">
        <is>
          <t>Glenn Grilli</t>
        </is>
      </c>
      <c r="B1934" s="7" t="n">
        <v>4</v>
      </c>
      <c r="C1934" s="7" t="n">
        <v>1</v>
      </c>
      <c r="D1934" s="7" t="n">
        <v>0.25</v>
      </c>
      <c r="E1934" s="7" t="n">
        <v>0.0456</v>
      </c>
      <c r="F1934" s="8" t="inlineStr">
        <is>
          <t>Medium</t>
        </is>
      </c>
      <c r="G1934" s="8" t="inlineStr">
        <is>
          <t>Medium</t>
        </is>
      </c>
      <c r="H1934">
        <f>IF(F1934=G1934,"YES","NO")</f>
        <v/>
      </c>
    </row>
    <row r="1935">
      <c r="A1935" s="6" t="inlineStr">
        <is>
          <t>Grant Goldsmith</t>
        </is>
      </c>
      <c r="B1935" s="7" t="n">
        <v>2</v>
      </c>
      <c r="C1935" s="7" t="n">
        <v>1</v>
      </c>
      <c r="D1935" s="7" t="n">
        <v>0.5</v>
      </c>
      <c r="E1935" s="7" t="n">
        <v>0.0945</v>
      </c>
      <c r="F1935" s="8" t="inlineStr">
        <is>
          <t>Medium</t>
        </is>
      </c>
      <c r="G1935" s="8" t="inlineStr">
        <is>
          <t>Low</t>
        </is>
      </c>
      <c r="H1935">
        <f>IF(F1935=G1935,"YES","NO")</f>
        <v/>
      </c>
    </row>
    <row r="1936">
      <c r="A1936" s="6" t="inlineStr">
        <is>
          <t>Hugo Cimbalnik</t>
        </is>
      </c>
      <c r="B1936" s="7" t="n">
        <v>9</v>
      </c>
      <c r="C1936" s="7" t="n">
        <v>2</v>
      </c>
      <c r="D1936" s="7" t="n">
        <v>0.2222</v>
      </c>
      <c r="E1936" s="7" t="n">
        <v>0.06320000000000001</v>
      </c>
      <c r="F1936" s="8" t="inlineStr">
        <is>
          <t>Medium</t>
        </is>
      </c>
      <c r="G1936" s="8" t="inlineStr">
        <is>
          <t>High</t>
        </is>
      </c>
      <c r="H1936">
        <f>IF(F1936=G1936,"YES","NO")</f>
        <v/>
      </c>
    </row>
    <row r="1937">
      <c r="A1937" s="6" t="inlineStr">
        <is>
          <t>Jacob Simmons</t>
        </is>
      </c>
      <c r="B1937" s="7" t="n">
        <v>9</v>
      </c>
      <c r="C1937" s="7" t="n">
        <v>2</v>
      </c>
      <c r="D1937" s="7" t="n">
        <v>0.2222</v>
      </c>
      <c r="E1937" s="7" t="n">
        <v>0.06320000000000001</v>
      </c>
      <c r="F1937" s="8" t="inlineStr">
        <is>
          <t>Medium</t>
        </is>
      </c>
      <c r="G1937" s="8" t="inlineStr">
        <is>
          <t>Medium</t>
        </is>
      </c>
      <c r="H1937">
        <f>IF(F1937=G1937,"YES","NO")</f>
        <v/>
      </c>
    </row>
    <row r="1938">
      <c r="A1938" s="6" t="inlineStr">
        <is>
          <t>Jake Lewis</t>
        </is>
      </c>
      <c r="B1938" s="7" t="n">
        <v>4</v>
      </c>
      <c r="C1938" s="7" t="n">
        <v>1</v>
      </c>
      <c r="D1938" s="7" t="n">
        <v>0.25</v>
      </c>
      <c r="E1938" s="7" t="n">
        <v>0.0456</v>
      </c>
      <c r="F1938" s="8" t="inlineStr">
        <is>
          <t>Medium</t>
        </is>
      </c>
      <c r="G1938" s="8" t="inlineStr">
        <is>
          <t>High</t>
        </is>
      </c>
      <c r="H1938">
        <f>IF(F1938=G1938,"YES","NO")</f>
        <v/>
      </c>
    </row>
    <row r="1939">
      <c r="A1939" s="6" t="inlineStr">
        <is>
          <t>James Warnick</t>
        </is>
      </c>
      <c r="B1939" s="7" t="n">
        <v>4</v>
      </c>
      <c r="C1939" s="7" t="n">
        <v>1</v>
      </c>
      <c r="D1939" s="7" t="n">
        <v>0.25</v>
      </c>
      <c r="E1939" s="7" t="n">
        <v>0.0456</v>
      </c>
      <c r="F1939" s="8" t="inlineStr">
        <is>
          <t>Medium</t>
        </is>
      </c>
      <c r="G1939" s="8" t="inlineStr">
        <is>
          <t>Medium</t>
        </is>
      </c>
      <c r="H1939">
        <f>IF(F1939=G1939,"YES","NO")</f>
        <v/>
      </c>
    </row>
    <row r="1940">
      <c r="A1940" s="6" t="inlineStr">
        <is>
          <t>Jason Barker</t>
        </is>
      </c>
      <c r="B1940" s="7" t="n">
        <v>8</v>
      </c>
      <c r="C1940" s="7" t="n">
        <v>2</v>
      </c>
      <c r="D1940" s="7" t="n">
        <v>0.25</v>
      </c>
      <c r="E1940" s="7" t="n">
        <v>0.07149999999999999</v>
      </c>
      <c r="F1940" s="8" t="inlineStr">
        <is>
          <t>Medium</t>
        </is>
      </c>
      <c r="G1940" s="8" t="inlineStr">
        <is>
          <t>Medium</t>
        </is>
      </c>
      <c r="H1940">
        <f>IF(F1940=G1940,"YES","NO")</f>
        <v/>
      </c>
    </row>
    <row r="1941">
      <c r="A1941" s="6" t="inlineStr">
        <is>
          <t>Jeanette James</t>
        </is>
      </c>
      <c r="B1941" s="7" t="n">
        <v>77</v>
      </c>
      <c r="C1941" s="7" t="n">
        <v>14</v>
      </c>
      <c r="D1941" s="7" t="n">
        <v>0.1818</v>
      </c>
      <c r="E1941" s="7" t="n">
        <v>0.1115</v>
      </c>
      <c r="F1941" s="8" t="inlineStr">
        <is>
          <t>Medium</t>
        </is>
      </c>
      <c r="G1941" s="8" t="inlineStr">
        <is>
          <t>Low</t>
        </is>
      </c>
      <c r="H1941">
        <f>IF(F1941=G1941,"YES","NO")</f>
        <v/>
      </c>
    </row>
    <row r="1942">
      <c r="A1942" s="6" t="inlineStr">
        <is>
          <t>Jeff Johnson</t>
        </is>
      </c>
      <c r="B1942" s="7" t="n">
        <v>3</v>
      </c>
      <c r="C1942" s="7" t="n">
        <v>1</v>
      </c>
      <c r="D1942" s="7" t="n">
        <v>0.3333</v>
      </c>
      <c r="E1942" s="7" t="n">
        <v>0.0615</v>
      </c>
      <c r="F1942" s="8" t="inlineStr">
        <is>
          <t>Medium</t>
        </is>
      </c>
      <c r="G1942" s="8" t="inlineStr">
        <is>
          <t>Low</t>
        </is>
      </c>
      <c r="H1942">
        <f>IF(F1942=G1942,"YES","NO")</f>
        <v/>
      </c>
    </row>
    <row r="1943">
      <c r="A1943" s="6" t="inlineStr">
        <is>
          <t>Jeremy Nollen</t>
        </is>
      </c>
      <c r="B1943" s="7" t="n">
        <v>8</v>
      </c>
      <c r="C1943" s="7" t="n">
        <v>2</v>
      </c>
      <c r="D1943" s="7" t="n">
        <v>0.25</v>
      </c>
      <c r="E1943" s="7" t="n">
        <v>0.07149999999999999</v>
      </c>
      <c r="F1943" s="8" t="inlineStr">
        <is>
          <t>Medium</t>
        </is>
      </c>
      <c r="G1943" s="8" t="inlineStr">
        <is>
          <t>Medium</t>
        </is>
      </c>
      <c r="H1943">
        <f>IF(F1943=G1943,"YES","NO")</f>
        <v/>
      </c>
    </row>
    <row r="1944">
      <c r="A1944" s="6" t="inlineStr">
        <is>
          <t>Jessy Otero</t>
        </is>
      </c>
      <c r="B1944" s="7" t="n">
        <v>4</v>
      </c>
      <c r="C1944" s="7" t="n">
        <v>1</v>
      </c>
      <c r="D1944" s="7" t="n">
        <v>0.25</v>
      </c>
      <c r="E1944" s="7" t="n">
        <v>0.0456</v>
      </c>
      <c r="F1944" s="8" t="inlineStr">
        <is>
          <t>Medium</t>
        </is>
      </c>
      <c r="G1944" s="8" t="inlineStr">
        <is>
          <t>Low</t>
        </is>
      </c>
      <c r="H1944">
        <f>IF(F1944=G1944,"YES","NO")</f>
        <v/>
      </c>
    </row>
    <row r="1945">
      <c r="A1945" s="6" t="inlineStr">
        <is>
          <t>John Morcom</t>
        </is>
      </c>
      <c r="B1945" s="7" t="n">
        <v>2</v>
      </c>
      <c r="C1945" s="7" t="n">
        <v>1</v>
      </c>
      <c r="D1945" s="7" t="n">
        <v>0.5</v>
      </c>
      <c r="E1945" s="7" t="n">
        <v>0.0945</v>
      </c>
      <c r="F1945" s="8" t="inlineStr">
        <is>
          <t>Medium</t>
        </is>
      </c>
      <c r="G1945" s="8" t="inlineStr">
        <is>
          <t>Low</t>
        </is>
      </c>
      <c r="H1945">
        <f>IF(F1945=G1945,"YES","NO")</f>
        <v/>
      </c>
    </row>
    <row r="1946">
      <c r="A1946" s="6" t="inlineStr">
        <is>
          <t>Joseph Waldo</t>
        </is>
      </c>
      <c r="B1946" s="7" t="n">
        <v>2</v>
      </c>
      <c r="C1946" s="7" t="n">
        <v>1</v>
      </c>
      <c r="D1946" s="7" t="n">
        <v>0.5</v>
      </c>
      <c r="E1946" s="7" t="n">
        <v>0.0945</v>
      </c>
      <c r="F1946" s="8" t="inlineStr">
        <is>
          <t>Medium</t>
        </is>
      </c>
      <c r="G1946" s="8" t="inlineStr">
        <is>
          <t>Low</t>
        </is>
      </c>
      <c r="H1946">
        <f>IF(F1946=G1946,"YES","NO")</f>
        <v/>
      </c>
    </row>
    <row r="1947">
      <c r="A1947" s="6" t="inlineStr">
        <is>
          <t>Joseylyn Hough</t>
        </is>
      </c>
      <c r="B1947" s="7" t="n">
        <v>10</v>
      </c>
      <c r="C1947" s="7" t="n">
        <v>2</v>
      </c>
      <c r="D1947" s="7" t="n">
        <v>0.2</v>
      </c>
      <c r="E1947" s="7" t="n">
        <v>0.0567</v>
      </c>
      <c r="F1947" s="8" t="inlineStr">
        <is>
          <t>Medium</t>
        </is>
      </c>
      <c r="G1947" s="8" t="inlineStr">
        <is>
          <t>Medium</t>
        </is>
      </c>
      <c r="H1947">
        <f>IF(F1947=G1947,"YES","NO")</f>
        <v/>
      </c>
    </row>
    <row r="1948">
      <c r="A1948" s="6" t="inlineStr">
        <is>
          <t>Justin Peart</t>
        </is>
      </c>
      <c r="B1948" s="7" t="n">
        <v>22</v>
      </c>
      <c r="C1948" s="7" t="n">
        <v>5</v>
      </c>
      <c r="D1948" s="7" t="n">
        <v>0.2273</v>
      </c>
      <c r="E1948" s="7" t="n">
        <v>0.1012</v>
      </c>
      <c r="F1948" s="8" t="inlineStr">
        <is>
          <t>Medium</t>
        </is>
      </c>
      <c r="G1948" s="8" t="inlineStr">
        <is>
          <t>Low</t>
        </is>
      </c>
      <c r="H1948">
        <f>IF(F1948=G1948,"YES","NO")</f>
        <v/>
      </c>
    </row>
    <row r="1949">
      <c r="A1949" s="6" t="inlineStr">
        <is>
          <t>KEVIN KEATING</t>
        </is>
      </c>
      <c r="B1949" s="7" t="n">
        <v>15</v>
      </c>
      <c r="C1949" s="7" t="n">
        <v>3</v>
      </c>
      <c r="D1949" s="7" t="n">
        <v>0.2</v>
      </c>
      <c r="E1949" s="7" t="n">
        <v>0.07049999999999999</v>
      </c>
      <c r="F1949" s="8" t="inlineStr">
        <is>
          <t>Medium</t>
        </is>
      </c>
      <c r="G1949" s="8" t="inlineStr">
        <is>
          <t>Medium</t>
        </is>
      </c>
      <c r="H1949">
        <f>IF(F1949=G1949,"YES","NO")</f>
        <v/>
      </c>
    </row>
    <row r="1950">
      <c r="A1950" s="6" t="inlineStr">
        <is>
          <t>Karel Stover</t>
        </is>
      </c>
      <c r="B1950" s="7" t="n">
        <v>8</v>
      </c>
      <c r="C1950" s="7" t="n">
        <v>2</v>
      </c>
      <c r="D1950" s="7" t="n">
        <v>0.25</v>
      </c>
      <c r="E1950" s="7" t="n">
        <v>0.07149999999999999</v>
      </c>
      <c r="F1950" s="8" t="inlineStr">
        <is>
          <t>Medium</t>
        </is>
      </c>
      <c r="G1950" s="8" t="inlineStr">
        <is>
          <t>Low</t>
        </is>
      </c>
      <c r="H1950">
        <f>IF(F1950=G1950,"YES","NO")</f>
        <v/>
      </c>
    </row>
    <row r="1951">
      <c r="A1951" s="6" t="inlineStr">
        <is>
          <t>Keith Belcher</t>
        </is>
      </c>
      <c r="B1951" s="7" t="n">
        <v>4</v>
      </c>
      <c r="C1951" s="7" t="n">
        <v>1</v>
      </c>
      <c r="D1951" s="7" t="n">
        <v>0.25</v>
      </c>
      <c r="E1951" s="7" t="n">
        <v>0.0456</v>
      </c>
      <c r="F1951" s="8" t="inlineStr">
        <is>
          <t>Medium</t>
        </is>
      </c>
      <c r="G1951" s="8" t="inlineStr">
        <is>
          <t>Low</t>
        </is>
      </c>
      <c r="H1951">
        <f>IF(F1951=G1951,"YES","NO")</f>
        <v/>
      </c>
    </row>
    <row r="1952">
      <c r="A1952" s="6" t="inlineStr">
        <is>
          <t>Kelsi Galya</t>
        </is>
      </c>
      <c r="B1952" s="7" t="n">
        <v>2</v>
      </c>
      <c r="C1952" s="7" t="n">
        <v>1</v>
      </c>
      <c r="D1952" s="7" t="n">
        <v>0.5</v>
      </c>
      <c r="E1952" s="7" t="n">
        <v>0.0945</v>
      </c>
      <c r="F1952" s="8" t="inlineStr">
        <is>
          <t>Medium</t>
        </is>
      </c>
      <c r="G1952" s="8" t="inlineStr">
        <is>
          <t>Low</t>
        </is>
      </c>
      <c r="H1952">
        <f>IF(F1952=G1952,"YES","NO")</f>
        <v/>
      </c>
    </row>
    <row r="1953">
      <c r="A1953" s="6" t="inlineStr">
        <is>
          <t>Kevin Tapia</t>
        </is>
      </c>
      <c r="B1953" s="7" t="n">
        <v>3</v>
      </c>
      <c r="C1953" s="7" t="n">
        <v>1</v>
      </c>
      <c r="D1953" s="7" t="n">
        <v>0.3333</v>
      </c>
      <c r="E1953" s="7" t="n">
        <v>0.0615</v>
      </c>
      <c r="F1953" s="8" t="inlineStr">
        <is>
          <t>Medium</t>
        </is>
      </c>
      <c r="G1953" s="8" t="inlineStr">
        <is>
          <t>High</t>
        </is>
      </c>
      <c r="H1953">
        <f>IF(F1953=G1953,"YES","NO")</f>
        <v/>
      </c>
    </row>
    <row r="1954">
      <c r="A1954" s="6" t="inlineStr">
        <is>
          <t>Kyle Arnold</t>
        </is>
      </c>
      <c r="B1954" s="7" t="n">
        <v>4</v>
      </c>
      <c r="C1954" s="7" t="n">
        <v>1</v>
      </c>
      <c r="D1954" s="7" t="n">
        <v>0.25</v>
      </c>
      <c r="E1954" s="7" t="n">
        <v>0.0456</v>
      </c>
      <c r="F1954" s="8" t="inlineStr">
        <is>
          <t>Medium</t>
        </is>
      </c>
      <c r="G1954" s="8" t="inlineStr">
        <is>
          <t>Medium</t>
        </is>
      </c>
      <c r="H1954">
        <f>IF(F1954=G1954,"YES","NO")</f>
        <v/>
      </c>
    </row>
    <row r="1955">
      <c r="A1955" s="6" t="inlineStr">
        <is>
          <t>Lauren Cusick</t>
        </is>
      </c>
      <c r="B1955" s="7" t="n">
        <v>4</v>
      </c>
      <c r="C1955" s="7" t="n">
        <v>1</v>
      </c>
      <c r="D1955" s="7" t="n">
        <v>0.25</v>
      </c>
      <c r="E1955" s="7" t="n">
        <v>0.0456</v>
      </c>
      <c r="F1955" s="8" t="inlineStr">
        <is>
          <t>Medium</t>
        </is>
      </c>
      <c r="G1955" s="8" t="inlineStr">
        <is>
          <t>Low</t>
        </is>
      </c>
      <c r="H1955">
        <f>IF(F1955=G1955,"YES","NO")</f>
        <v/>
      </c>
    </row>
    <row r="1956">
      <c r="A1956" s="6" t="inlineStr">
        <is>
          <t>Loren Osiecki</t>
        </is>
      </c>
      <c r="B1956" s="7" t="n">
        <v>16</v>
      </c>
      <c r="C1956" s="7" t="n">
        <v>4</v>
      </c>
      <c r="D1956" s="7" t="n">
        <v>0.25</v>
      </c>
      <c r="E1956" s="7" t="n">
        <v>0.1018</v>
      </c>
      <c r="F1956" s="8" t="inlineStr">
        <is>
          <t>Medium</t>
        </is>
      </c>
      <c r="G1956" s="8" t="inlineStr">
        <is>
          <t>Medium</t>
        </is>
      </c>
      <c r="H1956">
        <f>IF(F1956=G1956,"YES","NO")</f>
        <v/>
      </c>
    </row>
    <row r="1957">
      <c r="A1957" s="6" t="inlineStr">
        <is>
          <t>Maquel Capers</t>
        </is>
      </c>
      <c r="B1957" s="7" t="n">
        <v>9</v>
      </c>
      <c r="C1957" s="7" t="n">
        <v>2</v>
      </c>
      <c r="D1957" s="7" t="n">
        <v>0.2222</v>
      </c>
      <c r="E1957" s="7" t="n">
        <v>0.06320000000000001</v>
      </c>
      <c r="F1957" s="8" t="inlineStr">
        <is>
          <t>Medium</t>
        </is>
      </c>
      <c r="G1957" s="8" t="inlineStr">
        <is>
          <t>Low</t>
        </is>
      </c>
      <c r="H1957">
        <f>IF(F1957=G1957,"YES","NO")</f>
        <v/>
      </c>
    </row>
    <row r="1958">
      <c r="A1958" s="6" t="inlineStr">
        <is>
          <t>Maria Ramirez</t>
        </is>
      </c>
      <c r="B1958" s="7" t="n">
        <v>11</v>
      </c>
      <c r="C1958" s="7" t="n">
        <v>3</v>
      </c>
      <c r="D1958" s="7" t="n">
        <v>0.2727</v>
      </c>
      <c r="E1958" s="7" t="n">
        <v>0.0975</v>
      </c>
      <c r="F1958" s="8" t="inlineStr">
        <is>
          <t>Medium</t>
        </is>
      </c>
      <c r="G1958" s="8" t="inlineStr">
        <is>
          <t>Low</t>
        </is>
      </c>
      <c r="H1958">
        <f>IF(F1958=G1958,"YES","NO")</f>
        <v/>
      </c>
    </row>
    <row r="1959">
      <c r="A1959" s="6" t="inlineStr">
        <is>
          <t>Marija Vidanovic</t>
        </is>
      </c>
      <c r="B1959" s="7" t="n">
        <v>10</v>
      </c>
      <c r="C1959" s="7" t="n">
        <v>2</v>
      </c>
      <c r="D1959" s="7" t="n">
        <v>0.2</v>
      </c>
      <c r="E1959" s="7" t="n">
        <v>0.0567</v>
      </c>
      <c r="F1959" s="8" t="inlineStr">
        <is>
          <t>Medium</t>
        </is>
      </c>
      <c r="G1959" s="8" t="inlineStr">
        <is>
          <t>Low</t>
        </is>
      </c>
      <c r="H1959">
        <f>IF(F1959=G1959,"YES","NO")</f>
        <v/>
      </c>
    </row>
    <row r="1960">
      <c r="A1960" s="6" t="inlineStr">
        <is>
          <t>Mark Bolling</t>
        </is>
      </c>
      <c r="B1960" s="7" t="n">
        <v>62</v>
      </c>
      <c r="C1960" s="7" t="n">
        <v>12</v>
      </c>
      <c r="D1960" s="7" t="n">
        <v>0.1935</v>
      </c>
      <c r="E1960" s="7" t="n">
        <v>0.1143</v>
      </c>
      <c r="F1960" s="8" t="inlineStr">
        <is>
          <t>Medium</t>
        </is>
      </c>
      <c r="G1960" s="8" t="inlineStr">
        <is>
          <t>High</t>
        </is>
      </c>
      <c r="H1960">
        <f>IF(F1960=G1960,"YES","NO")</f>
        <v/>
      </c>
    </row>
    <row r="1961">
      <c r="A1961" s="6" t="inlineStr">
        <is>
          <t>Michelle Owens</t>
        </is>
      </c>
      <c r="B1961" s="7" t="n">
        <v>20</v>
      </c>
      <c r="C1961" s="7" t="n">
        <v>5</v>
      </c>
      <c r="D1961" s="7" t="n">
        <v>0.25</v>
      </c>
      <c r="E1961" s="7" t="n">
        <v>0.1119</v>
      </c>
      <c r="F1961" s="8" t="inlineStr">
        <is>
          <t>Medium</t>
        </is>
      </c>
      <c r="G1961" s="8" t="inlineStr">
        <is>
          <t>Low</t>
        </is>
      </c>
      <c r="H1961">
        <f>IF(F1961=G1961,"YES","NO")</f>
        <v/>
      </c>
    </row>
    <row r="1962">
      <c r="A1962" s="6" t="inlineStr">
        <is>
          <t>Mike Kelly</t>
        </is>
      </c>
      <c r="B1962" s="7" t="n">
        <v>9</v>
      </c>
      <c r="C1962" s="7" t="n">
        <v>2</v>
      </c>
      <c r="D1962" s="7" t="n">
        <v>0.2222</v>
      </c>
      <c r="E1962" s="7" t="n">
        <v>0.06320000000000001</v>
      </c>
      <c r="F1962" s="8" t="inlineStr">
        <is>
          <t>Medium</t>
        </is>
      </c>
      <c r="G1962" s="8" t="inlineStr">
        <is>
          <t>Medium</t>
        </is>
      </c>
      <c r="H1962">
        <f>IF(F1962=G1962,"YES","NO")</f>
        <v/>
      </c>
    </row>
    <row r="1963">
      <c r="A1963" s="6" t="inlineStr">
        <is>
          <t>Mitchell Mawby</t>
        </is>
      </c>
      <c r="B1963" s="7" t="n">
        <v>2</v>
      </c>
      <c r="C1963" s="7" t="n">
        <v>1</v>
      </c>
      <c r="D1963" s="7" t="n">
        <v>0.5</v>
      </c>
      <c r="E1963" s="7" t="n">
        <v>0.0945</v>
      </c>
      <c r="F1963" s="8" t="inlineStr">
        <is>
          <t>Medium</t>
        </is>
      </c>
      <c r="G1963" s="8" t="inlineStr">
        <is>
          <t>Medium</t>
        </is>
      </c>
      <c r="H1963">
        <f>IF(F1963=G1963,"YES","NO")</f>
        <v/>
      </c>
    </row>
    <row r="1964">
      <c r="A1964" s="6" t="inlineStr">
        <is>
          <t>Moshe Heber</t>
        </is>
      </c>
      <c r="B1964" s="7" t="n">
        <v>6</v>
      </c>
      <c r="C1964" s="7" t="n">
        <v>2</v>
      </c>
      <c r="D1964" s="7" t="n">
        <v>0.3333</v>
      </c>
      <c r="E1964" s="7" t="n">
        <v>0.0968</v>
      </c>
      <c r="F1964" s="8" t="inlineStr">
        <is>
          <t>Medium</t>
        </is>
      </c>
      <c r="G1964" s="8" t="inlineStr">
        <is>
          <t>Medium</t>
        </is>
      </c>
      <c r="H1964">
        <f>IF(F1964=G1964,"YES","NO")</f>
        <v/>
      </c>
    </row>
    <row r="1965">
      <c r="A1965" s="6" t="inlineStr">
        <is>
          <t>Nathan Langerman</t>
        </is>
      </c>
      <c r="B1965" s="7" t="n">
        <v>2</v>
      </c>
      <c r="C1965" s="7" t="n">
        <v>1</v>
      </c>
      <c r="D1965" s="7" t="n">
        <v>0.5</v>
      </c>
      <c r="E1965" s="7" t="n">
        <v>0.0945</v>
      </c>
      <c r="F1965" s="8" t="inlineStr">
        <is>
          <t>Medium</t>
        </is>
      </c>
      <c r="G1965" s="8" t="inlineStr">
        <is>
          <t>Low</t>
        </is>
      </c>
      <c r="H1965">
        <f>IF(F1965=G1965,"YES","NO")</f>
        <v/>
      </c>
    </row>
    <row r="1966">
      <c r="A1966" s="6" t="inlineStr">
        <is>
          <t>Nicholas Morales</t>
        </is>
      </c>
      <c r="B1966" s="7" t="n">
        <v>4</v>
      </c>
      <c r="C1966" s="7" t="n">
        <v>1</v>
      </c>
      <c r="D1966" s="7" t="n">
        <v>0.25</v>
      </c>
      <c r="E1966" s="7" t="n">
        <v>0.0456</v>
      </c>
      <c r="F1966" s="8" t="inlineStr">
        <is>
          <t>Medium</t>
        </is>
      </c>
      <c r="G1966" s="8" t="inlineStr">
        <is>
          <t>Low</t>
        </is>
      </c>
      <c r="H1966">
        <f>IF(F1966=G1966,"YES","NO")</f>
        <v/>
      </c>
    </row>
    <row r="1967">
      <c r="A1967" s="6" t="inlineStr">
        <is>
          <t>Pat  Pithan</t>
        </is>
      </c>
      <c r="B1967" s="7" t="n">
        <v>30</v>
      </c>
      <c r="C1967" s="7" t="n">
        <v>6</v>
      </c>
      <c r="D1967" s="7" t="n">
        <v>0.2</v>
      </c>
      <c r="E1967" s="7" t="n">
        <v>0.095</v>
      </c>
      <c r="F1967" s="8" t="inlineStr">
        <is>
          <t>Medium</t>
        </is>
      </c>
      <c r="G1967" s="8" t="inlineStr">
        <is>
          <t>High</t>
        </is>
      </c>
      <c r="H1967">
        <f>IF(F1967=G1967,"YES","NO")</f>
        <v/>
      </c>
    </row>
    <row r="1968">
      <c r="A1968" s="6" t="inlineStr">
        <is>
          <t>Rachel VanOrman</t>
        </is>
      </c>
      <c r="B1968" s="7" t="n">
        <v>33</v>
      </c>
      <c r="C1968" s="7" t="n">
        <v>7</v>
      </c>
      <c r="D1968" s="7" t="n">
        <v>0.2121</v>
      </c>
      <c r="E1968" s="7" t="n">
        <v>0.1068</v>
      </c>
      <c r="F1968" s="8" t="inlineStr">
        <is>
          <t>Medium</t>
        </is>
      </c>
      <c r="G1968" s="8" t="inlineStr">
        <is>
          <t>Low</t>
        </is>
      </c>
      <c r="H1968">
        <f>IF(F1968=G1968,"YES","NO")</f>
        <v/>
      </c>
    </row>
    <row r="1969">
      <c r="A1969" s="6" t="inlineStr">
        <is>
          <t>Randy Cole</t>
        </is>
      </c>
      <c r="B1969" s="7" t="n">
        <v>41</v>
      </c>
      <c r="C1969" s="7" t="n">
        <v>8</v>
      </c>
      <c r="D1969" s="7" t="n">
        <v>0.1951</v>
      </c>
      <c r="E1969" s="7" t="n">
        <v>0.1023</v>
      </c>
      <c r="F1969" s="8" t="inlineStr">
        <is>
          <t>Medium</t>
        </is>
      </c>
      <c r="G1969" s="8" t="inlineStr">
        <is>
          <t>Low</t>
        </is>
      </c>
      <c r="H1969">
        <f>IF(F1969=G1969,"YES","NO")</f>
        <v/>
      </c>
    </row>
    <row r="1970">
      <c r="A1970" s="6" t="inlineStr">
        <is>
          <t>Randy Shea</t>
        </is>
      </c>
      <c r="B1970" s="7" t="n">
        <v>2</v>
      </c>
      <c r="C1970" s="7" t="n">
        <v>1</v>
      </c>
      <c r="D1970" s="7" t="n">
        <v>0.5</v>
      </c>
      <c r="E1970" s="7" t="n">
        <v>0.0945</v>
      </c>
      <c r="F1970" s="8" t="inlineStr">
        <is>
          <t>Medium</t>
        </is>
      </c>
      <c r="G1970" s="8" t="inlineStr">
        <is>
          <t>Medium</t>
        </is>
      </c>
      <c r="H1970">
        <f>IF(F1970=G1970,"YES","NO")</f>
        <v/>
      </c>
    </row>
    <row r="1971">
      <c r="A1971" s="6" t="inlineStr">
        <is>
          <t>Robert Becker</t>
        </is>
      </c>
      <c r="B1971" s="7" t="n">
        <v>4</v>
      </c>
      <c r="C1971" s="7" t="n">
        <v>1</v>
      </c>
      <c r="D1971" s="7" t="n">
        <v>0.25</v>
      </c>
      <c r="E1971" s="7" t="n">
        <v>0.0456</v>
      </c>
      <c r="F1971" s="8" t="inlineStr">
        <is>
          <t>Medium</t>
        </is>
      </c>
      <c r="G1971" s="8" t="inlineStr">
        <is>
          <t>Low</t>
        </is>
      </c>
      <c r="H1971">
        <f>IF(F1971=G1971,"YES","NO")</f>
        <v/>
      </c>
    </row>
    <row r="1972">
      <c r="A1972" s="6" t="inlineStr">
        <is>
          <t>Rocky Coffey</t>
        </is>
      </c>
      <c r="B1972" s="7" t="n">
        <v>2</v>
      </c>
      <c r="C1972" s="7" t="n">
        <v>1</v>
      </c>
      <c r="D1972" s="7" t="n">
        <v>0.5</v>
      </c>
      <c r="E1972" s="7" t="n">
        <v>0.0945</v>
      </c>
      <c r="F1972" s="8" t="inlineStr">
        <is>
          <t>Medium</t>
        </is>
      </c>
      <c r="G1972" s="8" t="inlineStr">
        <is>
          <t>Low</t>
        </is>
      </c>
      <c r="H1972">
        <f>IF(F1972=G1972,"YES","NO")</f>
        <v/>
      </c>
    </row>
    <row r="1973">
      <c r="A1973" s="6" t="inlineStr">
        <is>
          <t>Ron Drag</t>
        </is>
      </c>
      <c r="B1973" s="7" t="n">
        <v>2</v>
      </c>
      <c r="C1973" s="7" t="n">
        <v>1</v>
      </c>
      <c r="D1973" s="7" t="n">
        <v>0.5</v>
      </c>
      <c r="E1973" s="7" t="n">
        <v>0.0945</v>
      </c>
      <c r="F1973" s="8" t="inlineStr">
        <is>
          <t>Medium</t>
        </is>
      </c>
      <c r="G1973" s="8" t="inlineStr">
        <is>
          <t>Low</t>
        </is>
      </c>
      <c r="H1973">
        <f>IF(F1973=G1973,"YES","NO")</f>
        <v/>
      </c>
    </row>
    <row r="1974">
      <c r="A1974" s="6" t="inlineStr">
        <is>
          <t>Rory Kahler</t>
        </is>
      </c>
      <c r="B1974" s="7" t="n">
        <v>4</v>
      </c>
      <c r="C1974" s="7" t="n">
        <v>1</v>
      </c>
      <c r="D1974" s="7" t="n">
        <v>0.25</v>
      </c>
      <c r="E1974" s="7" t="n">
        <v>0.0456</v>
      </c>
      <c r="F1974" s="8" t="inlineStr">
        <is>
          <t>Medium</t>
        </is>
      </c>
      <c r="G1974" s="8" t="inlineStr">
        <is>
          <t>Medium</t>
        </is>
      </c>
      <c r="H1974">
        <f>IF(F1974=G1974,"YES","NO")</f>
        <v/>
      </c>
    </row>
    <row r="1975">
      <c r="A1975" s="6" t="inlineStr">
        <is>
          <t>Ryan Clark</t>
        </is>
      </c>
      <c r="B1975" s="7" t="n">
        <v>6</v>
      </c>
      <c r="C1975" s="7" t="n">
        <v>2</v>
      </c>
      <c r="D1975" s="7" t="n">
        <v>0.3333</v>
      </c>
      <c r="E1975" s="7" t="n">
        <v>0.0968</v>
      </c>
      <c r="F1975" s="8" t="inlineStr">
        <is>
          <t>Medium</t>
        </is>
      </c>
      <c r="G1975" s="8" t="inlineStr">
        <is>
          <t>Low</t>
        </is>
      </c>
      <c r="H1975">
        <f>IF(F1975=G1975,"YES","NO")</f>
        <v/>
      </c>
    </row>
    <row r="1976">
      <c r="A1976" s="6" t="inlineStr">
        <is>
          <t>Ryan Evans</t>
        </is>
      </c>
      <c r="B1976" s="7" t="n">
        <v>2</v>
      </c>
      <c r="C1976" s="7" t="n">
        <v>1</v>
      </c>
      <c r="D1976" s="7" t="n">
        <v>0.5</v>
      </c>
      <c r="E1976" s="7" t="n">
        <v>0.0945</v>
      </c>
      <c r="F1976" s="8" t="inlineStr">
        <is>
          <t>Medium</t>
        </is>
      </c>
      <c r="G1976" s="8" t="inlineStr">
        <is>
          <t>Low</t>
        </is>
      </c>
      <c r="H1976">
        <f>IF(F1976=G1976,"YES","NO")</f>
        <v/>
      </c>
    </row>
    <row r="1977">
      <c r="A1977" s="6" t="inlineStr">
        <is>
          <t>Ryan Grosso</t>
        </is>
      </c>
      <c r="B1977" s="7" t="n">
        <v>10</v>
      </c>
      <c r="C1977" s="7" t="n">
        <v>3</v>
      </c>
      <c r="D1977" s="7" t="n">
        <v>0.3</v>
      </c>
      <c r="E1977" s="7" t="n">
        <v>0.1078</v>
      </c>
      <c r="F1977" s="8" t="inlineStr">
        <is>
          <t>Medium</t>
        </is>
      </c>
      <c r="G1977" s="8" t="inlineStr">
        <is>
          <t>High</t>
        </is>
      </c>
      <c r="H1977">
        <f>IF(F1977=G1977,"YES","NO")</f>
        <v/>
      </c>
    </row>
    <row r="1978">
      <c r="A1978" s="6" t="inlineStr">
        <is>
          <t>Sam Wilder</t>
        </is>
      </c>
      <c r="B1978" s="7" t="n">
        <v>8</v>
      </c>
      <c r="C1978" s="7" t="n">
        <v>2</v>
      </c>
      <c r="D1978" s="7" t="n">
        <v>0.25</v>
      </c>
      <c r="E1978" s="7" t="n">
        <v>0.07149999999999999</v>
      </c>
      <c r="F1978" s="8" t="inlineStr">
        <is>
          <t>Medium</t>
        </is>
      </c>
      <c r="G1978" s="8" t="inlineStr">
        <is>
          <t>Low</t>
        </is>
      </c>
      <c r="H1978">
        <f>IF(F1978=G1978,"YES","NO")</f>
        <v/>
      </c>
    </row>
    <row r="1979">
      <c r="A1979" s="6" t="inlineStr">
        <is>
          <t>Sarah Martin</t>
        </is>
      </c>
      <c r="B1979" s="7" t="n">
        <v>39</v>
      </c>
      <c r="C1979" s="7" t="n">
        <v>8</v>
      </c>
      <c r="D1979" s="7" t="n">
        <v>0.2051</v>
      </c>
      <c r="E1979" s="7" t="n">
        <v>0.1078</v>
      </c>
      <c r="F1979" s="8" t="inlineStr">
        <is>
          <t>Medium</t>
        </is>
      </c>
      <c r="G1979" s="8" t="inlineStr">
        <is>
          <t>Low</t>
        </is>
      </c>
      <c r="H1979">
        <f>IF(F1979=G1979,"YES","NO")</f>
        <v/>
      </c>
    </row>
    <row r="1980">
      <c r="A1980" s="6" t="inlineStr">
        <is>
          <t>Scott Hoeck</t>
        </is>
      </c>
      <c r="B1980" s="7" t="n">
        <v>21</v>
      </c>
      <c r="C1980" s="7" t="n">
        <v>4</v>
      </c>
      <c r="D1980" s="7" t="n">
        <v>0.1905</v>
      </c>
      <c r="E1980" s="7" t="n">
        <v>0.0767</v>
      </c>
      <c r="F1980" s="8" t="inlineStr">
        <is>
          <t>Medium</t>
        </is>
      </c>
      <c r="G1980" s="8" t="inlineStr">
        <is>
          <t>Low</t>
        </is>
      </c>
      <c r="H1980">
        <f>IF(F1980=G1980,"YES","NO")</f>
        <v/>
      </c>
    </row>
    <row r="1981">
      <c r="A1981" s="6" t="inlineStr">
        <is>
          <t>Sheila Mundey</t>
        </is>
      </c>
      <c r="B1981" s="7" t="n">
        <v>14</v>
      </c>
      <c r="C1981" s="7" t="n">
        <v>3</v>
      </c>
      <c r="D1981" s="7" t="n">
        <v>0.2143</v>
      </c>
      <c r="E1981" s="7" t="n">
        <v>0.0757</v>
      </c>
      <c r="F1981" s="8" t="inlineStr">
        <is>
          <t>Medium</t>
        </is>
      </c>
      <c r="G1981" s="8" t="inlineStr">
        <is>
          <t>High</t>
        </is>
      </c>
      <c r="H1981">
        <f>IF(F1981=G1981,"YES","NO")</f>
        <v/>
      </c>
    </row>
    <row r="1982">
      <c r="A1982" s="6" t="inlineStr">
        <is>
          <t>Slvestre Esparza</t>
        </is>
      </c>
      <c r="B1982" s="7" t="n">
        <v>3</v>
      </c>
      <c r="C1982" s="7" t="n">
        <v>1</v>
      </c>
      <c r="D1982" s="7" t="n">
        <v>0.3333</v>
      </c>
      <c r="E1982" s="7" t="n">
        <v>0.0615</v>
      </c>
      <c r="F1982" s="8" t="inlineStr">
        <is>
          <t>Medium</t>
        </is>
      </c>
      <c r="G1982" s="8" t="inlineStr">
        <is>
          <t>Medium</t>
        </is>
      </c>
      <c r="H1982">
        <f>IF(F1982=G1982,"YES","NO")</f>
        <v/>
      </c>
    </row>
    <row r="1983">
      <c r="A1983" s="6" t="inlineStr">
        <is>
          <t>Solomon Massey</t>
        </is>
      </c>
      <c r="B1983" s="7" t="n">
        <v>3</v>
      </c>
      <c r="C1983" s="7" t="n">
        <v>1</v>
      </c>
      <c r="D1983" s="7" t="n">
        <v>0.3333</v>
      </c>
      <c r="E1983" s="7" t="n">
        <v>0.0615</v>
      </c>
      <c r="F1983" s="8" t="inlineStr">
        <is>
          <t>Medium</t>
        </is>
      </c>
      <c r="G1983" s="8" t="inlineStr">
        <is>
          <t>Medium</t>
        </is>
      </c>
      <c r="H1983">
        <f>IF(F1983=G1983,"YES","NO")</f>
        <v/>
      </c>
    </row>
    <row r="1984">
      <c r="A1984" s="6" t="inlineStr">
        <is>
          <t>Tad Plantz</t>
        </is>
      </c>
      <c r="B1984" s="7" t="n">
        <v>2</v>
      </c>
      <c r="C1984" s="7" t="n">
        <v>1</v>
      </c>
      <c r="D1984" s="7" t="n">
        <v>0.5</v>
      </c>
      <c r="E1984" s="7" t="n">
        <v>0.0945</v>
      </c>
      <c r="F1984" s="8" t="inlineStr">
        <is>
          <t>Medium</t>
        </is>
      </c>
      <c r="G1984" s="8" t="inlineStr">
        <is>
          <t>High</t>
        </is>
      </c>
      <c r="H1984">
        <f>IF(F1984=G1984,"YES","NO")</f>
        <v/>
      </c>
    </row>
    <row r="1985">
      <c r="A1985" s="6" t="inlineStr">
        <is>
          <t>Tanya Huber</t>
        </is>
      </c>
      <c r="B1985" s="7" t="n">
        <v>14</v>
      </c>
      <c r="C1985" s="7" t="n">
        <v>3</v>
      </c>
      <c r="D1985" s="7" t="n">
        <v>0.2143</v>
      </c>
      <c r="E1985" s="7" t="n">
        <v>0.0757</v>
      </c>
      <c r="F1985" s="8" t="inlineStr">
        <is>
          <t>Medium</t>
        </is>
      </c>
      <c r="G1985" s="8" t="inlineStr">
        <is>
          <t>Medium</t>
        </is>
      </c>
      <c r="H1985">
        <f>IF(F1985=G1985,"YES","NO")</f>
        <v/>
      </c>
    </row>
    <row r="1986">
      <c r="A1986" s="6" t="inlineStr">
        <is>
          <t>Theo Meacham</t>
        </is>
      </c>
      <c r="B1986" s="7" t="n">
        <v>2</v>
      </c>
      <c r="C1986" s="7" t="n">
        <v>1</v>
      </c>
      <c r="D1986" s="7" t="n">
        <v>0.5</v>
      </c>
      <c r="E1986" s="7" t="n">
        <v>0.0945</v>
      </c>
      <c r="F1986" s="8" t="inlineStr">
        <is>
          <t>Medium</t>
        </is>
      </c>
      <c r="G1986" s="8" t="inlineStr">
        <is>
          <t>Low</t>
        </is>
      </c>
      <c r="H1986">
        <f>IF(F1986=G1986,"YES","NO")</f>
        <v/>
      </c>
    </row>
    <row r="1987">
      <c r="A1987" s="6" t="inlineStr">
        <is>
          <t>Todd Erickson</t>
        </is>
      </c>
      <c r="B1987" s="7" t="n">
        <v>37</v>
      </c>
      <c r="C1987" s="7" t="n">
        <v>7</v>
      </c>
      <c r="D1987" s="7" t="n">
        <v>0.1892</v>
      </c>
      <c r="E1987" s="7" t="n">
        <v>0.0948</v>
      </c>
      <c r="F1987" s="8" t="inlineStr">
        <is>
          <t>Medium</t>
        </is>
      </c>
      <c r="G1987" s="8" t="inlineStr">
        <is>
          <t>Low</t>
        </is>
      </c>
      <c r="H1987">
        <f>IF(F1987=G1987,"YES","NO")</f>
        <v/>
      </c>
    </row>
    <row r="1988">
      <c r="A1988" s="6" t="inlineStr">
        <is>
          <t>Tony Valdez</t>
        </is>
      </c>
      <c r="B1988" s="7" t="n">
        <v>3</v>
      </c>
      <c r="C1988" s="7" t="n">
        <v>1</v>
      </c>
      <c r="D1988" s="7" t="n">
        <v>0.3333</v>
      </c>
      <c r="E1988" s="7" t="n">
        <v>0.0615</v>
      </c>
      <c r="F1988" s="8" t="inlineStr">
        <is>
          <t>Medium</t>
        </is>
      </c>
      <c r="G1988" s="8" t="inlineStr">
        <is>
          <t>Low</t>
        </is>
      </c>
      <c r="H1988">
        <f>IF(F1988=G1988,"YES","NO")</f>
        <v/>
      </c>
    </row>
    <row r="1989">
      <c r="A1989" s="6" t="inlineStr">
        <is>
          <t>Tony Zonca</t>
        </is>
      </c>
      <c r="B1989" s="7" t="n">
        <v>3</v>
      </c>
      <c r="C1989" s="7" t="n">
        <v>1</v>
      </c>
      <c r="D1989" s="7" t="n">
        <v>0.3333</v>
      </c>
      <c r="E1989" s="7" t="n">
        <v>0.0615</v>
      </c>
      <c r="F1989" s="8" t="inlineStr">
        <is>
          <t>Medium</t>
        </is>
      </c>
      <c r="G1989" s="8" t="inlineStr">
        <is>
          <t>Low</t>
        </is>
      </c>
      <c r="H1989">
        <f>IF(F1989=G1989,"YES","NO")</f>
        <v/>
      </c>
    </row>
    <row r="1990">
      <c r="A1990" s="6" t="inlineStr">
        <is>
          <t>Trever Crumley</t>
        </is>
      </c>
      <c r="B1990" s="7" t="n">
        <v>16</v>
      </c>
      <c r="C1990" s="7" t="n">
        <v>4</v>
      </c>
      <c r="D1990" s="7" t="n">
        <v>0.25</v>
      </c>
      <c r="E1990" s="7" t="n">
        <v>0.1018</v>
      </c>
      <c r="F1990" s="8" t="inlineStr">
        <is>
          <t>Medium</t>
        </is>
      </c>
      <c r="G1990" s="8" t="inlineStr">
        <is>
          <t>Low</t>
        </is>
      </c>
      <c r="H1990">
        <f>IF(F1990=G1990,"YES","NO")</f>
        <v/>
      </c>
    </row>
    <row r="1991">
      <c r="A1991" s="6" t="inlineStr">
        <is>
          <t>Tyler McMillan</t>
        </is>
      </c>
      <c r="B1991" s="7" t="n">
        <v>22</v>
      </c>
      <c r="C1991" s="7" t="n">
        <v>5</v>
      </c>
      <c r="D1991" s="7" t="n">
        <v>0.2273</v>
      </c>
      <c r="E1991" s="7" t="n">
        <v>0.1012</v>
      </c>
      <c r="F1991" s="8" t="inlineStr">
        <is>
          <t>Medium</t>
        </is>
      </c>
      <c r="G1991" s="8" t="inlineStr">
        <is>
          <t>High</t>
        </is>
      </c>
      <c r="H1991">
        <f>IF(F1991=G1991,"YES","NO")</f>
        <v/>
      </c>
    </row>
    <row r="1992">
      <c r="A1992" s="6" t="inlineStr">
        <is>
          <t>Walker Marlowe</t>
        </is>
      </c>
      <c r="B1992" s="7" t="n">
        <v>4</v>
      </c>
      <c r="C1992" s="7" t="n">
        <v>1</v>
      </c>
      <c r="D1992" s="7" t="n">
        <v>0.25</v>
      </c>
      <c r="E1992" s="7" t="n">
        <v>0.0456</v>
      </c>
      <c r="F1992" s="8" t="inlineStr">
        <is>
          <t>Medium</t>
        </is>
      </c>
      <c r="G1992" s="8" t="inlineStr">
        <is>
          <t>High</t>
        </is>
      </c>
      <c r="H1992">
        <f>IF(F1992=G1992,"YES","NO")</f>
        <v/>
      </c>
    </row>
    <row r="1993">
      <c r="A1993" s="6" t="inlineStr">
        <is>
          <t>Yatin Chauhan</t>
        </is>
      </c>
      <c r="B1993" s="7" t="n">
        <v>3</v>
      </c>
      <c r="C1993" s="7" t="n">
        <v>1</v>
      </c>
      <c r="D1993" s="7" t="n">
        <v>0.3333</v>
      </c>
      <c r="E1993" s="7" t="n">
        <v>0.0615</v>
      </c>
      <c r="F1993" s="8" t="inlineStr">
        <is>
          <t>Medium</t>
        </is>
      </c>
      <c r="G1993" s="8" t="inlineStr">
        <is>
          <t>Medium</t>
        </is>
      </c>
      <c r="H1993">
        <f>IF(F1993=G1993,"YES","NO")</f>
        <v/>
      </c>
    </row>
    <row r="1994">
      <c r="A1994" s="6" t="inlineStr">
        <is>
          <t>Zachary Schechter</t>
        </is>
      </c>
      <c r="B1994" s="7" t="n">
        <v>2</v>
      </c>
      <c r="C1994" s="7" t="n">
        <v>1</v>
      </c>
      <c r="D1994" s="7" t="n">
        <v>0.5</v>
      </c>
      <c r="E1994" s="7" t="n">
        <v>0.0945</v>
      </c>
      <c r="F1994" s="8" t="inlineStr">
        <is>
          <t>Medium</t>
        </is>
      </c>
      <c r="G1994" s="8" t="inlineStr">
        <is>
          <t>Medium</t>
        </is>
      </c>
      <c r="H1994">
        <f>IF(F1994=G1994,"YES","NO")</f>
        <v/>
      </c>
    </row>
  </sheetData>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 F1602 F1603 F1604 F1605 F1606 F1607 F1608 F1609 F1610 F1611 F1612 F1613 F1614 F1615 F1616 F1617 F1618 F1619 F1620 F1621 F1622 F1623 F1624 F1625 F1626 F1627 F1628 F1629 F1630 F1631 F1632 F1633 F1634 F1635 F1636 F1637 F1638 F1639 F1640 F1641 F1642 F1643 F1644 F1645 F1646 F1647 F1648 F1649 F1650 F1651 F1652 F1653 F1654 F1655 F1656 F1657 F1658 F1659 F1660 F1661 F1662 F1663 F1664 F1665 F1666 F1667 F1668 F1669 F1670 F1671 F1672 F1673 F1674 F1675 F1676 F1677 F1678 F1679 F1680 F1681 F1682 F1683 F1684 F1685 F1686 F1687 F1688 F1689 F1690 F1691 F1692 F1693 F1694 F1695 F1696 F1697 F1698 F1699 F1700 F1701 F1702 F1703 F1704 F1705 F1706 F1707 F1708 F1709 F1710 F1711 F1712 F1713 F1714 F1715 F1716 F1717 F1718 F1719 F1720 F1721 F1722 F1723 F1724 F1725 F1726 F1727 F1728 F1729 F1730 F1731 F1732 F1733 F1734 F1735 F1736 F1737 F1738 F1739 F1740 F1741 F1742 F1743 F1744 F1745 F1746 F1747 F1748 F1749 F1750 F1751 F1752 F1753 F1754 F1755 F1756 F1757 F1758 F1759 F1760 F1761 F1762 F1763 F1764 F1765 F1766 F1767 F1768 F1769 F1770 F1771 F1772 F1773 F1774 F1775 F1776 F1777 F1778 F1779 F1780 F1781 F1782 F1783 F1784 F1785 F1786 F1787 F1788 F1789 F1790 F1791 F1792 F1793 F1794 F1795 F1796 F1797 F1798 F1799 F1800 F1801 F1802 F1803 F1804 F1805 F1806 F1807 F1808 F1809 F1810 F1811 F1812 F1813 F1814 F1815 F1816 F1817 F1818 F1819 F1820 F1821 F1822 F1823 F1824 F1825 F1826 F1827 F1828 F1829 F1830 F1831 F1832 F1833 F1834 F1835 F1836 F1837 F1838 F1839 F1840 F1841 F1842 F1843 F1844 F1845 F1846 F1847 F1848 F1849 F1850 F1851 F1852 F1853 F1854 F1855 F1856 F1857 F1858 F1859 F1860 F1861 F1862 F1863 F1864 F1865 F1866 F1867 F1868 F1869 F1870 F1871 F1872 F1873 F1874 F1875 F1876 F1877 F1878 F1879 F1880 F1881 F1882 F1883 F1884 F1885 F1886 F1887 F1888 F1889 F1890 F1891 F1892 F1893 F1894 F1895 F1896 F1897 F1898 F1899 F1900 F1901 F1902 F1903 F1904 F1905 F1906 F1907 F1908 F1909 F1910 F1911 F1912 F1913 F1914 F1915 F1916 F1917 F1918 F1919 F1920 F1921 F1922 F1923 F1924 F1925 F1926 F1927 F1928 F1929 F1930 F1931 F1932 F1933 F1934 F1935 F1936 F1937 F1938 F1939 F1940 F1941 F1942 F1943 F1944 F1945 F1946 F1947 F1948 F1949 F1950 F1951 F1952 F1953 F1954 F1955 F1956 F1957 F1958 F1959 F1960 F1961 F1962 F1963 F1964 F1965 F1966 F1967 F1968 F1969 F1970 F1971 F1972 F1973 F1974 F1975 F1976 F1977 F1978 F1979 F1980 F1981 F1982 F1983 F1984 F1985 F1986 F1987 F1988 F1989 F1990 F1991 F1992 F1993 F199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G1002 G1003 G1004 G1005 G1006 G1007 G1008 G1009 G1010 G1011 G1012 G1013 G1014 G1015 G1016 G1017 G1018 G1019 G1020 G1021 G1022 G1023 G1024 G1025 G1026 G1027 G1028 G1029 G1030 G1031 G1032 G1033 G1034 G1035 G1036 G1037 G1038 G1039 G1040 G1041 G1042 G1043 G1044 G1045 G1046 G1047 G1048 G1049 G1050 G1051 G1052 G1053 G1054 G1055 G1056 G1057 G1058 G1059 G1060 G1061 G1062 G1063 G1064 G1065 G1066 G1067 G1068 G1069 G1070 G1071 G1072 G1073 G1074 G1075 G1076 G1077 G1078 G1079 G1080 G1081 G1082 G1083 G1084 G1085 G1086 G1087 G1088 G1089 G1090 G1091 G1092 G1093 G1094 G1095 G1096 G1097 G1098 G1099 G1100 G1101 G1102 G1103 G1104 G1105 G1106 G1107 G1108 G1109 G1110 G1111 G1112 G1113 G1114 G1115 G1116 G1117 G1118 G1119 G1120 G1121 G1122 G1123 G1124 G1125 G1126 G1127 G1128 G1129 G1130 G1131 G1132 G1133 G1134 G1135 G1136 G1137 G1138 G1139 G1140 G1141 G1142 G1143 G1144 G1145 G1146 G1147 G1148 G1149 G1150 G1151 G1152 G1153 G1154 G1155 G1156 G1157 G1158 G1159 G1160 G1161 G1162 G1163 G1164 G1165 G1166 G1167 G1168 G1169 G1170 G1171 G1172 G1173 G1174 G1175 G1176 G1177 G1178 G1179 G1180 G1181 G1182 G1183 G1184 G1185 G1186 G1187 G1188 G1189 G1190 G1191 G1192 G1193 G1194 G1195 G1196 G1197 G1198 G1199 G1200 G1201 G1202 G1203 G1204 G1205 G1206 G1207 G1208 G1209 G1210 G1211 G1212 G1213 G1214 G1215 G1216 G1217 G1218 G1219 G1220 G1221 G1222 G1223 G1224 G1225 G1226 G1227 G1228 G1229 G1230 G1231 G1232 G1233 G1234 G1235 G1236 G1237 G1238 G1239 G1240 G1241 G1242 G1243 G1244 G1245 G1246 G1247 G1248 G1249 G1250 G1251 G1252 G1253 G1254 G1255 G1256 G1257 G1258 G1259 G1260 G1261 G1262 G1263 G1264 G1265 G1266 G1267 G1268 G1269 G1270 G1271 G1272 G1273 G1274 G1275 G1276 G1277 G1278 G1279 G1280 G1281 G1282 G1283 G1284 G1285 G1286 G1287 G1288 G1289 G1290 G1291 G1292 G1293 G1294 G1295 G1296 G1297 G1298 G1299 G1300 G1301 G1302 G1303 G1304 G1305 G1306 G1307 G1308 G1309 G1310 G1311 G1312 G1313 G1314 G1315 G1316 G1317 G1318 G1319 G1320 G1321 G1322 G1323 G1324 G1325 G1326 G1327 G1328 G1329 G1330 G1331 G1332 G1333 G1334 G1335 G1336 G1337 G1338 G1339 G1340 G1341 G1342 G1343 G1344 G1345 G1346 G1347 G1348 G1349 G1350 G1351 G1352 G1353 G1354 G1355 G1356 G1357 G1358 G1359 G1360 G1361 G1362 G1363 G1364 G1365 G1366 G1367 G1368 G1369 G1370 G1371 G1372 G1373 G1374 G1375 G1376 G1377 G1378 G1379 G1380 G1381 G1382 G1383 G1384 G1385 G1386 G1387 G1388 G1389 G1390 G1391 G1392 G1393 G1394 G1395 G1396 G1397 G1398 G1399 G1400 G1401 G1402 G1403 G1404 G1405 G1406 G1407 G1408 G1409 G1410 G1411 G1412 G1413 G1414 G1415 G1416 G1417 G1418 G1419 G1420 G1421 G1422 G1423 G1424 G1425 G1426 G1427 G1428 G1429 G1430 G1431 G1432 G1433 G1434 G1435 G1436 G1437 G1438 G1439 G1440 G1441 G1442 G1443 G1444 G1445 G1446 G1447 G1448 G1449 G1450 G1451 G1452 G1453 G1454 G1455 G1456 G1457 G1458 G1459 G1460 G1461 G1462 G1463 G1464 G1465 G1466 G1467 G1468 G1469 G1470 G1471 G1472 G1473 G1474 G1475 G1476 G1477 G1478 G1479 G1480 G1481 G1482 G1483 G1484 G1485 G1486 G1487 G1488 G1489 G1490 G1491 G1492 G1493 G1494 G1495 G1496 G1497 G1498 G1499 G1500 G1501 G1502 G1503 G1504 G1505 G1506 G1507 G1508 G1509 G1510 G1511 G1512 G1513 G1514 G1515 G1516 G1517 G1518 G1519 G1520 G1521 G1522 G1523 G1524 G1525 G1526 G1527 G1528 G1529 G1530 G1531 G1532 G1533 G1534 G1535 G1536 G1537 G1538 G1539 G1540 G1541 G1542 G1543 G1544 G1545 G1546 G1547 G1548 G1549 G1550 G1551 G1552 G1553 G1554 G1555 G1556 G1557 G1558 G1559 G1560 G1561 G1562 G1563 G1564 G1565 G1566 G1567 G1568 G1569 G1570 G1571 G1572 G1573 G1574 G1575 G1576 G1577 G1578 G1579 G1580 G1581 G1582 G1583 G1584 G1585 G1586 G1587 G1588 G1589 G1590 G1591 G1592 G1593 G1594 G1595 G1596 G1597 G1598 G1599 G1600 G1601 G1602 G1603 G1604 G1605 G1606 G1607 G1608 G1609 G1610 G1611 G1612 G1613 G1614 G1615 G1616 G1617 G1618 G1619 G1620 G1621 G1622 G1623 G1624 G1625 G1626 G1627 G1628 G1629 G1630 G1631 G1632 G1633 G1634 G1635 G1636 G1637 G1638 G1639 G1640 G1641 G1642 G1643 G1644 G1645 G1646 G1647 G1648 G1649 G1650 G1651 G1652 G1653 G1654 G1655 G1656 G1657 G1658 G1659 G1660 G1661 G1662 G1663 G1664 G1665 G1666 G1667 G1668 G1669 G1670 G1671 G1672 G1673 G1674 G1675 G1676 G1677 G1678 G1679 G1680 G1681 G1682 G1683 G1684 G1685 G1686 G1687 G1688 G1689 G1690 G1691 G1692 G1693 G1694 G1695 G1696 G1697 G1698 G1699 G1700 G1701 G1702 G1703 G1704 G1705 G1706 G1707 G1708 G1709 G1710 G1711 G1712 G1713 G1714 G1715 G1716 G1717 G1718 G1719 G1720 G1721 G1722 G1723 G1724 G1725 G1726 G1727 G1728 G1729 G1730 G1731 G1732 G1733 G1734 G1735 G1736 G1737 G1738 G1739 G1740 G1741 G1742 G1743 G1744 G1745 G1746 G1747 G1748 G1749 G1750 G1751 G1752 G1753 G1754 G1755 G1756 G1757 G1758 G1759 G1760 G1761 G1762 G1763 G1764 G1765 G1766 G1767 G1768 G1769 G1770 G1771 G1772 G1773 G1774 G1775 G1776 G1777 G1778 G1779 G1780 G1781 G1782 G1783 G1784 G1785 G1786 G1787 G1788 G1789 G1790 G1791 G1792 G1793 G1794 G1795 G1796 G1797 G1798 G1799 G1800 G1801 G1802 G1803 G1804 G1805 G1806 G1807 G1808 G1809 G1810 G1811 G1812 G1813 G1814 G1815 G1816 G1817 G1818 G1819 G1820 G1821 G1822 G1823 G1824 G1825 G1826 G1827 G1828 G1829 G1830 G1831 G1832 G1833 G1834 G1835 G1836 G1837 G1838 G1839 G1840 G1841 G1842 G1843 G1844 G1845 G1846 G1847 G1848 G1849 G1850 G1851 G1852 G1853 G1854 G1855 G1856 G1857 G1858 G1859 G1860 G1861 G1862 G1863 G1864 G1865 G1866 G1867 G1868 G1869 G1870 G1871 G1872 G1873 G1874 G1875 G1876 G1877 G1878 G1879 G1880 G1881 G1882 G1883 G1884 G1885 G1886 G1887 G1888 G1889 G1890 G1891 G1892 G1893 G1894 G1895 G1896 G1897 G1898 G1899 G1900 G1901 G1902 G1903 G1904 G1905 G1906 G1907 G1908 G1909 G1910 G1911 G1912 G1913 G1914 G1915 G1916 G1917 G1918 G1919 G1920 G1921 G1922 G1923 G1924 G1925 G1926 G1927 G1928 G1929 G1930 G1931 G1932 G1933 G1934 G1935 G1936 G1937 G1938 G1939 G1940 G1941 G1942 G1943 G1944 G1945 G1946 G1947 G1948 G1949 G1950 G1951 G1952 G1953 G1954 G1955 G1956 G1957 G1958 G1959 G1960 G1961 G1962 G1963 G1964 G1965 G1966 G1967 G1968 G1969 G1970 G1971 G1972 G1973 G1974 G1975 G1976 G1977 G1978 G1979 G1980 G1981 G1982 G1983 G1984 G1985 G1986 G1987 G1988 G1989 G1990 G1991 G1992 G1993 G1994"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6" customWidth="1" min="2" max="2"/>
    <col width="12" customWidth="1" min="3" max="3"/>
    <col width="12" customWidth="1" min="4" max="4"/>
    <col width="12" customWidth="1" min="5" max="5"/>
  </cols>
  <sheetData>
    <row r="1">
      <c r="A1" s="3" t="inlineStr">
        <is>
          <t>Comparison Summary - Claimants (recalculates live)</t>
        </is>
      </c>
    </row>
    <row r="3">
      <c r="A3" s="9" t="inlineStr">
        <is>
          <t>Total</t>
        </is>
      </c>
      <c r="B3">
        <f>COUNTA('Claimants'!$F$5:$F$1994)</f>
        <v/>
      </c>
    </row>
    <row r="4">
      <c r="A4" s="9" t="inlineStr">
        <is>
          <t>Exact agreement (count)</t>
        </is>
      </c>
      <c r="B4">
        <f>SUMPRODUCT(--('Claimants'!$F$5:$F$1994='Claimants'!$G$5:$G$1994))</f>
        <v/>
      </c>
    </row>
    <row r="5">
      <c r="A5" s="9" t="inlineStr">
        <is>
          <t>Exact agreement (%)</t>
        </is>
      </c>
      <c r="B5" s="10">
        <f>B4/B3</f>
        <v/>
      </c>
    </row>
    <row r="7">
      <c r="A7" s="9" t="inlineStr">
        <is>
          <t>Agreement matrix (rows = Step 4, cols = Step 5)</t>
        </is>
      </c>
    </row>
    <row r="8">
      <c r="B8" s="11" t="inlineStr">
        <is>
          <t>High</t>
        </is>
      </c>
      <c r="C8" s="11" t="inlineStr">
        <is>
          <t>Medium</t>
        </is>
      </c>
      <c r="D8" s="11" t="inlineStr">
        <is>
          <t>Low</t>
        </is>
      </c>
    </row>
    <row r="9">
      <c r="A9" s="11" t="inlineStr">
        <is>
          <t>High</t>
        </is>
      </c>
      <c r="B9" s="12">
        <f>SUMPRODUCT(--('Claimants'!$F$5:$F$1994="High"),--('Claimants'!$G$5:$G$1994="High"))</f>
        <v/>
      </c>
      <c r="C9" s="12">
        <f>SUMPRODUCT(--('Claimants'!$F$5:$F$1994="High"),--('Claimants'!$G$5:$G$1994="Medium"))</f>
        <v/>
      </c>
      <c r="D9" s="12">
        <f>SUMPRODUCT(--('Claimants'!$F$5:$F$1994="High"),--('Claimants'!$G$5:$G$1994="Low"))</f>
        <v/>
      </c>
      <c r="E9">
        <f>SUM(B9:D9)</f>
        <v/>
      </c>
    </row>
    <row r="10">
      <c r="A10" s="11" t="inlineStr">
        <is>
          <t>Medium</t>
        </is>
      </c>
      <c r="B10" s="12">
        <f>SUMPRODUCT(--('Claimants'!$F$5:$F$1994="Medium"),--('Claimants'!$G$5:$G$1994="High"))</f>
        <v/>
      </c>
      <c r="C10" s="12">
        <f>SUMPRODUCT(--('Claimants'!$F$5:$F$1994="Medium"),--('Claimants'!$G$5:$G$1994="Medium"))</f>
        <v/>
      </c>
      <c r="D10" s="12">
        <f>SUMPRODUCT(--('Claimants'!$F$5:$F$1994="Medium"),--('Claimants'!$G$5:$G$1994="Low"))</f>
        <v/>
      </c>
      <c r="E10">
        <f>SUM(B10:D10)</f>
        <v/>
      </c>
    </row>
    <row r="11">
      <c r="A11" s="11" t="inlineStr">
        <is>
          <t>Low</t>
        </is>
      </c>
      <c r="B11" s="12">
        <f>SUMPRODUCT(--('Claimants'!$F$5:$F$1994="Low"),--('Claimants'!$G$5:$G$1994="High"))</f>
        <v/>
      </c>
      <c r="C11" s="12">
        <f>SUMPRODUCT(--('Claimants'!$F$5:$F$1994="Low"),--('Claimants'!$G$5:$G$1994="Medium"))</f>
        <v/>
      </c>
      <c r="D11" s="12">
        <f>SUMPRODUCT(--('Claimants'!$F$5:$F$1994="Low"),--('Claimants'!$G$5:$G$1994="Low"))</f>
        <v/>
      </c>
      <c r="E11">
        <f>SUM(B11:D11)</f>
        <v/>
      </c>
    </row>
    <row r="12">
      <c r="B12">
        <f>SUM(B9:B11)</f>
        <v/>
      </c>
      <c r="C12">
        <f>SUM(C9:C11)</f>
        <v/>
      </c>
      <c r="D12">
        <f>SUM(D9:D11)</f>
        <v/>
      </c>
    </row>
    <row r="14">
      <c r="A14" s="9" t="inlineStr">
        <is>
          <t>Cohen's kappa (agreement beyond chance)</t>
        </is>
      </c>
    </row>
    <row r="15">
      <c r="A15" s="9" t="inlineStr">
        <is>
          <t>po (observed)</t>
        </is>
      </c>
      <c r="B15">
        <f>B5</f>
        <v/>
      </c>
    </row>
    <row r="16">
      <c r="A16" s="9" t="inlineStr">
        <is>
          <t>pe (expected)</t>
        </is>
      </c>
      <c r="B16">
        <f>(E9*B12+E10*C12+E11*D12)/(B3*B3)</f>
        <v/>
      </c>
    </row>
    <row r="17">
      <c r="A17" s="9" t="inlineStr">
        <is>
          <t>kappa</t>
        </is>
      </c>
      <c r="B17" s="13">
        <f>(B15-B16)/(1-B16)</f>
        <v/>
      </c>
    </row>
    <row r="18">
      <c r="A18" s="9" t="inlineStr">
        <is>
          <t>Interpretation</t>
        </is>
      </c>
      <c r="B18">
        <f>IF(B17&lt;0,"worse than chance",IF(B17&lt;=0.2,"slight",IF(B17&lt;=0.4,"fair",IF(B17&lt;=0.6,"moderate",IF(B17&lt;=0.8,"substantial","almost perfect")))))</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6"/>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s>
  <sheetData>
    <row r="1">
      <c r="A1" s="14" t="inlineStr">
        <is>
          <t>Disagreements - Claimants (review priority)</t>
        </is>
      </c>
    </row>
    <row r="3">
      <c r="A3" s="5" t="inlineStr">
        <is>
          <t>ClaimantName</t>
        </is>
      </c>
      <c r="B3" s="5" t="inlineStr">
        <is>
          <t>claim_count</t>
        </is>
      </c>
      <c r="C3" s="5" t="inlineStr">
        <is>
          <t>high_count</t>
        </is>
      </c>
      <c r="D3" s="5" t="inlineStr">
        <is>
          <t>raw_high_rate</t>
        </is>
      </c>
      <c r="E3" s="5" t="inlineStr">
        <is>
          <t>wilson_lower</t>
        </is>
      </c>
      <c r="F3" s="5" t="inlineStr">
        <is>
          <t>step4_level</t>
        </is>
      </c>
      <c r="G3" s="5" t="inlineStr">
        <is>
          <t>step5_level</t>
        </is>
      </c>
    </row>
    <row r="4">
      <c r="A4" s="6" t="inlineStr">
        <is>
          <t>Adam Allen</t>
        </is>
      </c>
      <c r="B4" s="7" t="n">
        <v>285</v>
      </c>
      <c r="C4" s="7" t="n">
        <v>81</v>
      </c>
      <c r="D4" s="7" t="n">
        <v>0.2842</v>
      </c>
      <c r="E4" s="7" t="n">
        <v>0.235</v>
      </c>
      <c r="F4" s="7" t="inlineStr">
        <is>
          <t>High</t>
        </is>
      </c>
      <c r="G4" s="7" t="inlineStr">
        <is>
          <t>Low</t>
        </is>
      </c>
    </row>
    <row r="5">
      <c r="A5" s="6" t="inlineStr">
        <is>
          <t>Alec Houser</t>
        </is>
      </c>
      <c r="B5" s="7" t="n">
        <v>716</v>
      </c>
      <c r="C5" s="7" t="n">
        <v>107</v>
      </c>
      <c r="D5" s="7" t="n">
        <v>0.1494</v>
      </c>
      <c r="E5" s="7" t="n">
        <v>0.1252</v>
      </c>
      <c r="F5" s="7" t="inlineStr">
        <is>
          <t>High</t>
        </is>
      </c>
      <c r="G5" s="7" t="inlineStr">
        <is>
          <t>Low</t>
        </is>
      </c>
    </row>
    <row r="6">
      <c r="A6" s="6" t="inlineStr">
        <is>
          <t>Alex McClung</t>
        </is>
      </c>
      <c r="B6" s="7" t="n">
        <v>4</v>
      </c>
      <c r="C6" s="7" t="n">
        <v>3</v>
      </c>
      <c r="D6" s="7" t="n">
        <v>0.75</v>
      </c>
      <c r="E6" s="7" t="n">
        <v>0.3006</v>
      </c>
      <c r="F6" s="7" t="inlineStr">
        <is>
          <t>High</t>
        </is>
      </c>
      <c r="G6" s="7" t="inlineStr">
        <is>
          <t>Medium</t>
        </is>
      </c>
    </row>
    <row r="7">
      <c r="A7" s="6" t="inlineStr">
        <is>
          <t>Allie Reece</t>
        </is>
      </c>
      <c r="B7" s="7" t="n">
        <v>1</v>
      </c>
      <c r="C7" s="7" t="n">
        <v>1</v>
      </c>
      <c r="D7" s="7" t="n">
        <v>1</v>
      </c>
      <c r="E7" s="7" t="n">
        <v>0.2065</v>
      </c>
      <c r="F7" s="7" t="inlineStr">
        <is>
          <t>High</t>
        </is>
      </c>
      <c r="G7" s="7" t="inlineStr">
        <is>
          <t>Low</t>
        </is>
      </c>
    </row>
    <row r="8">
      <c r="A8" s="6" t="inlineStr">
        <is>
          <t>Andre Stone</t>
        </is>
      </c>
      <c r="B8" s="7" t="n">
        <v>2</v>
      </c>
      <c r="C8" s="7" t="n">
        <v>2</v>
      </c>
      <c r="D8" s="7" t="n">
        <v>1</v>
      </c>
      <c r="E8" s="7" t="n">
        <v>0.3424</v>
      </c>
      <c r="F8" s="7" t="inlineStr">
        <is>
          <t>High</t>
        </is>
      </c>
      <c r="G8" s="7" t="inlineStr">
        <is>
          <t>Medium</t>
        </is>
      </c>
    </row>
    <row r="9">
      <c r="A9" s="6" t="inlineStr">
        <is>
          <t>Ariana Nino</t>
        </is>
      </c>
      <c r="B9" s="7" t="n">
        <v>10</v>
      </c>
      <c r="C9" s="7" t="n">
        <v>6</v>
      </c>
      <c r="D9" s="7" t="n">
        <v>0.6</v>
      </c>
      <c r="E9" s="7" t="n">
        <v>0.3127</v>
      </c>
      <c r="F9" s="7" t="inlineStr">
        <is>
          <t>High</t>
        </is>
      </c>
      <c r="G9" s="7" t="inlineStr">
        <is>
          <t>Low</t>
        </is>
      </c>
    </row>
    <row r="10">
      <c r="A10" s="6" t="inlineStr">
        <is>
          <t>Bo Turbeville</t>
        </is>
      </c>
      <c r="B10" s="7" t="n">
        <v>12</v>
      </c>
      <c r="C10" s="7" t="n">
        <v>9</v>
      </c>
      <c r="D10" s="7" t="n">
        <v>0.75</v>
      </c>
      <c r="E10" s="7" t="n">
        <v>0.4677</v>
      </c>
      <c r="F10" s="7" t="inlineStr">
        <is>
          <t>High</t>
        </is>
      </c>
      <c r="G10" s="7" t="inlineStr">
        <is>
          <t>Medium</t>
        </is>
      </c>
    </row>
    <row r="11">
      <c r="A11" s="6" t="inlineStr">
        <is>
          <t>Bob  Murphy</t>
        </is>
      </c>
      <c r="B11" s="7" t="n">
        <v>36</v>
      </c>
      <c r="C11" s="7" t="n">
        <v>12</v>
      </c>
      <c r="D11" s="7" t="n">
        <v>0.3333</v>
      </c>
      <c r="E11" s="7" t="n">
        <v>0.2021</v>
      </c>
      <c r="F11" s="7" t="inlineStr">
        <is>
          <t>High</t>
        </is>
      </c>
      <c r="G11" s="7" t="inlineStr">
        <is>
          <t>Low</t>
        </is>
      </c>
    </row>
    <row r="12">
      <c r="A12" s="6" t="inlineStr">
        <is>
          <t>Bob McGowan</t>
        </is>
      </c>
      <c r="B12" s="7" t="n">
        <v>37</v>
      </c>
      <c r="C12" s="7" t="n">
        <v>9</v>
      </c>
      <c r="D12" s="7" t="n">
        <v>0.2432</v>
      </c>
      <c r="E12" s="7" t="n">
        <v>0.1336</v>
      </c>
      <c r="F12" s="7" t="inlineStr">
        <is>
          <t>High</t>
        </is>
      </c>
      <c r="G12" s="7" t="inlineStr">
        <is>
          <t>Low</t>
        </is>
      </c>
    </row>
    <row r="13">
      <c r="A13" s="6" t="inlineStr">
        <is>
          <t>Brad Gerber</t>
        </is>
      </c>
      <c r="B13" s="7" t="n">
        <v>77</v>
      </c>
      <c r="C13" s="7" t="n">
        <v>20</v>
      </c>
      <c r="D13" s="7" t="n">
        <v>0.2597</v>
      </c>
      <c r="E13" s="7" t="n">
        <v>0.1749</v>
      </c>
      <c r="F13" s="7" t="inlineStr">
        <is>
          <t>High</t>
        </is>
      </c>
      <c r="G13" s="7" t="inlineStr">
        <is>
          <t>Low</t>
        </is>
      </c>
    </row>
    <row r="14">
      <c r="A14" s="6" t="inlineStr">
        <is>
          <t>Brenda Wall</t>
        </is>
      </c>
      <c r="B14" s="7" t="n">
        <v>4</v>
      </c>
      <c r="C14" s="7" t="n">
        <v>2</v>
      </c>
      <c r="D14" s="7" t="n">
        <v>0.5</v>
      </c>
      <c r="E14" s="7" t="n">
        <v>0.15</v>
      </c>
      <c r="F14" s="7" t="inlineStr">
        <is>
          <t>High</t>
        </is>
      </c>
      <c r="G14" s="7" t="inlineStr">
        <is>
          <t>Medium</t>
        </is>
      </c>
    </row>
    <row r="15">
      <c r="A15" s="6" t="inlineStr">
        <is>
          <t>Carl Dunaway</t>
        </is>
      </c>
      <c r="B15" s="7" t="n">
        <v>12</v>
      </c>
      <c r="C15" s="7" t="n">
        <v>4</v>
      </c>
      <c r="D15" s="7" t="n">
        <v>0.3333</v>
      </c>
      <c r="E15" s="7" t="n">
        <v>0.1381</v>
      </c>
      <c r="F15" s="7" t="inlineStr">
        <is>
          <t>High</t>
        </is>
      </c>
      <c r="G15" s="7" t="inlineStr">
        <is>
          <t>Medium</t>
        </is>
      </c>
    </row>
    <row r="16">
      <c r="A16" s="6" t="inlineStr">
        <is>
          <t>Carrie Boulay</t>
        </is>
      </c>
      <c r="B16" s="7" t="n">
        <v>247</v>
      </c>
      <c r="C16" s="7" t="n">
        <v>107</v>
      </c>
      <c r="D16" s="7" t="n">
        <v>0.4332</v>
      </c>
      <c r="E16" s="7" t="n">
        <v>0.3729</v>
      </c>
      <c r="F16" s="7" t="inlineStr">
        <is>
          <t>High</t>
        </is>
      </c>
      <c r="G16" s="7" t="inlineStr">
        <is>
          <t>Low</t>
        </is>
      </c>
    </row>
    <row r="17">
      <c r="A17" s="6" t="inlineStr">
        <is>
          <t>Chris Meunier</t>
        </is>
      </c>
      <c r="B17" s="7" t="n">
        <v>65</v>
      </c>
      <c r="C17" s="7" t="n">
        <v>29</v>
      </c>
      <c r="D17" s="7" t="n">
        <v>0.4462</v>
      </c>
      <c r="E17" s="7" t="n">
        <v>0.3317</v>
      </c>
      <c r="F17" s="7" t="inlineStr">
        <is>
          <t>High</t>
        </is>
      </c>
      <c r="G17" s="7" t="inlineStr">
        <is>
          <t>Low</t>
        </is>
      </c>
    </row>
    <row r="18">
      <c r="A18" s="6" t="inlineStr">
        <is>
          <t>Courtney Flannigan</t>
        </is>
      </c>
      <c r="B18" s="7" t="n">
        <v>1</v>
      </c>
      <c r="C18" s="7" t="n">
        <v>1</v>
      </c>
      <c r="D18" s="7" t="n">
        <v>1</v>
      </c>
      <c r="E18" s="7" t="n">
        <v>0.2065</v>
      </c>
      <c r="F18" s="7" t="inlineStr">
        <is>
          <t>High</t>
        </is>
      </c>
      <c r="G18" s="7" t="inlineStr">
        <is>
          <t>Low</t>
        </is>
      </c>
    </row>
    <row r="19">
      <c r="A19" s="6" t="inlineStr">
        <is>
          <t>Curtis Van</t>
        </is>
      </c>
      <c r="B19" s="7" t="n">
        <v>132</v>
      </c>
      <c r="C19" s="7" t="n">
        <v>27</v>
      </c>
      <c r="D19" s="7" t="n">
        <v>0.2045</v>
      </c>
      <c r="E19" s="7" t="n">
        <v>0.1446</v>
      </c>
      <c r="F19" s="7" t="inlineStr">
        <is>
          <t>High</t>
        </is>
      </c>
      <c r="G19" s="7" t="inlineStr">
        <is>
          <t>Low</t>
        </is>
      </c>
    </row>
    <row r="20">
      <c r="A20" s="6" t="inlineStr">
        <is>
          <t>Danielle Blackwell</t>
        </is>
      </c>
      <c r="B20" s="7" t="n">
        <v>9</v>
      </c>
      <c r="C20" s="7" t="n">
        <v>3</v>
      </c>
      <c r="D20" s="7" t="n">
        <v>0.3333</v>
      </c>
      <c r="E20" s="7" t="n">
        <v>0.1206</v>
      </c>
      <c r="F20" s="7" t="inlineStr">
        <is>
          <t>High</t>
        </is>
      </c>
      <c r="G20" s="7" t="inlineStr">
        <is>
          <t>Low</t>
        </is>
      </c>
    </row>
    <row r="21">
      <c r="A21" s="6" t="inlineStr">
        <is>
          <t>Darin Levere</t>
        </is>
      </c>
      <c r="B21" s="7" t="n">
        <v>8</v>
      </c>
      <c r="C21" s="7" t="n">
        <v>3</v>
      </c>
      <c r="D21" s="7" t="n">
        <v>0.375</v>
      </c>
      <c r="E21" s="7" t="n">
        <v>0.1368</v>
      </c>
      <c r="F21" s="7" t="inlineStr">
        <is>
          <t>High</t>
        </is>
      </c>
      <c r="G21" s="7" t="inlineStr">
        <is>
          <t>Low</t>
        </is>
      </c>
    </row>
    <row r="22">
      <c r="A22" s="6" t="inlineStr">
        <is>
          <t>Debbie Lumley</t>
        </is>
      </c>
      <c r="B22" s="7" t="n">
        <v>29</v>
      </c>
      <c r="C22" s="7" t="n">
        <v>7</v>
      </c>
      <c r="D22" s="7" t="n">
        <v>0.2414</v>
      </c>
      <c r="E22" s="7" t="n">
        <v>0.1222</v>
      </c>
      <c r="F22" s="7" t="inlineStr">
        <is>
          <t>High</t>
        </is>
      </c>
      <c r="G22" s="7" t="inlineStr">
        <is>
          <t>Low</t>
        </is>
      </c>
    </row>
    <row r="23">
      <c r="A23" s="6" t="inlineStr">
        <is>
          <t>Dominic Merrill</t>
        </is>
      </c>
      <c r="B23" s="7" t="n">
        <v>368</v>
      </c>
      <c r="C23" s="7" t="n">
        <v>98</v>
      </c>
      <c r="D23" s="7" t="n">
        <v>0.2663</v>
      </c>
      <c r="E23" s="7" t="n">
        <v>0.2237</v>
      </c>
      <c r="F23" s="7" t="inlineStr">
        <is>
          <t>High</t>
        </is>
      </c>
      <c r="G23" s="7" t="inlineStr">
        <is>
          <t>Low</t>
        </is>
      </c>
    </row>
    <row r="24">
      <c r="A24" s="6" t="inlineStr">
        <is>
          <t>Drew Gedrys</t>
        </is>
      </c>
      <c r="B24" s="7" t="n">
        <v>7</v>
      </c>
      <c r="C24" s="7" t="n">
        <v>6</v>
      </c>
      <c r="D24" s="7" t="n">
        <v>0.8571</v>
      </c>
      <c r="E24" s="7" t="n">
        <v>0.4869</v>
      </c>
      <c r="F24" s="7" t="inlineStr">
        <is>
          <t>High</t>
        </is>
      </c>
      <c r="G24" s="7" t="inlineStr">
        <is>
          <t>Low</t>
        </is>
      </c>
    </row>
    <row r="25">
      <c r="A25" s="6" t="inlineStr">
        <is>
          <t>Erik Watson</t>
        </is>
      </c>
      <c r="B25" s="7" t="n">
        <v>5</v>
      </c>
      <c r="C25" s="7" t="n">
        <v>2</v>
      </c>
      <c r="D25" s="7" t="n">
        <v>0.4</v>
      </c>
      <c r="E25" s="7" t="n">
        <v>0.1176</v>
      </c>
      <c r="F25" s="7" t="inlineStr">
        <is>
          <t>High</t>
        </is>
      </c>
      <c r="G25" s="7" t="inlineStr">
        <is>
          <t>Low</t>
        </is>
      </c>
    </row>
    <row r="26">
      <c r="A26" s="6" t="inlineStr">
        <is>
          <t>Garrett Dupuis</t>
        </is>
      </c>
      <c r="B26" s="7" t="n">
        <v>6</v>
      </c>
      <c r="C26" s="7" t="n">
        <v>3</v>
      </c>
      <c r="D26" s="7" t="n">
        <v>0.5</v>
      </c>
      <c r="E26" s="7" t="n">
        <v>0.1876</v>
      </c>
      <c r="F26" s="7" t="inlineStr">
        <is>
          <t>High</t>
        </is>
      </c>
      <c r="G26" s="7" t="inlineStr">
        <is>
          <t>Low</t>
        </is>
      </c>
    </row>
    <row r="27">
      <c r="A27" s="6" t="inlineStr">
        <is>
          <t>Gina Buchman</t>
        </is>
      </c>
      <c r="B27" s="7" t="n">
        <v>688</v>
      </c>
      <c r="C27" s="7" t="n">
        <v>142</v>
      </c>
      <c r="D27" s="7" t="n">
        <v>0.2064</v>
      </c>
      <c r="E27" s="7" t="n">
        <v>0.1778</v>
      </c>
      <c r="F27" s="7" t="inlineStr">
        <is>
          <t>High</t>
        </is>
      </c>
      <c r="G27" s="7" t="inlineStr">
        <is>
          <t>Low</t>
        </is>
      </c>
    </row>
    <row r="28">
      <c r="A28" s="6" t="inlineStr">
        <is>
          <t>Harrison Hall</t>
        </is>
      </c>
      <c r="B28" s="7" t="n">
        <v>1</v>
      </c>
      <c r="C28" s="7" t="n">
        <v>1</v>
      </c>
      <c r="D28" s="7" t="n">
        <v>1</v>
      </c>
      <c r="E28" s="7" t="n">
        <v>0.2065</v>
      </c>
      <c r="F28" s="7" t="inlineStr">
        <is>
          <t>High</t>
        </is>
      </c>
      <c r="G28" s="7" t="inlineStr">
        <is>
          <t>Low</t>
        </is>
      </c>
    </row>
    <row r="29">
      <c r="A29" s="6" t="inlineStr">
        <is>
          <t>Hunter O'Bert</t>
        </is>
      </c>
      <c r="B29" s="7" t="n">
        <v>1</v>
      </c>
      <c r="C29" s="7" t="n">
        <v>1</v>
      </c>
      <c r="D29" s="7" t="n">
        <v>1</v>
      </c>
      <c r="E29" s="7" t="n">
        <v>0.2065</v>
      </c>
      <c r="F29" s="7" t="inlineStr">
        <is>
          <t>High</t>
        </is>
      </c>
      <c r="G29" s="7" t="inlineStr">
        <is>
          <t>Low</t>
        </is>
      </c>
    </row>
    <row r="30">
      <c r="A30" s="6" t="inlineStr">
        <is>
          <t>Ian Balcazar</t>
        </is>
      </c>
      <c r="B30" s="7" t="n">
        <v>6</v>
      </c>
      <c r="C30" s="7" t="n">
        <v>3</v>
      </c>
      <c r="D30" s="7" t="n">
        <v>0.5</v>
      </c>
      <c r="E30" s="7" t="n">
        <v>0.1876</v>
      </c>
      <c r="F30" s="7" t="inlineStr">
        <is>
          <t>High</t>
        </is>
      </c>
      <c r="G30" s="7" t="inlineStr">
        <is>
          <t>Low</t>
        </is>
      </c>
    </row>
    <row r="31">
      <c r="A31" s="6" t="inlineStr">
        <is>
          <t>Ignacio Romero</t>
        </is>
      </c>
      <c r="B31" s="7" t="n">
        <v>100</v>
      </c>
      <c r="C31" s="7" t="n">
        <v>29</v>
      </c>
      <c r="D31" s="7" t="n">
        <v>0.29</v>
      </c>
      <c r="E31" s="7" t="n">
        <v>0.2101</v>
      </c>
      <c r="F31" s="7" t="inlineStr">
        <is>
          <t>High</t>
        </is>
      </c>
      <c r="G31" s="7" t="inlineStr">
        <is>
          <t>Low</t>
        </is>
      </c>
    </row>
    <row r="32">
      <c r="A32" s="6" t="inlineStr">
        <is>
          <t>Jacquelyn Reed</t>
        </is>
      </c>
      <c r="B32" s="7" t="n">
        <v>26</v>
      </c>
      <c r="C32" s="7" t="n">
        <v>7</v>
      </c>
      <c r="D32" s="7" t="n">
        <v>0.2692</v>
      </c>
      <c r="E32" s="7" t="n">
        <v>0.137</v>
      </c>
      <c r="F32" s="7" t="inlineStr">
        <is>
          <t>High</t>
        </is>
      </c>
      <c r="G32" s="7" t="inlineStr">
        <is>
          <t>Medium</t>
        </is>
      </c>
    </row>
    <row r="33">
      <c r="A33" s="6" t="inlineStr">
        <is>
          <t>Jeff Folger</t>
        </is>
      </c>
      <c r="B33" s="7" t="n">
        <v>44</v>
      </c>
      <c r="C33" s="7" t="n">
        <v>11</v>
      </c>
      <c r="D33" s="7" t="n">
        <v>0.25</v>
      </c>
      <c r="E33" s="7" t="n">
        <v>0.1457</v>
      </c>
      <c r="F33" s="7" t="inlineStr">
        <is>
          <t>High</t>
        </is>
      </c>
      <c r="G33" s="7" t="inlineStr">
        <is>
          <t>Medium</t>
        </is>
      </c>
    </row>
    <row r="34">
      <c r="A34" s="6" t="inlineStr">
        <is>
          <t>Jeff McCusker</t>
        </is>
      </c>
      <c r="B34" s="7" t="n">
        <v>15</v>
      </c>
      <c r="C34" s="7" t="n">
        <v>5</v>
      </c>
      <c r="D34" s="7" t="n">
        <v>0.3333</v>
      </c>
      <c r="E34" s="7" t="n">
        <v>0.1518</v>
      </c>
      <c r="F34" s="7" t="inlineStr">
        <is>
          <t>High</t>
        </is>
      </c>
      <c r="G34" s="7" t="inlineStr">
        <is>
          <t>Medium</t>
        </is>
      </c>
    </row>
    <row r="35">
      <c r="A35" s="6" t="inlineStr">
        <is>
          <t>Jeff Smith</t>
        </is>
      </c>
      <c r="B35" s="7" t="n">
        <v>40</v>
      </c>
      <c r="C35" s="7" t="n">
        <v>10</v>
      </c>
      <c r="D35" s="7" t="n">
        <v>0.25</v>
      </c>
      <c r="E35" s="7" t="n">
        <v>0.1419</v>
      </c>
      <c r="F35" s="7" t="inlineStr">
        <is>
          <t>High</t>
        </is>
      </c>
      <c r="G35" s="7" t="inlineStr">
        <is>
          <t>Low</t>
        </is>
      </c>
    </row>
    <row r="36">
      <c r="A36" s="6" t="inlineStr">
        <is>
          <t>Jennifer Crandall</t>
        </is>
      </c>
      <c r="B36" s="7" t="n">
        <v>202</v>
      </c>
      <c r="C36" s="7" t="n">
        <v>51</v>
      </c>
      <c r="D36" s="7" t="n">
        <v>0.2525</v>
      </c>
      <c r="E36" s="7" t="n">
        <v>0.1976</v>
      </c>
      <c r="F36" s="7" t="inlineStr">
        <is>
          <t>High</t>
        </is>
      </c>
      <c r="G36" s="7" t="inlineStr">
        <is>
          <t>Low</t>
        </is>
      </c>
    </row>
    <row r="37">
      <c r="A37" s="6" t="inlineStr">
        <is>
          <t>Jennifer King</t>
        </is>
      </c>
      <c r="B37" s="7" t="n">
        <v>145</v>
      </c>
      <c r="C37" s="7" t="n">
        <v>48</v>
      </c>
      <c r="D37" s="7" t="n">
        <v>0.331</v>
      </c>
      <c r="E37" s="7" t="n">
        <v>0.2597</v>
      </c>
      <c r="F37" s="7" t="inlineStr">
        <is>
          <t>High</t>
        </is>
      </c>
      <c r="G37" s="7" t="inlineStr">
        <is>
          <t>Low</t>
        </is>
      </c>
    </row>
    <row r="38">
      <c r="A38" s="6" t="inlineStr">
        <is>
          <t>Jodie Reynolds</t>
        </is>
      </c>
      <c r="B38" s="7" t="n">
        <v>221</v>
      </c>
      <c r="C38" s="7" t="n">
        <v>75</v>
      </c>
      <c r="D38" s="7" t="n">
        <v>0.3394</v>
      </c>
      <c r="E38" s="7" t="n">
        <v>0.2802</v>
      </c>
      <c r="F38" s="7" t="inlineStr">
        <is>
          <t>High</t>
        </is>
      </c>
      <c r="G38" s="7" t="inlineStr">
        <is>
          <t>Low</t>
        </is>
      </c>
    </row>
    <row r="39">
      <c r="A39" s="6" t="inlineStr">
        <is>
          <t>John  Foster</t>
        </is>
      </c>
      <c r="B39" s="7" t="n">
        <v>22</v>
      </c>
      <c r="C39" s="7" t="n">
        <v>8</v>
      </c>
      <c r="D39" s="7" t="n">
        <v>0.3636</v>
      </c>
      <c r="E39" s="7" t="n">
        <v>0.1973</v>
      </c>
      <c r="F39" s="7" t="inlineStr">
        <is>
          <t>High</t>
        </is>
      </c>
      <c r="G39" s="7" t="inlineStr">
        <is>
          <t>Low</t>
        </is>
      </c>
    </row>
    <row r="40">
      <c r="A40" s="6" t="inlineStr">
        <is>
          <t>John Davis</t>
        </is>
      </c>
      <c r="B40" s="7" t="n">
        <v>129</v>
      </c>
      <c r="C40" s="7" t="n">
        <v>59</v>
      </c>
      <c r="D40" s="7" t="n">
        <v>0.4574</v>
      </c>
      <c r="E40" s="7" t="n">
        <v>0.3739</v>
      </c>
      <c r="F40" s="7" t="inlineStr">
        <is>
          <t>High</t>
        </is>
      </c>
      <c r="G40" s="7" t="inlineStr">
        <is>
          <t>Low</t>
        </is>
      </c>
    </row>
    <row r="41">
      <c r="A41" s="6" t="inlineStr">
        <is>
          <t>John Kreider</t>
        </is>
      </c>
      <c r="B41" s="7" t="n">
        <v>4</v>
      </c>
      <c r="C41" s="7" t="n">
        <v>2</v>
      </c>
      <c r="D41" s="7" t="n">
        <v>0.5</v>
      </c>
      <c r="E41" s="7" t="n">
        <v>0.15</v>
      </c>
      <c r="F41" s="7" t="inlineStr">
        <is>
          <t>High</t>
        </is>
      </c>
      <c r="G41" s="7" t="inlineStr">
        <is>
          <t>Low</t>
        </is>
      </c>
    </row>
    <row r="42">
      <c r="A42" s="6" t="inlineStr">
        <is>
          <t>John Sicignano</t>
        </is>
      </c>
      <c r="B42" s="7" t="n">
        <v>64</v>
      </c>
      <c r="C42" s="7" t="n">
        <v>35</v>
      </c>
      <c r="D42" s="7" t="n">
        <v>0.5469000000000001</v>
      </c>
      <c r="E42" s="7" t="n">
        <v>0.4257</v>
      </c>
      <c r="F42" s="7" t="inlineStr">
        <is>
          <t>High</t>
        </is>
      </c>
      <c r="G42" s="7" t="inlineStr">
        <is>
          <t>Medium</t>
        </is>
      </c>
    </row>
    <row r="43">
      <c r="A43" s="6" t="inlineStr">
        <is>
          <t>John Wermann</t>
        </is>
      </c>
      <c r="B43" s="7" t="n">
        <v>2</v>
      </c>
      <c r="C43" s="7" t="n">
        <v>2</v>
      </c>
      <c r="D43" s="7" t="n">
        <v>1</v>
      </c>
      <c r="E43" s="7" t="n">
        <v>0.3424</v>
      </c>
      <c r="F43" s="7" t="inlineStr">
        <is>
          <t>High</t>
        </is>
      </c>
      <c r="G43" s="7" t="inlineStr">
        <is>
          <t>Medium</t>
        </is>
      </c>
    </row>
    <row r="44">
      <c r="A44" s="6" t="inlineStr">
        <is>
          <t>Joshua Hamilton</t>
        </is>
      </c>
      <c r="B44" s="7" t="n">
        <v>3</v>
      </c>
      <c r="C44" s="7" t="n">
        <v>2</v>
      </c>
      <c r="D44" s="7" t="n">
        <v>0.6667</v>
      </c>
      <c r="E44" s="7" t="n">
        <v>0.2077</v>
      </c>
      <c r="F44" s="7" t="inlineStr">
        <is>
          <t>High</t>
        </is>
      </c>
      <c r="G44" s="7" t="inlineStr">
        <is>
          <t>Medium</t>
        </is>
      </c>
    </row>
    <row r="45">
      <c r="A45" s="6" t="inlineStr">
        <is>
          <t>Kerri Jakobsen</t>
        </is>
      </c>
      <c r="B45" s="7" t="n">
        <v>3</v>
      </c>
      <c r="C45" s="7" t="n">
        <v>3</v>
      </c>
      <c r="D45" s="7" t="n">
        <v>1</v>
      </c>
      <c r="E45" s="7" t="n">
        <v>0.4385</v>
      </c>
      <c r="F45" s="7" t="inlineStr">
        <is>
          <t>High</t>
        </is>
      </c>
      <c r="G45" s="7" t="inlineStr">
        <is>
          <t>Medium</t>
        </is>
      </c>
    </row>
    <row r="46">
      <c r="A46" s="6" t="inlineStr">
        <is>
          <t>Kim Southerland</t>
        </is>
      </c>
      <c r="B46" s="7" t="n">
        <v>7</v>
      </c>
      <c r="C46" s="7" t="n">
        <v>3</v>
      </c>
      <c r="D46" s="7" t="n">
        <v>0.4286</v>
      </c>
      <c r="E46" s="7" t="n">
        <v>0.1582</v>
      </c>
      <c r="F46" s="7" t="inlineStr">
        <is>
          <t>High</t>
        </is>
      </c>
      <c r="G46" s="7" t="inlineStr">
        <is>
          <t>Low</t>
        </is>
      </c>
    </row>
    <row r="47">
      <c r="A47" s="6" t="inlineStr">
        <is>
          <t>Kurtis Nourse</t>
        </is>
      </c>
      <c r="B47" s="7" t="n">
        <v>2</v>
      </c>
      <c r="C47" s="7" t="n">
        <v>2</v>
      </c>
      <c r="D47" s="7" t="n">
        <v>1</v>
      </c>
      <c r="E47" s="7" t="n">
        <v>0.3424</v>
      </c>
      <c r="F47" s="7" t="inlineStr">
        <is>
          <t>High</t>
        </is>
      </c>
      <c r="G47" s="7" t="inlineStr">
        <is>
          <t>Low</t>
        </is>
      </c>
    </row>
    <row r="48">
      <c r="A48" s="6" t="inlineStr">
        <is>
          <t>Linda Silver</t>
        </is>
      </c>
      <c r="B48" s="7" t="n">
        <v>4</v>
      </c>
      <c r="C48" s="7" t="n">
        <v>2</v>
      </c>
      <c r="D48" s="7" t="n">
        <v>0.5</v>
      </c>
      <c r="E48" s="7" t="n">
        <v>0.15</v>
      </c>
      <c r="F48" s="7" t="inlineStr">
        <is>
          <t>High</t>
        </is>
      </c>
      <c r="G48" s="7" t="inlineStr">
        <is>
          <t>Low</t>
        </is>
      </c>
    </row>
    <row r="49">
      <c r="A49" s="6" t="inlineStr">
        <is>
          <t>Lindsay Roll</t>
        </is>
      </c>
      <c r="B49" s="7" t="n">
        <v>17</v>
      </c>
      <c r="C49" s="7" t="n">
        <v>5</v>
      </c>
      <c r="D49" s="7" t="n">
        <v>0.2941</v>
      </c>
      <c r="E49" s="7" t="n">
        <v>0.1328</v>
      </c>
      <c r="F49" s="7" t="inlineStr">
        <is>
          <t>High</t>
        </is>
      </c>
      <c r="G49" s="7" t="inlineStr">
        <is>
          <t>Low</t>
        </is>
      </c>
    </row>
    <row r="50">
      <c r="A50" s="6" t="inlineStr">
        <is>
          <t>Madison Sheaffer</t>
        </is>
      </c>
      <c r="B50" s="7" t="n">
        <v>173</v>
      </c>
      <c r="C50" s="7" t="n">
        <v>31</v>
      </c>
      <c r="D50" s="7" t="n">
        <v>0.1792</v>
      </c>
      <c r="E50" s="7" t="n">
        <v>0.1292</v>
      </c>
      <c r="F50" s="7" t="inlineStr">
        <is>
          <t>High</t>
        </is>
      </c>
      <c r="G50" s="7" t="inlineStr">
        <is>
          <t>Low</t>
        </is>
      </c>
    </row>
    <row r="51">
      <c r="A51" s="6" t="inlineStr">
        <is>
          <t>Marco Romero</t>
        </is>
      </c>
      <c r="B51" s="7" t="n">
        <v>7</v>
      </c>
      <c r="C51" s="7" t="n">
        <v>5</v>
      </c>
      <c r="D51" s="7" t="n">
        <v>0.7143</v>
      </c>
      <c r="E51" s="7" t="n">
        <v>0.3589</v>
      </c>
      <c r="F51" s="7" t="inlineStr">
        <is>
          <t>High</t>
        </is>
      </c>
      <c r="G51" s="7" t="inlineStr">
        <is>
          <t>Medium</t>
        </is>
      </c>
    </row>
    <row r="52">
      <c r="A52" s="6" t="inlineStr">
        <is>
          <t>Maree Taylor</t>
        </is>
      </c>
      <c r="B52" s="7" t="n">
        <v>6</v>
      </c>
      <c r="C52" s="7" t="n">
        <v>3</v>
      </c>
      <c r="D52" s="7" t="n">
        <v>0.5</v>
      </c>
      <c r="E52" s="7" t="n">
        <v>0.1876</v>
      </c>
      <c r="F52" s="7" t="inlineStr">
        <is>
          <t>High</t>
        </is>
      </c>
      <c r="G52" s="7" t="inlineStr">
        <is>
          <t>Medium</t>
        </is>
      </c>
    </row>
    <row r="53">
      <c r="A53" s="6" t="inlineStr">
        <is>
          <t>Mario Munoz</t>
        </is>
      </c>
      <c r="B53" s="7" t="n">
        <v>4</v>
      </c>
      <c r="C53" s="7" t="n">
        <v>2</v>
      </c>
      <c r="D53" s="7" t="n">
        <v>0.5</v>
      </c>
      <c r="E53" s="7" t="n">
        <v>0.15</v>
      </c>
      <c r="F53" s="7" t="inlineStr">
        <is>
          <t>High</t>
        </is>
      </c>
      <c r="G53" s="7" t="inlineStr">
        <is>
          <t>Low</t>
        </is>
      </c>
    </row>
    <row r="54">
      <c r="A54" s="6" t="inlineStr">
        <is>
          <t>Mark Clark</t>
        </is>
      </c>
      <c r="B54" s="7" t="n">
        <v>30</v>
      </c>
      <c r="C54" s="7" t="n">
        <v>22</v>
      </c>
      <c r="D54" s="7" t="n">
        <v>0.7333</v>
      </c>
      <c r="E54" s="7" t="n">
        <v>0.5555</v>
      </c>
      <c r="F54" s="7" t="inlineStr">
        <is>
          <t>High</t>
        </is>
      </c>
      <c r="G54" s="7" t="inlineStr">
        <is>
          <t>Low</t>
        </is>
      </c>
    </row>
    <row r="55">
      <c r="A55" s="6" t="inlineStr">
        <is>
          <t>Mark Ultis</t>
        </is>
      </c>
      <c r="B55" s="7" t="n">
        <v>64</v>
      </c>
      <c r="C55" s="7" t="n">
        <v>18</v>
      </c>
      <c r="D55" s="7" t="n">
        <v>0.2812</v>
      </c>
      <c r="E55" s="7" t="n">
        <v>0.1859</v>
      </c>
      <c r="F55" s="7" t="inlineStr">
        <is>
          <t>High</t>
        </is>
      </c>
      <c r="G55" s="7" t="inlineStr">
        <is>
          <t>Low</t>
        </is>
      </c>
    </row>
    <row r="56">
      <c r="A56" s="6" t="inlineStr">
        <is>
          <t>Mike Berard</t>
        </is>
      </c>
      <c r="B56" s="7" t="n">
        <v>1</v>
      </c>
      <c r="C56" s="7" t="n">
        <v>1</v>
      </c>
      <c r="D56" s="7" t="n">
        <v>1</v>
      </c>
      <c r="E56" s="7" t="n">
        <v>0.2065</v>
      </c>
      <c r="F56" s="7" t="inlineStr">
        <is>
          <t>High</t>
        </is>
      </c>
      <c r="G56" s="7" t="inlineStr">
        <is>
          <t>Low</t>
        </is>
      </c>
    </row>
    <row r="57">
      <c r="A57" s="6" t="inlineStr">
        <is>
          <t>Mills Babb</t>
        </is>
      </c>
      <c r="B57" s="7" t="n">
        <v>383</v>
      </c>
      <c r="C57" s="7" t="n">
        <v>60</v>
      </c>
      <c r="D57" s="7" t="n">
        <v>0.1567</v>
      </c>
      <c r="E57" s="7" t="n">
        <v>0.1237</v>
      </c>
      <c r="F57" s="7" t="inlineStr">
        <is>
          <t>High</t>
        </is>
      </c>
      <c r="G57" s="7" t="inlineStr">
        <is>
          <t>Low</t>
        </is>
      </c>
    </row>
    <row r="58">
      <c r="A58" s="6" t="inlineStr">
        <is>
          <t>Nathan Bice</t>
        </is>
      </c>
      <c r="B58" s="7" t="n">
        <v>6</v>
      </c>
      <c r="C58" s="7" t="n">
        <v>3</v>
      </c>
      <c r="D58" s="7" t="n">
        <v>0.5</v>
      </c>
      <c r="E58" s="7" t="n">
        <v>0.1876</v>
      </c>
      <c r="F58" s="7" t="inlineStr">
        <is>
          <t>High</t>
        </is>
      </c>
      <c r="G58" s="7" t="inlineStr">
        <is>
          <t>Low</t>
        </is>
      </c>
    </row>
    <row r="59">
      <c r="A59" s="6" t="inlineStr">
        <is>
          <t>Nick Lanham</t>
        </is>
      </c>
      <c r="B59" s="7" t="n">
        <v>4</v>
      </c>
      <c r="C59" s="7" t="n">
        <v>3</v>
      </c>
      <c r="D59" s="7" t="n">
        <v>0.75</v>
      </c>
      <c r="E59" s="7" t="n">
        <v>0.3006</v>
      </c>
      <c r="F59" s="7" t="inlineStr">
        <is>
          <t>High</t>
        </is>
      </c>
      <c r="G59" s="7" t="inlineStr">
        <is>
          <t>Low</t>
        </is>
      </c>
    </row>
    <row r="60">
      <c r="A60" s="6" t="inlineStr">
        <is>
          <t>Nick Palluzzi</t>
        </is>
      </c>
      <c r="B60" s="7" t="n">
        <v>5</v>
      </c>
      <c r="C60" s="7" t="n">
        <v>3</v>
      </c>
      <c r="D60" s="7" t="n">
        <v>0.6</v>
      </c>
      <c r="E60" s="7" t="n">
        <v>0.2307</v>
      </c>
      <c r="F60" s="7" t="inlineStr">
        <is>
          <t>High</t>
        </is>
      </c>
      <c r="G60" s="7" t="inlineStr">
        <is>
          <t>Medium</t>
        </is>
      </c>
    </row>
    <row r="61">
      <c r="A61" s="6" t="inlineStr">
        <is>
          <t>Nick Treat</t>
        </is>
      </c>
      <c r="B61" s="7" t="n">
        <v>60</v>
      </c>
      <c r="C61" s="7" t="n">
        <v>18</v>
      </c>
      <c r="D61" s="7" t="n">
        <v>0.3</v>
      </c>
      <c r="E61" s="7" t="n">
        <v>0.199</v>
      </c>
      <c r="F61" s="7" t="inlineStr">
        <is>
          <t>High</t>
        </is>
      </c>
      <c r="G61" s="7" t="inlineStr">
        <is>
          <t>Low</t>
        </is>
      </c>
    </row>
    <row r="62">
      <c r="A62" s="6" t="inlineStr">
        <is>
          <t>Nojan Rafieyan Brojeni</t>
        </is>
      </c>
      <c r="B62" s="7" t="n">
        <v>11</v>
      </c>
      <c r="C62" s="7" t="n">
        <v>5</v>
      </c>
      <c r="D62" s="7" t="n">
        <v>0.4545</v>
      </c>
      <c r="E62" s="7" t="n">
        <v>0.2127</v>
      </c>
      <c r="F62" s="7" t="inlineStr">
        <is>
          <t>High</t>
        </is>
      </c>
      <c r="G62" s="7" t="inlineStr">
        <is>
          <t>Low</t>
        </is>
      </c>
    </row>
    <row r="63">
      <c r="A63" s="6" t="inlineStr">
        <is>
          <t>Nolan Kiem</t>
        </is>
      </c>
      <c r="B63" s="7" t="n">
        <v>67</v>
      </c>
      <c r="C63" s="7" t="n">
        <v>14</v>
      </c>
      <c r="D63" s="7" t="n">
        <v>0.209</v>
      </c>
      <c r="E63" s="7" t="n">
        <v>0.1288</v>
      </c>
      <c r="F63" s="7" t="inlineStr">
        <is>
          <t>High</t>
        </is>
      </c>
      <c r="G63" s="7" t="inlineStr">
        <is>
          <t>Low</t>
        </is>
      </c>
    </row>
    <row r="64">
      <c r="A64" s="6" t="inlineStr">
        <is>
          <t>Oscar Pennell</t>
        </is>
      </c>
      <c r="B64" s="7" t="n">
        <v>2</v>
      </c>
      <c r="C64" s="7" t="n">
        <v>2</v>
      </c>
      <c r="D64" s="7" t="n">
        <v>1</v>
      </c>
      <c r="E64" s="7" t="n">
        <v>0.3424</v>
      </c>
      <c r="F64" s="7" t="inlineStr">
        <is>
          <t>High</t>
        </is>
      </c>
      <c r="G64" s="7" t="inlineStr">
        <is>
          <t>Low</t>
        </is>
      </c>
    </row>
    <row r="65">
      <c r="A65" s="6" t="inlineStr">
        <is>
          <t>Patrick Beach</t>
        </is>
      </c>
      <c r="B65" s="7" t="n">
        <v>4</v>
      </c>
      <c r="C65" s="7" t="n">
        <v>2</v>
      </c>
      <c r="D65" s="7" t="n">
        <v>0.5</v>
      </c>
      <c r="E65" s="7" t="n">
        <v>0.15</v>
      </c>
      <c r="F65" s="7" t="inlineStr">
        <is>
          <t>High</t>
        </is>
      </c>
      <c r="G65" s="7" t="inlineStr">
        <is>
          <t>Medium</t>
        </is>
      </c>
    </row>
    <row r="66">
      <c r="A66" s="6" t="inlineStr">
        <is>
          <t>Quinn MacLean</t>
        </is>
      </c>
      <c r="B66" s="7" t="n">
        <v>14</v>
      </c>
      <c r="C66" s="7" t="n">
        <v>7</v>
      </c>
      <c r="D66" s="7" t="n">
        <v>0.5</v>
      </c>
      <c r="E66" s="7" t="n">
        <v>0.268</v>
      </c>
      <c r="F66" s="7" t="inlineStr">
        <is>
          <t>High</t>
        </is>
      </c>
      <c r="G66" s="7" t="inlineStr">
        <is>
          <t>Low</t>
        </is>
      </c>
    </row>
    <row r="67">
      <c r="A67" s="6" t="inlineStr">
        <is>
          <t>Reed Flowers</t>
        </is>
      </c>
      <c r="B67" s="7" t="n">
        <v>1</v>
      </c>
      <c r="C67" s="7" t="n">
        <v>1</v>
      </c>
      <c r="D67" s="7" t="n">
        <v>1</v>
      </c>
      <c r="E67" s="7" t="n">
        <v>0.2065</v>
      </c>
      <c r="F67" s="7" t="inlineStr">
        <is>
          <t>High</t>
        </is>
      </c>
      <c r="G67" s="7" t="inlineStr">
        <is>
          <t>Low</t>
        </is>
      </c>
    </row>
    <row r="68">
      <c r="A68" s="6" t="inlineStr">
        <is>
          <t>Ryan Eades</t>
        </is>
      </c>
      <c r="B68" s="7" t="n">
        <v>20</v>
      </c>
      <c r="C68" s="7" t="n">
        <v>7</v>
      </c>
      <c r="D68" s="7" t="n">
        <v>0.35</v>
      </c>
      <c r="E68" s="7" t="n">
        <v>0.1812</v>
      </c>
      <c r="F68" s="7" t="inlineStr">
        <is>
          <t>High</t>
        </is>
      </c>
      <c r="G68" s="7" t="inlineStr">
        <is>
          <t>Low</t>
        </is>
      </c>
    </row>
    <row r="69">
      <c r="A69" s="6" t="inlineStr">
        <is>
          <t>Samuel Dugdale</t>
        </is>
      </c>
      <c r="B69" s="7" t="n">
        <v>66</v>
      </c>
      <c r="C69" s="7" t="n">
        <v>13</v>
      </c>
      <c r="D69" s="7" t="n">
        <v>0.197</v>
      </c>
      <c r="E69" s="7" t="n">
        <v>0.1189</v>
      </c>
      <c r="F69" s="7" t="inlineStr">
        <is>
          <t>High</t>
        </is>
      </c>
      <c r="G69" s="7" t="inlineStr">
        <is>
          <t>Low</t>
        </is>
      </c>
    </row>
    <row r="70">
      <c r="A70" s="6" t="inlineStr">
        <is>
          <t>Scott Kulla</t>
        </is>
      </c>
      <c r="B70" s="7" t="n">
        <v>3</v>
      </c>
      <c r="C70" s="7" t="n">
        <v>2</v>
      </c>
      <c r="D70" s="7" t="n">
        <v>0.6667</v>
      </c>
      <c r="E70" s="7" t="n">
        <v>0.2077</v>
      </c>
      <c r="F70" s="7" t="inlineStr">
        <is>
          <t>High</t>
        </is>
      </c>
      <c r="G70" s="7" t="inlineStr">
        <is>
          <t>Medium</t>
        </is>
      </c>
    </row>
    <row r="71">
      <c r="A71" s="6" t="inlineStr">
        <is>
          <t>Shane Strauss</t>
        </is>
      </c>
      <c r="B71" s="7" t="n">
        <v>7</v>
      </c>
      <c r="C71" s="7" t="n">
        <v>3</v>
      </c>
      <c r="D71" s="7" t="n">
        <v>0.4286</v>
      </c>
      <c r="E71" s="7" t="n">
        <v>0.1582</v>
      </c>
      <c r="F71" s="7" t="inlineStr">
        <is>
          <t>High</t>
        </is>
      </c>
      <c r="G71" s="7" t="inlineStr">
        <is>
          <t>Medium</t>
        </is>
      </c>
    </row>
    <row r="72">
      <c r="A72" s="6" t="inlineStr">
        <is>
          <t>Stacy Denham</t>
        </is>
      </c>
      <c r="B72" s="7" t="n">
        <v>20</v>
      </c>
      <c r="C72" s="7" t="n">
        <v>9</v>
      </c>
      <c r="D72" s="7" t="n">
        <v>0.45</v>
      </c>
      <c r="E72" s="7" t="n">
        <v>0.2582</v>
      </c>
      <c r="F72" s="7" t="inlineStr">
        <is>
          <t>High</t>
        </is>
      </c>
      <c r="G72" s="7" t="inlineStr">
        <is>
          <t>Low</t>
        </is>
      </c>
    </row>
    <row r="73">
      <c r="A73" s="6" t="inlineStr">
        <is>
          <t>Steve Callahan</t>
        </is>
      </c>
      <c r="B73" s="7" t="n">
        <v>4</v>
      </c>
      <c r="C73" s="7" t="n">
        <v>2</v>
      </c>
      <c r="D73" s="7" t="n">
        <v>0.5</v>
      </c>
      <c r="E73" s="7" t="n">
        <v>0.15</v>
      </c>
      <c r="F73" s="7" t="inlineStr">
        <is>
          <t>High</t>
        </is>
      </c>
      <c r="G73" s="7" t="inlineStr">
        <is>
          <t>Medium</t>
        </is>
      </c>
    </row>
    <row r="74">
      <c r="A74" s="6" t="inlineStr">
        <is>
          <t>Steve Goodwin</t>
        </is>
      </c>
      <c r="B74" s="7" t="n">
        <v>3</v>
      </c>
      <c r="C74" s="7" t="n">
        <v>2</v>
      </c>
      <c r="D74" s="7" t="n">
        <v>0.6667</v>
      </c>
      <c r="E74" s="7" t="n">
        <v>0.2077</v>
      </c>
      <c r="F74" s="7" t="inlineStr">
        <is>
          <t>High</t>
        </is>
      </c>
      <c r="G74" s="7" t="inlineStr">
        <is>
          <t>Medium</t>
        </is>
      </c>
    </row>
    <row r="75">
      <c r="A75" s="6" t="inlineStr">
        <is>
          <t>Stewart  Schuerr</t>
        </is>
      </c>
      <c r="B75" s="7" t="n">
        <v>77</v>
      </c>
      <c r="C75" s="7" t="n">
        <v>18</v>
      </c>
      <c r="D75" s="7" t="n">
        <v>0.2338</v>
      </c>
      <c r="E75" s="7" t="n">
        <v>0.1533</v>
      </c>
      <c r="F75" s="7" t="inlineStr">
        <is>
          <t>High</t>
        </is>
      </c>
      <c r="G75" s="7" t="inlineStr">
        <is>
          <t>Low</t>
        </is>
      </c>
    </row>
    <row r="76">
      <c r="A76" s="6" t="inlineStr">
        <is>
          <t>Sue Wilkinson</t>
        </is>
      </c>
      <c r="B76" s="7" t="n">
        <v>446</v>
      </c>
      <c r="C76" s="7" t="n">
        <v>83</v>
      </c>
      <c r="D76" s="7" t="n">
        <v>0.1861</v>
      </c>
      <c r="E76" s="7" t="n">
        <v>0.1527</v>
      </c>
      <c r="F76" s="7" t="inlineStr">
        <is>
          <t>High</t>
        </is>
      </c>
      <c r="G76" s="7" t="inlineStr">
        <is>
          <t>Low</t>
        </is>
      </c>
    </row>
    <row r="77">
      <c r="A77" s="6" t="inlineStr">
        <is>
          <t>Terry Reese</t>
        </is>
      </c>
      <c r="B77" s="7" t="n">
        <v>37</v>
      </c>
      <c r="C77" s="7" t="n">
        <v>27</v>
      </c>
      <c r="D77" s="7" t="n">
        <v>0.7297</v>
      </c>
      <c r="E77" s="7" t="n">
        <v>0.5702</v>
      </c>
      <c r="F77" s="7" t="inlineStr">
        <is>
          <t>High</t>
        </is>
      </c>
      <c r="G77" s="7" t="inlineStr">
        <is>
          <t>Low</t>
        </is>
      </c>
    </row>
    <row r="78">
      <c r="A78" s="6" t="inlineStr">
        <is>
          <t>Thomas Franchetti</t>
        </is>
      </c>
      <c r="B78" s="7" t="n">
        <v>1</v>
      </c>
      <c r="C78" s="7" t="n">
        <v>1</v>
      </c>
      <c r="D78" s="7" t="n">
        <v>1</v>
      </c>
      <c r="E78" s="7" t="n">
        <v>0.2065</v>
      </c>
      <c r="F78" s="7" t="inlineStr">
        <is>
          <t>High</t>
        </is>
      </c>
      <c r="G78" s="7" t="inlineStr">
        <is>
          <t>Low</t>
        </is>
      </c>
    </row>
    <row r="79">
      <c r="A79" s="6" t="inlineStr">
        <is>
          <t>Trent Tate</t>
        </is>
      </c>
      <c r="B79" s="7" t="n">
        <v>53</v>
      </c>
      <c r="C79" s="7" t="n">
        <v>15</v>
      </c>
      <c r="D79" s="7" t="n">
        <v>0.283</v>
      </c>
      <c r="E79" s="7" t="n">
        <v>0.1797</v>
      </c>
      <c r="F79" s="7" t="inlineStr">
        <is>
          <t>High</t>
        </is>
      </c>
      <c r="G79" s="7" t="inlineStr">
        <is>
          <t>Low</t>
        </is>
      </c>
    </row>
    <row r="80">
      <c r="A80" s="6" t="inlineStr">
        <is>
          <t>Trevis Love</t>
        </is>
      </c>
      <c r="B80" s="7" t="n">
        <v>57</v>
      </c>
      <c r="C80" s="7" t="n">
        <v>14</v>
      </c>
      <c r="D80" s="7" t="n">
        <v>0.2456</v>
      </c>
      <c r="E80" s="7" t="n">
        <v>0.1523</v>
      </c>
      <c r="F80" s="7" t="inlineStr">
        <is>
          <t>High</t>
        </is>
      </c>
      <c r="G80" s="7" t="inlineStr">
        <is>
          <t>Medium</t>
        </is>
      </c>
    </row>
    <row r="81">
      <c r="A81" s="6" t="inlineStr">
        <is>
          <t>Tyler Baum</t>
        </is>
      </c>
      <c r="B81" s="7" t="n">
        <v>1</v>
      </c>
      <c r="C81" s="7" t="n">
        <v>1</v>
      </c>
      <c r="D81" s="7" t="n">
        <v>1</v>
      </c>
      <c r="E81" s="7" t="n">
        <v>0.2065</v>
      </c>
      <c r="F81" s="7" t="inlineStr">
        <is>
          <t>High</t>
        </is>
      </c>
      <c r="G81" s="7" t="inlineStr">
        <is>
          <t>Low</t>
        </is>
      </c>
    </row>
    <row r="82">
      <c r="A82" s="6" t="inlineStr">
        <is>
          <t>Tyler Hogan</t>
        </is>
      </c>
      <c r="B82" s="7" t="n">
        <v>158</v>
      </c>
      <c r="C82" s="7" t="n">
        <v>31</v>
      </c>
      <c r="D82" s="7" t="n">
        <v>0.1962</v>
      </c>
      <c r="E82" s="7" t="n">
        <v>0.1418</v>
      </c>
      <c r="F82" s="7" t="inlineStr">
        <is>
          <t>High</t>
        </is>
      </c>
      <c r="G82" s="7" t="inlineStr">
        <is>
          <t>Low</t>
        </is>
      </c>
    </row>
    <row r="83">
      <c r="A83" s="6" t="inlineStr">
        <is>
          <t>Vince McHugh</t>
        </is>
      </c>
      <c r="B83" s="7" t="n">
        <v>2</v>
      </c>
      <c r="C83" s="7" t="n">
        <v>2</v>
      </c>
      <c r="D83" s="7" t="n">
        <v>1</v>
      </c>
      <c r="E83" s="7" t="n">
        <v>0.3424</v>
      </c>
      <c r="F83" s="7" t="inlineStr">
        <is>
          <t>High</t>
        </is>
      </c>
      <c r="G83" s="7" t="inlineStr">
        <is>
          <t>Medium</t>
        </is>
      </c>
    </row>
    <row r="84">
      <c r="A84" s="6" t="inlineStr">
        <is>
          <t>Vincent Lovato</t>
        </is>
      </c>
      <c r="B84" s="7" t="n">
        <v>6</v>
      </c>
      <c r="C84" s="7" t="n">
        <v>5</v>
      </c>
      <c r="D84" s="7" t="n">
        <v>0.8333</v>
      </c>
      <c r="E84" s="7" t="n">
        <v>0.4365</v>
      </c>
      <c r="F84" s="7" t="inlineStr">
        <is>
          <t>High</t>
        </is>
      </c>
      <c r="G84" s="7" t="inlineStr">
        <is>
          <t>Low</t>
        </is>
      </c>
    </row>
    <row r="85">
      <c r="A85" s="6" t="inlineStr">
        <is>
          <t>Will Downing</t>
        </is>
      </c>
      <c r="B85" s="7" t="n">
        <v>13</v>
      </c>
      <c r="C85" s="7" t="n">
        <v>7</v>
      </c>
      <c r="D85" s="7" t="n">
        <v>0.5385</v>
      </c>
      <c r="E85" s="7" t="n">
        <v>0.2914</v>
      </c>
      <c r="F85" s="7" t="inlineStr">
        <is>
          <t>High</t>
        </is>
      </c>
      <c r="G85" s="7" t="inlineStr">
        <is>
          <t>Low</t>
        </is>
      </c>
    </row>
    <row r="86">
      <c r="A86" s="6" t="inlineStr">
        <is>
          <t>William Cornelius</t>
        </is>
      </c>
      <c r="B86" s="7" t="n">
        <v>161</v>
      </c>
      <c r="C86" s="7" t="n">
        <v>50</v>
      </c>
      <c r="D86" s="7" t="n">
        <v>0.3106</v>
      </c>
      <c r="E86" s="7" t="n">
        <v>0.2442</v>
      </c>
      <c r="F86" s="7" t="inlineStr">
        <is>
          <t>High</t>
        </is>
      </c>
      <c r="G86" s="7" t="inlineStr">
        <is>
          <t>Low</t>
        </is>
      </c>
    </row>
    <row r="87">
      <c r="A87" s="6" t="inlineStr">
        <is>
          <t>Aaron Kahle</t>
        </is>
      </c>
      <c r="B87" s="7" t="n">
        <v>8</v>
      </c>
      <c r="C87" s="7" t="n">
        <v>1</v>
      </c>
      <c r="D87" s="7" t="n">
        <v>0.125</v>
      </c>
      <c r="E87" s="7" t="n">
        <v>0.0224</v>
      </c>
      <c r="F87" s="7" t="inlineStr">
        <is>
          <t>Low</t>
        </is>
      </c>
      <c r="G87" s="7" t="inlineStr">
        <is>
          <t>Medium</t>
        </is>
      </c>
    </row>
    <row r="88">
      <c r="A88" s="6" t="inlineStr">
        <is>
          <t>Adam Lopez</t>
        </is>
      </c>
      <c r="B88" s="7" t="n">
        <v>4</v>
      </c>
      <c r="C88" s="7" t="n">
        <v>0</v>
      </c>
      <c r="D88" s="7" t="n">
        <v>0</v>
      </c>
      <c r="E88" s="7" t="n">
        <v>0</v>
      </c>
      <c r="F88" s="7" t="inlineStr">
        <is>
          <t>Low</t>
        </is>
      </c>
      <c r="G88" s="7" t="inlineStr">
        <is>
          <t>Medium</t>
        </is>
      </c>
    </row>
    <row r="89">
      <c r="A89" s="6" t="inlineStr">
        <is>
          <t>Admin User</t>
        </is>
      </c>
      <c r="B89" s="7" t="n">
        <v>7</v>
      </c>
      <c r="C89" s="7" t="n">
        <v>0</v>
      </c>
      <c r="D89" s="7" t="n">
        <v>0</v>
      </c>
      <c r="E89" s="7" t="n">
        <v>0</v>
      </c>
      <c r="F89" s="7" t="inlineStr">
        <is>
          <t>Low</t>
        </is>
      </c>
      <c r="G89" s="7" t="inlineStr">
        <is>
          <t>High</t>
        </is>
      </c>
    </row>
    <row r="90">
      <c r="A90" s="6" t="inlineStr">
        <is>
          <t>Alex Kekovski</t>
        </is>
      </c>
      <c r="B90" s="7" t="n">
        <v>2</v>
      </c>
      <c r="C90" s="7" t="n">
        <v>0</v>
      </c>
      <c r="D90" s="7" t="n">
        <v>0</v>
      </c>
      <c r="E90" s="7" t="n">
        <v>0</v>
      </c>
      <c r="F90" s="7" t="inlineStr">
        <is>
          <t>Low</t>
        </is>
      </c>
      <c r="G90" s="7" t="inlineStr">
        <is>
          <t>High</t>
        </is>
      </c>
    </row>
    <row r="91">
      <c r="A91" s="6" t="inlineStr">
        <is>
          <t>Alex Zaban</t>
        </is>
      </c>
      <c r="B91" s="7" t="n">
        <v>2</v>
      </c>
      <c r="C91" s="7" t="n">
        <v>0</v>
      </c>
      <c r="D91" s="7" t="n">
        <v>0</v>
      </c>
      <c r="E91" s="7" t="n">
        <v>0</v>
      </c>
      <c r="F91" s="7" t="inlineStr">
        <is>
          <t>Low</t>
        </is>
      </c>
      <c r="G91" s="7" t="inlineStr">
        <is>
          <t>Medium</t>
        </is>
      </c>
    </row>
    <row r="92">
      <c r="A92" s="6" t="inlineStr">
        <is>
          <t>Andrew Haas</t>
        </is>
      </c>
      <c r="B92" s="7" t="n">
        <v>5</v>
      </c>
      <c r="C92" s="7" t="n">
        <v>0</v>
      </c>
      <c r="D92" s="7" t="n">
        <v>0</v>
      </c>
      <c r="E92" s="7" t="n">
        <v>0</v>
      </c>
      <c r="F92" s="7" t="inlineStr">
        <is>
          <t>Low</t>
        </is>
      </c>
      <c r="G92" s="7" t="inlineStr">
        <is>
          <t>Medium</t>
        </is>
      </c>
    </row>
    <row r="93">
      <c r="A93" s="6" t="inlineStr">
        <is>
          <t>Andrew Kohler</t>
        </is>
      </c>
      <c r="B93" s="7" t="n">
        <v>4</v>
      </c>
      <c r="C93" s="7" t="n">
        <v>0</v>
      </c>
      <c r="D93" s="7" t="n">
        <v>0</v>
      </c>
      <c r="E93" s="7" t="n">
        <v>0</v>
      </c>
      <c r="F93" s="7" t="inlineStr">
        <is>
          <t>Low</t>
        </is>
      </c>
      <c r="G93" s="7" t="inlineStr">
        <is>
          <t>Medium</t>
        </is>
      </c>
    </row>
    <row r="94">
      <c r="A94" s="6" t="inlineStr">
        <is>
          <t>Andrew Rundell</t>
        </is>
      </c>
      <c r="B94" s="7" t="n">
        <v>1</v>
      </c>
      <c r="C94" s="7" t="n">
        <v>0</v>
      </c>
      <c r="D94" s="7" t="n">
        <v>0</v>
      </c>
      <c r="E94" s="7" t="n">
        <v>0</v>
      </c>
      <c r="F94" s="7" t="inlineStr">
        <is>
          <t>Low</t>
        </is>
      </c>
      <c r="G94" s="7" t="inlineStr">
        <is>
          <t>High</t>
        </is>
      </c>
    </row>
    <row r="95">
      <c r="A95" s="6" t="inlineStr">
        <is>
          <t>Angie Plate</t>
        </is>
      </c>
      <c r="B95" s="7" t="n">
        <v>57</v>
      </c>
      <c r="C95" s="7" t="n">
        <v>5</v>
      </c>
      <c r="D95" s="7" t="n">
        <v>0.0877</v>
      </c>
      <c r="E95" s="7" t="n">
        <v>0.0381</v>
      </c>
      <c r="F95" s="7" t="inlineStr">
        <is>
          <t>Low</t>
        </is>
      </c>
      <c r="G95" s="7" t="inlineStr">
        <is>
          <t>High</t>
        </is>
      </c>
    </row>
    <row r="96">
      <c r="A96" s="6" t="inlineStr">
        <is>
          <t>Ari Suris</t>
        </is>
      </c>
      <c r="B96" s="7" t="n">
        <v>2</v>
      </c>
      <c r="C96" s="7" t="n">
        <v>0</v>
      </c>
      <c r="D96" s="7" t="n">
        <v>0</v>
      </c>
      <c r="E96" s="7" t="n">
        <v>0</v>
      </c>
      <c r="F96" s="7" t="inlineStr">
        <is>
          <t>Low</t>
        </is>
      </c>
      <c r="G96" s="7" t="inlineStr">
        <is>
          <t>High</t>
        </is>
      </c>
    </row>
    <row r="97">
      <c r="A97" s="6" t="inlineStr">
        <is>
          <t>Becki Conner</t>
        </is>
      </c>
      <c r="B97" s="7" t="n">
        <v>29</v>
      </c>
      <c r="C97" s="7" t="n">
        <v>4</v>
      </c>
      <c r="D97" s="7" t="n">
        <v>0.1379</v>
      </c>
      <c r="E97" s="7" t="n">
        <v>0.055</v>
      </c>
      <c r="F97" s="7" t="inlineStr">
        <is>
          <t>Low</t>
        </is>
      </c>
      <c r="G97" s="7" t="inlineStr">
        <is>
          <t>Medium</t>
        </is>
      </c>
    </row>
    <row r="98">
      <c r="A98" s="6" t="inlineStr">
        <is>
          <t>Bill Truchan</t>
        </is>
      </c>
      <c r="B98" s="7" t="n">
        <v>1</v>
      </c>
      <c r="C98" s="7" t="n">
        <v>0</v>
      </c>
      <c r="D98" s="7" t="n">
        <v>0</v>
      </c>
      <c r="E98" s="7" t="n">
        <v>0</v>
      </c>
      <c r="F98" s="7" t="inlineStr">
        <is>
          <t>Low</t>
        </is>
      </c>
      <c r="G98" s="7" t="inlineStr">
        <is>
          <t>High</t>
        </is>
      </c>
    </row>
    <row r="99">
      <c r="A99" s="6" t="inlineStr">
        <is>
          <t>Blair Gerber</t>
        </is>
      </c>
      <c r="B99" s="7" t="n">
        <v>697</v>
      </c>
      <c r="C99" s="7" t="n">
        <v>79</v>
      </c>
      <c r="D99" s="7" t="n">
        <v>0.1133</v>
      </c>
      <c r="E99" s="7" t="n">
        <v>0.0919</v>
      </c>
      <c r="F99" s="7" t="inlineStr">
        <is>
          <t>Low</t>
        </is>
      </c>
      <c r="G99" s="7" t="inlineStr">
        <is>
          <t>High</t>
        </is>
      </c>
    </row>
    <row r="100">
      <c r="A100" s="6" t="inlineStr">
        <is>
          <t>Blake Booher</t>
        </is>
      </c>
      <c r="B100" s="7" t="n">
        <v>1</v>
      </c>
      <c r="C100" s="7" t="n">
        <v>0</v>
      </c>
      <c r="D100" s="7" t="n">
        <v>0</v>
      </c>
      <c r="E100" s="7" t="n">
        <v>0</v>
      </c>
      <c r="F100" s="7" t="inlineStr">
        <is>
          <t>Low</t>
        </is>
      </c>
      <c r="G100" s="7" t="inlineStr">
        <is>
          <t>High</t>
        </is>
      </c>
    </row>
    <row r="101">
      <c r="A101" s="6" t="inlineStr">
        <is>
          <t>Brad Record</t>
        </is>
      </c>
      <c r="B101" s="7" t="n">
        <v>88</v>
      </c>
      <c r="C101" s="7" t="n">
        <v>9</v>
      </c>
      <c r="D101" s="7" t="n">
        <v>0.1023</v>
      </c>
      <c r="E101" s="7" t="n">
        <v>0.0547</v>
      </c>
      <c r="F101" s="7" t="inlineStr">
        <is>
          <t>Low</t>
        </is>
      </c>
      <c r="G101" s="7" t="inlineStr">
        <is>
          <t>High</t>
        </is>
      </c>
    </row>
    <row r="102">
      <c r="A102" s="6" t="inlineStr">
        <is>
          <t>Brandon Milner</t>
        </is>
      </c>
      <c r="B102" s="7" t="n">
        <v>58</v>
      </c>
      <c r="C102" s="7" t="n">
        <v>9</v>
      </c>
      <c r="D102" s="7" t="n">
        <v>0.1552</v>
      </c>
      <c r="E102" s="7" t="n">
        <v>0.0838</v>
      </c>
      <c r="F102" s="7" t="inlineStr">
        <is>
          <t>Low</t>
        </is>
      </c>
      <c r="G102" s="7" t="inlineStr">
        <is>
          <t>High</t>
        </is>
      </c>
    </row>
    <row r="103">
      <c r="A103" s="6" t="inlineStr">
        <is>
          <t>Brett Boggs</t>
        </is>
      </c>
      <c r="B103" s="7" t="n">
        <v>3</v>
      </c>
      <c r="C103" s="7" t="n">
        <v>0</v>
      </c>
      <c r="D103" s="7" t="n">
        <v>0</v>
      </c>
      <c r="E103" s="7" t="n">
        <v>0</v>
      </c>
      <c r="F103" s="7" t="inlineStr">
        <is>
          <t>Low</t>
        </is>
      </c>
      <c r="G103" s="7" t="inlineStr">
        <is>
          <t>Medium</t>
        </is>
      </c>
    </row>
    <row r="104">
      <c r="A104" s="6" t="inlineStr">
        <is>
          <t>Brian Behrens</t>
        </is>
      </c>
      <c r="B104" s="7" t="n">
        <v>17</v>
      </c>
      <c r="C104" s="7" t="n">
        <v>3</v>
      </c>
      <c r="D104" s="7" t="n">
        <v>0.1765</v>
      </c>
      <c r="E104" s="7" t="n">
        <v>0.0619</v>
      </c>
      <c r="F104" s="7" t="inlineStr">
        <is>
          <t>Low</t>
        </is>
      </c>
      <c r="G104" s="7" t="inlineStr">
        <is>
          <t>Medium</t>
        </is>
      </c>
    </row>
    <row r="105">
      <c r="A105" s="6" t="inlineStr">
        <is>
          <t>Brian Herzberg</t>
        </is>
      </c>
      <c r="B105" s="7" t="n">
        <v>8</v>
      </c>
      <c r="C105" s="7" t="n">
        <v>0</v>
      </c>
      <c r="D105" s="7" t="n">
        <v>0</v>
      </c>
      <c r="E105" s="7" t="n">
        <v>0</v>
      </c>
      <c r="F105" s="7" t="inlineStr">
        <is>
          <t>Low</t>
        </is>
      </c>
      <c r="G105" s="7" t="inlineStr">
        <is>
          <t>High</t>
        </is>
      </c>
    </row>
    <row r="106">
      <c r="A106" s="6" t="inlineStr">
        <is>
          <t>Brock Terrell</t>
        </is>
      </c>
      <c r="B106" s="7" t="n">
        <v>2</v>
      </c>
      <c r="C106" s="7" t="n">
        <v>0</v>
      </c>
      <c r="D106" s="7" t="n">
        <v>0</v>
      </c>
      <c r="E106" s="7" t="n">
        <v>0</v>
      </c>
      <c r="F106" s="7" t="inlineStr">
        <is>
          <t>Low</t>
        </is>
      </c>
      <c r="G106" s="7" t="inlineStr">
        <is>
          <t>Medium</t>
        </is>
      </c>
    </row>
    <row r="107">
      <c r="A107" s="6" t="inlineStr">
        <is>
          <t>Chad Dorow</t>
        </is>
      </c>
      <c r="B107" s="7" t="n">
        <v>8</v>
      </c>
      <c r="C107" s="7" t="n">
        <v>0</v>
      </c>
      <c r="D107" s="7" t="n">
        <v>0</v>
      </c>
      <c r="E107" s="7" t="n">
        <v>0</v>
      </c>
      <c r="F107" s="7" t="inlineStr">
        <is>
          <t>Low</t>
        </is>
      </c>
      <c r="G107" s="7" t="inlineStr">
        <is>
          <t>High</t>
        </is>
      </c>
    </row>
    <row r="108">
      <c r="A108" s="6" t="inlineStr">
        <is>
          <t>Chad Gilmet</t>
        </is>
      </c>
      <c r="B108" s="7" t="n">
        <v>4</v>
      </c>
      <c r="C108" s="7" t="n">
        <v>0</v>
      </c>
      <c r="D108" s="7" t="n">
        <v>0</v>
      </c>
      <c r="E108" s="7" t="n">
        <v>0</v>
      </c>
      <c r="F108" s="7" t="inlineStr">
        <is>
          <t>Low</t>
        </is>
      </c>
      <c r="G108" s="7" t="inlineStr">
        <is>
          <t>Medium</t>
        </is>
      </c>
    </row>
    <row r="109">
      <c r="A109" s="6" t="inlineStr">
        <is>
          <t>Cheri Bottorff</t>
        </is>
      </c>
      <c r="B109" s="7" t="n">
        <v>6</v>
      </c>
      <c r="C109" s="7" t="n">
        <v>1</v>
      </c>
      <c r="D109" s="7" t="n">
        <v>0.1667</v>
      </c>
      <c r="E109" s="7" t="n">
        <v>0.0301</v>
      </c>
      <c r="F109" s="7" t="inlineStr">
        <is>
          <t>Low</t>
        </is>
      </c>
      <c r="G109" s="7" t="inlineStr">
        <is>
          <t>High</t>
        </is>
      </c>
    </row>
    <row r="110">
      <c r="A110" s="6" t="inlineStr">
        <is>
          <t>Chris  McReynolds</t>
        </is>
      </c>
      <c r="B110" s="7" t="n">
        <v>401</v>
      </c>
      <c r="C110" s="7" t="n">
        <v>28</v>
      </c>
      <c r="D110" s="7" t="n">
        <v>0.0698</v>
      </c>
      <c r="E110" s="7" t="n">
        <v>0.0487</v>
      </c>
      <c r="F110" s="7" t="inlineStr">
        <is>
          <t>Low</t>
        </is>
      </c>
      <c r="G110" s="7" t="inlineStr">
        <is>
          <t>High</t>
        </is>
      </c>
    </row>
    <row r="111">
      <c r="A111" s="6" t="inlineStr">
        <is>
          <t>Chris Cronkhite</t>
        </is>
      </c>
      <c r="B111" s="7" t="n">
        <v>424</v>
      </c>
      <c r="C111" s="7" t="n">
        <v>32</v>
      </c>
      <c r="D111" s="7" t="n">
        <v>0.0755</v>
      </c>
      <c r="E111" s="7" t="n">
        <v>0.054</v>
      </c>
      <c r="F111" s="7" t="inlineStr">
        <is>
          <t>Low</t>
        </is>
      </c>
      <c r="G111" s="7" t="inlineStr">
        <is>
          <t>High</t>
        </is>
      </c>
    </row>
    <row r="112">
      <c r="A112" s="6" t="inlineStr">
        <is>
          <t>Chris Pomatto</t>
        </is>
      </c>
      <c r="B112" s="7" t="n">
        <v>1</v>
      </c>
      <c r="C112" s="7" t="n">
        <v>0</v>
      </c>
      <c r="D112" s="7" t="n">
        <v>0</v>
      </c>
      <c r="E112" s="7" t="n">
        <v>0</v>
      </c>
      <c r="F112" s="7" t="inlineStr">
        <is>
          <t>Low</t>
        </is>
      </c>
      <c r="G112" s="7" t="inlineStr">
        <is>
          <t>High</t>
        </is>
      </c>
    </row>
    <row r="113">
      <c r="A113" s="6" t="inlineStr">
        <is>
          <t>Chris Wilson</t>
        </is>
      </c>
      <c r="B113" s="7" t="n">
        <v>24</v>
      </c>
      <c r="C113" s="7" t="n">
        <v>4</v>
      </c>
      <c r="D113" s="7" t="n">
        <v>0.1667</v>
      </c>
      <c r="E113" s="7" t="n">
        <v>0.0668</v>
      </c>
      <c r="F113" s="7" t="inlineStr">
        <is>
          <t>Low</t>
        </is>
      </c>
      <c r="G113" s="7" t="inlineStr">
        <is>
          <t>High</t>
        </is>
      </c>
    </row>
    <row r="114">
      <c r="A114" s="6" t="inlineStr">
        <is>
          <t>Christopher Thompsen</t>
        </is>
      </c>
      <c r="B114" s="7" t="n">
        <v>143</v>
      </c>
      <c r="C114" s="7" t="n">
        <v>20</v>
      </c>
      <c r="D114" s="7" t="n">
        <v>0.1399</v>
      </c>
      <c r="E114" s="7" t="n">
        <v>0.0924</v>
      </c>
      <c r="F114" s="7" t="inlineStr">
        <is>
          <t>Low</t>
        </is>
      </c>
      <c r="G114" s="7" t="inlineStr">
        <is>
          <t>High</t>
        </is>
      </c>
    </row>
    <row r="115">
      <c r="A115" s="6" t="inlineStr">
        <is>
          <t>Cody Jacobs</t>
        </is>
      </c>
      <c r="B115" s="7" t="n">
        <v>2</v>
      </c>
      <c r="C115" s="7" t="n">
        <v>0</v>
      </c>
      <c r="D115" s="7" t="n">
        <v>0</v>
      </c>
      <c r="E115" s="7" t="n">
        <v>0</v>
      </c>
      <c r="F115" s="7" t="inlineStr">
        <is>
          <t>Low</t>
        </is>
      </c>
      <c r="G115" s="7" t="inlineStr">
        <is>
          <t>Medium</t>
        </is>
      </c>
    </row>
    <row r="116">
      <c r="A116" s="6" t="inlineStr">
        <is>
          <t>Cole Hayward</t>
        </is>
      </c>
      <c r="B116" s="7" t="n">
        <v>58</v>
      </c>
      <c r="C116" s="7" t="n">
        <v>9</v>
      </c>
      <c r="D116" s="7" t="n">
        <v>0.1552</v>
      </c>
      <c r="E116" s="7" t="n">
        <v>0.0838</v>
      </c>
      <c r="F116" s="7" t="inlineStr">
        <is>
          <t>Low</t>
        </is>
      </c>
      <c r="G116" s="7" t="inlineStr">
        <is>
          <t>High</t>
        </is>
      </c>
    </row>
    <row r="117">
      <c r="A117" s="6" t="inlineStr">
        <is>
          <t>Cole Soiney</t>
        </is>
      </c>
      <c r="B117" s="7" t="n">
        <v>3</v>
      </c>
      <c r="C117" s="7" t="n">
        <v>0</v>
      </c>
      <c r="D117" s="7" t="n">
        <v>0</v>
      </c>
      <c r="E117" s="7" t="n">
        <v>0</v>
      </c>
      <c r="F117" s="7" t="inlineStr">
        <is>
          <t>Low</t>
        </is>
      </c>
      <c r="G117" s="7" t="inlineStr">
        <is>
          <t>High</t>
        </is>
      </c>
    </row>
    <row r="118">
      <c r="A118" s="6" t="inlineStr">
        <is>
          <t>Connor Crawley</t>
        </is>
      </c>
      <c r="B118" s="7" t="n">
        <v>54</v>
      </c>
      <c r="C118" s="7" t="n">
        <v>5</v>
      </c>
      <c r="D118" s="7" t="n">
        <v>0.0926</v>
      </c>
      <c r="E118" s="7" t="n">
        <v>0.0402</v>
      </c>
      <c r="F118" s="7" t="inlineStr">
        <is>
          <t>Low</t>
        </is>
      </c>
      <c r="G118" s="7" t="inlineStr">
        <is>
          <t>High</t>
        </is>
      </c>
    </row>
    <row r="119">
      <c r="A119" s="6" t="inlineStr">
        <is>
          <t>Conor Jones</t>
        </is>
      </c>
      <c r="B119" s="7" t="n">
        <v>13</v>
      </c>
      <c r="C119" s="7" t="n">
        <v>1</v>
      </c>
      <c r="D119" s="7" t="n">
        <v>0.0769</v>
      </c>
      <c r="E119" s="7" t="n">
        <v>0.0137</v>
      </c>
      <c r="F119" s="7" t="inlineStr">
        <is>
          <t>Low</t>
        </is>
      </c>
      <c r="G119" s="7" t="inlineStr">
        <is>
          <t>High</t>
        </is>
      </c>
    </row>
    <row r="120">
      <c r="A120" s="6" t="inlineStr">
        <is>
          <t>Corey Colton</t>
        </is>
      </c>
      <c r="B120" s="7" t="n">
        <v>3</v>
      </c>
      <c r="C120" s="7" t="n">
        <v>0</v>
      </c>
      <c r="D120" s="7" t="n">
        <v>0</v>
      </c>
      <c r="E120" s="7" t="n">
        <v>0</v>
      </c>
      <c r="F120" s="7" t="inlineStr">
        <is>
          <t>Low</t>
        </is>
      </c>
      <c r="G120" s="7" t="inlineStr">
        <is>
          <t>High</t>
        </is>
      </c>
    </row>
    <row r="121">
      <c r="A121" s="6" t="inlineStr">
        <is>
          <t>Cortney Houston</t>
        </is>
      </c>
      <c r="B121" s="7" t="n">
        <v>6</v>
      </c>
      <c r="C121" s="7" t="n">
        <v>1</v>
      </c>
      <c r="D121" s="7" t="n">
        <v>0.1667</v>
      </c>
      <c r="E121" s="7" t="n">
        <v>0.0301</v>
      </c>
      <c r="F121" s="7" t="inlineStr">
        <is>
          <t>Low</t>
        </is>
      </c>
      <c r="G121" s="7" t="inlineStr">
        <is>
          <t>High</t>
        </is>
      </c>
    </row>
    <row r="122">
      <c r="A122" s="6" t="inlineStr">
        <is>
          <t>Courtney Leighton</t>
        </is>
      </c>
      <c r="B122" s="7" t="n">
        <v>11</v>
      </c>
      <c r="C122" s="7" t="n">
        <v>0</v>
      </c>
      <c r="D122" s="7" t="n">
        <v>0</v>
      </c>
      <c r="E122" s="7" t="n">
        <v>0</v>
      </c>
      <c r="F122" s="7" t="inlineStr">
        <is>
          <t>Low</t>
        </is>
      </c>
      <c r="G122" s="7" t="inlineStr">
        <is>
          <t>Medium</t>
        </is>
      </c>
    </row>
    <row r="123">
      <c r="A123" s="6" t="inlineStr">
        <is>
          <t>DONALD DAVIS</t>
        </is>
      </c>
      <c r="B123" s="7" t="n">
        <v>10</v>
      </c>
      <c r="C123" s="7" t="n">
        <v>1</v>
      </c>
      <c r="D123" s="7" t="n">
        <v>0.1</v>
      </c>
      <c r="E123" s="7" t="n">
        <v>0.0179</v>
      </c>
      <c r="F123" s="7" t="inlineStr">
        <is>
          <t>Low</t>
        </is>
      </c>
      <c r="G123" s="7" t="inlineStr">
        <is>
          <t>Medium</t>
        </is>
      </c>
    </row>
    <row r="124">
      <c r="A124" s="6" t="inlineStr">
        <is>
          <t>Dana Borza</t>
        </is>
      </c>
      <c r="B124" s="7" t="n">
        <v>1</v>
      </c>
      <c r="C124" s="7" t="n">
        <v>0</v>
      </c>
      <c r="D124" s="7" t="n">
        <v>0</v>
      </c>
      <c r="E124" s="7" t="n">
        <v>0</v>
      </c>
      <c r="F124" s="7" t="inlineStr">
        <is>
          <t>Low</t>
        </is>
      </c>
      <c r="G124" s="7" t="inlineStr">
        <is>
          <t>High</t>
        </is>
      </c>
    </row>
    <row r="125">
      <c r="A125" s="6" t="inlineStr">
        <is>
          <t>Daniel DaPra</t>
        </is>
      </c>
      <c r="B125" s="7" t="n">
        <v>49</v>
      </c>
      <c r="C125" s="7" t="n">
        <v>3</v>
      </c>
      <c r="D125" s="7" t="n">
        <v>0.0612</v>
      </c>
      <c r="E125" s="7" t="n">
        <v>0.021</v>
      </c>
      <c r="F125" s="7" t="inlineStr">
        <is>
          <t>Low</t>
        </is>
      </c>
      <c r="G125" s="7" t="inlineStr">
        <is>
          <t>High</t>
        </is>
      </c>
    </row>
    <row r="126">
      <c r="A126" s="6" t="inlineStr">
        <is>
          <t>Danny Wayne</t>
        </is>
      </c>
      <c r="B126" s="7" t="n">
        <v>16</v>
      </c>
      <c r="C126" s="7" t="n">
        <v>2</v>
      </c>
      <c r="D126" s="7" t="n">
        <v>0.125</v>
      </c>
      <c r="E126" s="7" t="n">
        <v>0.035</v>
      </c>
      <c r="F126" s="7" t="inlineStr">
        <is>
          <t>Low</t>
        </is>
      </c>
      <c r="G126" s="7" t="inlineStr">
        <is>
          <t>Medium</t>
        </is>
      </c>
    </row>
    <row r="127">
      <c r="A127" s="6" t="inlineStr">
        <is>
          <t>Dawson Church</t>
        </is>
      </c>
      <c r="B127" s="7" t="n">
        <v>2</v>
      </c>
      <c r="C127" s="7" t="n">
        <v>0</v>
      </c>
      <c r="D127" s="7" t="n">
        <v>0</v>
      </c>
      <c r="E127" s="7" t="n">
        <v>0</v>
      </c>
      <c r="F127" s="7" t="inlineStr">
        <is>
          <t>Low</t>
        </is>
      </c>
      <c r="G127" s="7" t="inlineStr">
        <is>
          <t>Medium</t>
        </is>
      </c>
    </row>
    <row r="128">
      <c r="A128" s="6" t="inlineStr">
        <is>
          <t>Dean Achterberg</t>
        </is>
      </c>
      <c r="B128" s="7" t="n">
        <v>13</v>
      </c>
      <c r="C128" s="7" t="n">
        <v>0</v>
      </c>
      <c r="D128" s="7" t="n">
        <v>0</v>
      </c>
      <c r="E128" s="7" t="n">
        <v>0</v>
      </c>
      <c r="F128" s="7" t="inlineStr">
        <is>
          <t>Low</t>
        </is>
      </c>
      <c r="G128" s="7" t="inlineStr">
        <is>
          <t>High</t>
        </is>
      </c>
    </row>
    <row r="129">
      <c r="A129" s="6" t="inlineStr">
        <is>
          <t>Donald Hoxha</t>
        </is>
      </c>
      <c r="B129" s="7" t="n">
        <v>5</v>
      </c>
      <c r="C129" s="7" t="n">
        <v>0</v>
      </c>
      <c r="D129" s="7" t="n">
        <v>0</v>
      </c>
      <c r="E129" s="7" t="n">
        <v>0</v>
      </c>
      <c r="F129" s="7" t="inlineStr">
        <is>
          <t>Low</t>
        </is>
      </c>
      <c r="G129" s="7" t="inlineStr">
        <is>
          <t>Medium</t>
        </is>
      </c>
    </row>
    <row r="130">
      <c r="A130" s="6" t="inlineStr">
        <is>
          <t>Dorein Plummer</t>
        </is>
      </c>
      <c r="B130" s="7" t="n">
        <v>5</v>
      </c>
      <c r="C130" s="7" t="n">
        <v>0</v>
      </c>
      <c r="D130" s="7" t="n">
        <v>0</v>
      </c>
      <c r="E130" s="7" t="n">
        <v>0</v>
      </c>
      <c r="F130" s="7" t="inlineStr">
        <is>
          <t>Low</t>
        </is>
      </c>
      <c r="G130" s="7" t="inlineStr">
        <is>
          <t>High</t>
        </is>
      </c>
    </row>
    <row r="131">
      <c r="A131" s="6" t="inlineStr">
        <is>
          <t>Doug Caprio</t>
        </is>
      </c>
      <c r="B131" s="7" t="n">
        <v>64</v>
      </c>
      <c r="C131" s="7" t="n">
        <v>11</v>
      </c>
      <c r="D131" s="7" t="n">
        <v>0.1719</v>
      </c>
      <c r="E131" s="7" t="n">
        <v>0.0988</v>
      </c>
      <c r="F131" s="7" t="inlineStr">
        <is>
          <t>Low</t>
        </is>
      </c>
      <c r="G131" s="7" t="inlineStr">
        <is>
          <t>High</t>
        </is>
      </c>
    </row>
    <row r="132">
      <c r="A132" s="6" t="inlineStr">
        <is>
          <t>Doug Moore</t>
        </is>
      </c>
      <c r="B132" s="7" t="n">
        <v>3</v>
      </c>
      <c r="C132" s="7" t="n">
        <v>0</v>
      </c>
      <c r="D132" s="7" t="n">
        <v>0</v>
      </c>
      <c r="E132" s="7" t="n">
        <v>0</v>
      </c>
      <c r="F132" s="7" t="inlineStr">
        <is>
          <t>Low</t>
        </is>
      </c>
      <c r="G132" s="7" t="inlineStr">
        <is>
          <t>Medium</t>
        </is>
      </c>
    </row>
    <row r="133">
      <c r="A133" s="6" t="inlineStr">
        <is>
          <t>Dustin Odelson</t>
        </is>
      </c>
      <c r="B133" s="7" t="n">
        <v>23</v>
      </c>
      <c r="C133" s="7" t="n">
        <v>0</v>
      </c>
      <c r="D133" s="7" t="n">
        <v>0</v>
      </c>
      <c r="E133" s="7" t="n">
        <v>0</v>
      </c>
      <c r="F133" s="7" t="inlineStr">
        <is>
          <t>Low</t>
        </is>
      </c>
      <c r="G133" s="7" t="inlineStr">
        <is>
          <t>Medium</t>
        </is>
      </c>
    </row>
    <row r="134">
      <c r="A134" s="6" t="inlineStr">
        <is>
          <t>Erin Snarski</t>
        </is>
      </c>
      <c r="B134" s="7" t="n">
        <v>18</v>
      </c>
      <c r="C134" s="7" t="n">
        <v>0</v>
      </c>
      <c r="D134" s="7" t="n">
        <v>0</v>
      </c>
      <c r="E134" s="7" t="n">
        <v>0</v>
      </c>
      <c r="F134" s="7" t="inlineStr">
        <is>
          <t>Low</t>
        </is>
      </c>
      <c r="G134" s="7" t="inlineStr">
        <is>
          <t>High</t>
        </is>
      </c>
    </row>
    <row r="135">
      <c r="A135" s="6" t="inlineStr">
        <is>
          <t>Ethan Huntzinger</t>
        </is>
      </c>
      <c r="B135" s="7" t="n">
        <v>6</v>
      </c>
      <c r="C135" s="7" t="n">
        <v>0</v>
      </c>
      <c r="D135" s="7" t="n">
        <v>0</v>
      </c>
      <c r="E135" s="7" t="n">
        <v>0</v>
      </c>
      <c r="F135" s="7" t="inlineStr">
        <is>
          <t>Low</t>
        </is>
      </c>
      <c r="G135" s="7" t="inlineStr">
        <is>
          <t>High</t>
        </is>
      </c>
    </row>
    <row r="136">
      <c r="A136" s="6" t="inlineStr">
        <is>
          <t>Garrett Fernandez</t>
        </is>
      </c>
      <c r="B136" s="7" t="n">
        <v>12</v>
      </c>
      <c r="C136" s="7" t="n">
        <v>2</v>
      </c>
      <c r="D136" s="7" t="n">
        <v>0.1667</v>
      </c>
      <c r="E136" s="7" t="n">
        <v>0.047</v>
      </c>
      <c r="F136" s="7" t="inlineStr">
        <is>
          <t>Low</t>
        </is>
      </c>
      <c r="G136" s="7" t="inlineStr">
        <is>
          <t>Medium</t>
        </is>
      </c>
    </row>
    <row r="137">
      <c r="A137" s="6" t="inlineStr">
        <is>
          <t>Genesis Stevenson</t>
        </is>
      </c>
      <c r="B137" s="7" t="n">
        <v>5</v>
      </c>
      <c r="C137" s="7" t="n">
        <v>1</v>
      </c>
      <c r="D137" s="7" t="n">
        <v>0.2</v>
      </c>
      <c r="E137" s="7" t="n">
        <v>0.0362</v>
      </c>
      <c r="F137" s="7" t="inlineStr">
        <is>
          <t>Low</t>
        </is>
      </c>
      <c r="G137" s="7" t="inlineStr">
        <is>
          <t>Medium</t>
        </is>
      </c>
    </row>
    <row r="138">
      <c r="A138" s="6" t="inlineStr">
        <is>
          <t>George Dowling</t>
        </is>
      </c>
      <c r="B138" s="7" t="n">
        <v>242</v>
      </c>
      <c r="C138" s="7" t="n">
        <v>34</v>
      </c>
      <c r="D138" s="7" t="n">
        <v>0.1405</v>
      </c>
      <c r="E138" s="7" t="n">
        <v>0.1023</v>
      </c>
      <c r="F138" s="7" t="inlineStr">
        <is>
          <t>Low</t>
        </is>
      </c>
      <c r="G138" s="7" t="inlineStr">
        <is>
          <t>High</t>
        </is>
      </c>
    </row>
    <row r="139">
      <c r="A139" s="6" t="inlineStr">
        <is>
          <t>Greg Gisler</t>
        </is>
      </c>
      <c r="B139" s="7" t="n">
        <v>8</v>
      </c>
      <c r="C139" s="7" t="n">
        <v>0</v>
      </c>
      <c r="D139" s="7" t="n">
        <v>0</v>
      </c>
      <c r="E139" s="7" t="n">
        <v>0</v>
      </c>
      <c r="F139" s="7" t="inlineStr">
        <is>
          <t>Low</t>
        </is>
      </c>
      <c r="G139" s="7" t="inlineStr">
        <is>
          <t>Medium</t>
        </is>
      </c>
    </row>
    <row r="140">
      <c r="A140" s="6" t="inlineStr">
        <is>
          <t>Greg Moates</t>
        </is>
      </c>
      <c r="B140" s="7" t="n">
        <v>67</v>
      </c>
      <c r="C140" s="7" t="n">
        <v>0</v>
      </c>
      <c r="D140" s="7" t="n">
        <v>0</v>
      </c>
      <c r="E140" s="7" t="n">
        <v>0</v>
      </c>
      <c r="F140" s="7" t="inlineStr">
        <is>
          <t>Low</t>
        </is>
      </c>
      <c r="G140" s="7" t="inlineStr">
        <is>
          <t>Medium</t>
        </is>
      </c>
    </row>
    <row r="141">
      <c r="A141" s="6" t="inlineStr">
        <is>
          <t>Jack Wright</t>
        </is>
      </c>
      <c r="B141" s="7" t="n">
        <v>47</v>
      </c>
      <c r="C141" s="7" t="n">
        <v>1</v>
      </c>
      <c r="D141" s="7" t="n">
        <v>0.0213</v>
      </c>
      <c r="E141" s="7" t="n">
        <v>0.0038</v>
      </c>
      <c r="F141" s="7" t="inlineStr">
        <is>
          <t>Low</t>
        </is>
      </c>
      <c r="G141" s="7" t="inlineStr">
        <is>
          <t>High</t>
        </is>
      </c>
    </row>
    <row r="142">
      <c r="A142" s="6" t="inlineStr">
        <is>
          <t>Jackie Dato</t>
        </is>
      </c>
      <c r="B142" s="7" t="n">
        <v>1</v>
      </c>
      <c r="C142" s="7" t="n">
        <v>0</v>
      </c>
      <c r="D142" s="7" t="n">
        <v>0</v>
      </c>
      <c r="E142" s="7" t="n">
        <v>0</v>
      </c>
      <c r="F142" s="7" t="inlineStr">
        <is>
          <t>Low</t>
        </is>
      </c>
      <c r="G142" s="7" t="inlineStr">
        <is>
          <t>High</t>
        </is>
      </c>
    </row>
    <row r="143">
      <c r="A143" s="6" t="inlineStr">
        <is>
          <t>James Clark</t>
        </is>
      </c>
      <c r="B143" s="7" t="n">
        <v>52</v>
      </c>
      <c r="C143" s="7" t="n">
        <v>7</v>
      </c>
      <c r="D143" s="7" t="n">
        <v>0.1346</v>
      </c>
      <c r="E143" s="7" t="n">
        <v>0.0668</v>
      </c>
      <c r="F143" s="7" t="inlineStr">
        <is>
          <t>Low</t>
        </is>
      </c>
      <c r="G143" s="7" t="inlineStr">
        <is>
          <t>Medium</t>
        </is>
      </c>
    </row>
    <row r="144">
      <c r="A144" s="6" t="inlineStr">
        <is>
          <t>Jarod Gutierrez</t>
        </is>
      </c>
      <c r="B144" s="7" t="n">
        <v>26</v>
      </c>
      <c r="C144" s="7" t="n">
        <v>0</v>
      </c>
      <c r="D144" s="7" t="n">
        <v>0</v>
      </c>
      <c r="E144" s="7" t="n">
        <v>0</v>
      </c>
      <c r="F144" s="7" t="inlineStr">
        <is>
          <t>Low</t>
        </is>
      </c>
      <c r="G144" s="7" t="inlineStr">
        <is>
          <t>High</t>
        </is>
      </c>
    </row>
    <row r="145">
      <c r="A145" s="6" t="inlineStr">
        <is>
          <t>Jeff Layne</t>
        </is>
      </c>
      <c r="B145" s="7" t="n">
        <v>5</v>
      </c>
      <c r="C145" s="7" t="n">
        <v>0</v>
      </c>
      <c r="D145" s="7" t="n">
        <v>0</v>
      </c>
      <c r="E145" s="7" t="n">
        <v>0</v>
      </c>
      <c r="F145" s="7" t="inlineStr">
        <is>
          <t>Low</t>
        </is>
      </c>
      <c r="G145" s="7" t="inlineStr">
        <is>
          <t>Medium</t>
        </is>
      </c>
    </row>
    <row r="146">
      <c r="A146" s="6" t="inlineStr">
        <is>
          <t>Jeffery Landers</t>
        </is>
      </c>
      <c r="B146" s="7" t="n">
        <v>41</v>
      </c>
      <c r="C146" s="7" t="n">
        <v>3</v>
      </c>
      <c r="D146" s="7" t="n">
        <v>0.0732</v>
      </c>
      <c r="E146" s="7" t="n">
        <v>0.0252</v>
      </c>
      <c r="F146" s="7" t="inlineStr">
        <is>
          <t>Low</t>
        </is>
      </c>
      <c r="G146" s="7" t="inlineStr">
        <is>
          <t>Medium</t>
        </is>
      </c>
    </row>
    <row r="147">
      <c r="A147" s="6" t="inlineStr">
        <is>
          <t>Jim Storrs</t>
        </is>
      </c>
      <c r="B147" s="7" t="n">
        <v>70</v>
      </c>
      <c r="C147" s="7" t="n">
        <v>6</v>
      </c>
      <c r="D147" s="7" t="n">
        <v>0.0857</v>
      </c>
      <c r="E147" s="7" t="n">
        <v>0.0399</v>
      </c>
      <c r="F147" s="7" t="inlineStr">
        <is>
          <t>Low</t>
        </is>
      </c>
      <c r="G147" s="7" t="inlineStr">
        <is>
          <t>High</t>
        </is>
      </c>
    </row>
    <row r="148">
      <c r="A148" s="6" t="inlineStr">
        <is>
          <t>Joe Whelchel</t>
        </is>
      </c>
      <c r="B148" s="7" t="n">
        <v>5</v>
      </c>
      <c r="C148" s="7" t="n">
        <v>0</v>
      </c>
      <c r="D148" s="7" t="n">
        <v>0</v>
      </c>
      <c r="E148" s="7" t="n">
        <v>0</v>
      </c>
      <c r="F148" s="7" t="inlineStr">
        <is>
          <t>Low</t>
        </is>
      </c>
      <c r="G148" s="7" t="inlineStr">
        <is>
          <t>Medium</t>
        </is>
      </c>
    </row>
    <row r="149">
      <c r="A149" s="6" t="inlineStr">
        <is>
          <t>John Scarlett</t>
        </is>
      </c>
      <c r="B149" s="7" t="n">
        <v>8</v>
      </c>
      <c r="C149" s="7" t="n">
        <v>0</v>
      </c>
      <c r="D149" s="7" t="n">
        <v>0</v>
      </c>
      <c r="E149" s="7" t="n">
        <v>0</v>
      </c>
      <c r="F149" s="7" t="inlineStr">
        <is>
          <t>Low</t>
        </is>
      </c>
      <c r="G149" s="7" t="inlineStr">
        <is>
          <t>Medium</t>
        </is>
      </c>
    </row>
    <row r="150">
      <c r="A150" s="6" t="inlineStr">
        <is>
          <t>Jon  Antoniewicz</t>
        </is>
      </c>
      <c r="B150" s="7" t="n">
        <v>5</v>
      </c>
      <c r="C150" s="7" t="n">
        <v>0</v>
      </c>
      <c r="D150" s="7" t="n">
        <v>0</v>
      </c>
      <c r="E150" s="7" t="n">
        <v>0</v>
      </c>
      <c r="F150" s="7" t="inlineStr">
        <is>
          <t>Low</t>
        </is>
      </c>
      <c r="G150" s="7" t="inlineStr">
        <is>
          <t>High</t>
        </is>
      </c>
    </row>
    <row r="151">
      <c r="A151" s="6" t="inlineStr">
        <is>
          <t>Jon  Rodgers</t>
        </is>
      </c>
      <c r="B151" s="7" t="n">
        <v>7</v>
      </c>
      <c r="C151" s="7" t="n">
        <v>1</v>
      </c>
      <c r="D151" s="7" t="n">
        <v>0.1429</v>
      </c>
      <c r="E151" s="7" t="n">
        <v>0.0257</v>
      </c>
      <c r="F151" s="7" t="inlineStr">
        <is>
          <t>Low</t>
        </is>
      </c>
      <c r="G151" s="7" t="inlineStr">
        <is>
          <t>Medium</t>
        </is>
      </c>
    </row>
    <row r="152">
      <c r="A152" s="6" t="inlineStr">
        <is>
          <t>Julie Anderson</t>
        </is>
      </c>
      <c r="B152" s="7" t="n">
        <v>29</v>
      </c>
      <c r="C152" s="7" t="n">
        <v>4</v>
      </c>
      <c r="D152" s="7" t="n">
        <v>0.1379</v>
      </c>
      <c r="E152" s="7" t="n">
        <v>0.055</v>
      </c>
      <c r="F152" s="7" t="inlineStr">
        <is>
          <t>Low</t>
        </is>
      </c>
      <c r="G152" s="7" t="inlineStr">
        <is>
          <t>Medium</t>
        </is>
      </c>
    </row>
    <row r="153">
      <c r="A153" s="6" t="inlineStr">
        <is>
          <t>Kasey Kunichika</t>
        </is>
      </c>
      <c r="B153" s="7" t="n">
        <v>10</v>
      </c>
      <c r="C153" s="7" t="n">
        <v>1</v>
      </c>
      <c r="D153" s="7" t="n">
        <v>0.1</v>
      </c>
      <c r="E153" s="7" t="n">
        <v>0.0179</v>
      </c>
      <c r="F153" s="7" t="inlineStr">
        <is>
          <t>Low</t>
        </is>
      </c>
      <c r="G153" s="7" t="inlineStr">
        <is>
          <t>High</t>
        </is>
      </c>
    </row>
    <row r="154">
      <c r="A154" s="6" t="inlineStr">
        <is>
          <t>Kathryn Buckley</t>
        </is>
      </c>
      <c r="B154" s="7" t="n">
        <v>1</v>
      </c>
      <c r="C154" s="7" t="n">
        <v>0</v>
      </c>
      <c r="D154" s="7" t="n">
        <v>0</v>
      </c>
      <c r="E154" s="7" t="n">
        <v>0</v>
      </c>
      <c r="F154" s="7" t="inlineStr">
        <is>
          <t>Low</t>
        </is>
      </c>
      <c r="G154" s="7" t="inlineStr">
        <is>
          <t>High</t>
        </is>
      </c>
    </row>
    <row r="155">
      <c r="A155" s="6" t="inlineStr">
        <is>
          <t>Kayce Miller</t>
        </is>
      </c>
      <c r="B155" s="7" t="n">
        <v>12</v>
      </c>
      <c r="C155" s="7" t="n">
        <v>0</v>
      </c>
      <c r="D155" s="7" t="n">
        <v>0</v>
      </c>
      <c r="E155" s="7" t="n">
        <v>0</v>
      </c>
      <c r="F155" s="7" t="inlineStr">
        <is>
          <t>Low</t>
        </is>
      </c>
      <c r="G155" s="7" t="inlineStr">
        <is>
          <t>Medium</t>
        </is>
      </c>
    </row>
    <row r="156">
      <c r="A156" s="6" t="inlineStr">
        <is>
          <t>Kenneth Cole</t>
        </is>
      </c>
      <c r="B156" s="7" t="n">
        <v>18</v>
      </c>
      <c r="C156" s="7" t="n">
        <v>2</v>
      </c>
      <c r="D156" s="7" t="n">
        <v>0.1111</v>
      </c>
      <c r="E156" s="7" t="n">
        <v>0.031</v>
      </c>
      <c r="F156" s="7" t="inlineStr">
        <is>
          <t>Low</t>
        </is>
      </c>
      <c r="G156" s="7" t="inlineStr">
        <is>
          <t>Medium</t>
        </is>
      </c>
    </row>
    <row r="157">
      <c r="A157" s="6" t="inlineStr">
        <is>
          <t>Kim Girard</t>
        </is>
      </c>
      <c r="B157" s="7" t="n">
        <v>5</v>
      </c>
      <c r="C157" s="7" t="n">
        <v>0</v>
      </c>
      <c r="D157" s="7" t="n">
        <v>0</v>
      </c>
      <c r="E157" s="7" t="n">
        <v>0</v>
      </c>
      <c r="F157" s="7" t="inlineStr">
        <is>
          <t>Low</t>
        </is>
      </c>
      <c r="G157" s="7" t="inlineStr">
        <is>
          <t>High</t>
        </is>
      </c>
    </row>
    <row r="158">
      <c r="A158" s="6" t="inlineStr">
        <is>
          <t>Kristin Claggett</t>
        </is>
      </c>
      <c r="B158" s="7" t="n">
        <v>12</v>
      </c>
      <c r="C158" s="7" t="n">
        <v>2</v>
      </c>
      <c r="D158" s="7" t="n">
        <v>0.1667</v>
      </c>
      <c r="E158" s="7" t="n">
        <v>0.047</v>
      </c>
      <c r="F158" s="7" t="inlineStr">
        <is>
          <t>Low</t>
        </is>
      </c>
      <c r="G158" s="7" t="inlineStr">
        <is>
          <t>Medium</t>
        </is>
      </c>
    </row>
    <row r="159">
      <c r="A159" s="6" t="inlineStr">
        <is>
          <t>Kristina Prichard</t>
        </is>
      </c>
      <c r="B159" s="7" t="n">
        <v>68</v>
      </c>
      <c r="C159" s="7" t="n">
        <v>2</v>
      </c>
      <c r="D159" s="7" t="n">
        <v>0.0294</v>
      </c>
      <c r="E159" s="7" t="n">
        <v>0.0081</v>
      </c>
      <c r="F159" s="7" t="inlineStr">
        <is>
          <t>Low</t>
        </is>
      </c>
      <c r="G159" s="7" t="inlineStr">
        <is>
          <t>Medium</t>
        </is>
      </c>
    </row>
    <row r="160">
      <c r="A160" s="6" t="inlineStr">
        <is>
          <t>Krystian Michalak</t>
        </is>
      </c>
      <c r="B160" s="7" t="n">
        <v>2</v>
      </c>
      <c r="C160" s="7" t="n">
        <v>0</v>
      </c>
      <c r="D160" s="7" t="n">
        <v>0</v>
      </c>
      <c r="E160" s="7" t="n">
        <v>0</v>
      </c>
      <c r="F160" s="7" t="inlineStr">
        <is>
          <t>Low</t>
        </is>
      </c>
      <c r="G160" s="7" t="inlineStr">
        <is>
          <t>High</t>
        </is>
      </c>
    </row>
    <row r="161">
      <c r="A161" s="6" t="inlineStr">
        <is>
          <t>Lance Jacklich</t>
        </is>
      </c>
      <c r="B161" s="7" t="n">
        <v>2</v>
      </c>
      <c r="C161" s="7" t="n">
        <v>0</v>
      </c>
      <c r="D161" s="7" t="n">
        <v>0</v>
      </c>
      <c r="E161" s="7" t="n">
        <v>0</v>
      </c>
      <c r="F161" s="7" t="inlineStr">
        <is>
          <t>Low</t>
        </is>
      </c>
      <c r="G161" s="7" t="inlineStr">
        <is>
          <t>High</t>
        </is>
      </c>
    </row>
    <row r="162">
      <c r="A162" s="6" t="inlineStr">
        <is>
          <t>Lawrence Johnson</t>
        </is>
      </c>
      <c r="B162" s="7" t="n">
        <v>18</v>
      </c>
      <c r="C162" s="7" t="n">
        <v>2</v>
      </c>
      <c r="D162" s="7" t="n">
        <v>0.1111</v>
      </c>
      <c r="E162" s="7" t="n">
        <v>0.031</v>
      </c>
      <c r="F162" s="7" t="inlineStr">
        <is>
          <t>Low</t>
        </is>
      </c>
      <c r="G162" s="7" t="inlineStr">
        <is>
          <t>Medium</t>
        </is>
      </c>
    </row>
    <row r="163">
      <c r="A163" s="6" t="inlineStr">
        <is>
          <t>Lee Anne Franklin</t>
        </is>
      </c>
      <c r="B163" s="7" t="n">
        <v>7</v>
      </c>
      <c r="C163" s="7" t="n">
        <v>0</v>
      </c>
      <c r="D163" s="7" t="n">
        <v>0</v>
      </c>
      <c r="E163" s="7" t="n">
        <v>0</v>
      </c>
      <c r="F163" s="7" t="inlineStr">
        <is>
          <t>Low</t>
        </is>
      </c>
      <c r="G163" s="7" t="inlineStr">
        <is>
          <t>High</t>
        </is>
      </c>
    </row>
    <row r="164">
      <c r="A164" s="6" t="inlineStr">
        <is>
          <t>Len Colucci</t>
        </is>
      </c>
      <c r="B164" s="7" t="n">
        <v>5</v>
      </c>
      <c r="C164" s="7" t="n">
        <v>0</v>
      </c>
      <c r="D164" s="7" t="n">
        <v>0</v>
      </c>
      <c r="E164" s="7" t="n">
        <v>0</v>
      </c>
      <c r="F164" s="7" t="inlineStr">
        <is>
          <t>Low</t>
        </is>
      </c>
      <c r="G164" s="7" t="inlineStr">
        <is>
          <t>Medium</t>
        </is>
      </c>
    </row>
    <row r="165">
      <c r="A165" s="6" t="inlineStr">
        <is>
          <t>Leyla Samimi</t>
        </is>
      </c>
      <c r="B165" s="7" t="n">
        <v>26</v>
      </c>
      <c r="C165" s="7" t="n">
        <v>4</v>
      </c>
      <c r="D165" s="7" t="n">
        <v>0.1538</v>
      </c>
      <c r="E165" s="7" t="n">
        <v>0.0615</v>
      </c>
      <c r="F165" s="7" t="inlineStr">
        <is>
          <t>Low</t>
        </is>
      </c>
      <c r="G165" s="7" t="inlineStr">
        <is>
          <t>High</t>
        </is>
      </c>
    </row>
    <row r="166">
      <c r="A166" s="6" t="inlineStr">
        <is>
          <t>Logan Schott</t>
        </is>
      </c>
      <c r="B166" s="7" t="n">
        <v>18</v>
      </c>
      <c r="C166" s="7" t="n">
        <v>3</v>
      </c>
      <c r="D166" s="7" t="n">
        <v>0.1667</v>
      </c>
      <c r="E166" s="7" t="n">
        <v>0.0584</v>
      </c>
      <c r="F166" s="7" t="inlineStr">
        <is>
          <t>Low</t>
        </is>
      </c>
      <c r="G166" s="7" t="inlineStr">
        <is>
          <t>Medium</t>
        </is>
      </c>
    </row>
    <row r="167">
      <c r="A167" s="6" t="inlineStr">
        <is>
          <t>Maitlyn Hoskins</t>
        </is>
      </c>
      <c r="B167" s="7" t="n">
        <v>3</v>
      </c>
      <c r="C167" s="7" t="n">
        <v>0</v>
      </c>
      <c r="D167" s="7" t="n">
        <v>0</v>
      </c>
      <c r="E167" s="7" t="n">
        <v>0</v>
      </c>
      <c r="F167" s="7" t="inlineStr">
        <is>
          <t>Low</t>
        </is>
      </c>
      <c r="G167" s="7" t="inlineStr">
        <is>
          <t>High</t>
        </is>
      </c>
    </row>
    <row r="168">
      <c r="A168" s="6" t="inlineStr">
        <is>
          <t>Marcus Wiley</t>
        </is>
      </c>
      <c r="B168" s="7" t="n">
        <v>2</v>
      </c>
      <c r="C168" s="7" t="n">
        <v>0</v>
      </c>
      <c r="D168" s="7" t="n">
        <v>0</v>
      </c>
      <c r="E168" s="7" t="n">
        <v>0</v>
      </c>
      <c r="F168" s="7" t="inlineStr">
        <is>
          <t>Low</t>
        </is>
      </c>
      <c r="G168" s="7" t="inlineStr">
        <is>
          <t>Medium</t>
        </is>
      </c>
    </row>
    <row r="169">
      <c r="A169" s="6" t="inlineStr">
        <is>
          <t>Marisa Gibson</t>
        </is>
      </c>
      <c r="B169" s="7" t="n">
        <v>2</v>
      </c>
      <c r="C169" s="7" t="n">
        <v>0</v>
      </c>
      <c r="D169" s="7" t="n">
        <v>0</v>
      </c>
      <c r="E169" s="7" t="n">
        <v>0</v>
      </c>
      <c r="F169" s="7" t="inlineStr">
        <is>
          <t>Low</t>
        </is>
      </c>
      <c r="G169" s="7" t="inlineStr">
        <is>
          <t>High</t>
        </is>
      </c>
    </row>
    <row r="170">
      <c r="A170" s="6" t="inlineStr">
        <is>
          <t>Mark Demee</t>
        </is>
      </c>
      <c r="B170" s="7" t="n">
        <v>150</v>
      </c>
      <c r="C170" s="7" t="n">
        <v>23</v>
      </c>
      <c r="D170" s="7" t="n">
        <v>0.1533</v>
      </c>
      <c r="E170" s="7" t="n">
        <v>0.1044</v>
      </c>
      <c r="F170" s="7" t="inlineStr">
        <is>
          <t>Low</t>
        </is>
      </c>
      <c r="G170" s="7" t="inlineStr">
        <is>
          <t>High</t>
        </is>
      </c>
    </row>
    <row r="171">
      <c r="A171" s="6" t="inlineStr">
        <is>
          <t>Mark French Franca</t>
        </is>
      </c>
      <c r="B171" s="7" t="n">
        <v>9</v>
      </c>
      <c r="C171" s="7" t="n">
        <v>0</v>
      </c>
      <c r="D171" s="7" t="n">
        <v>0</v>
      </c>
      <c r="E171" s="7" t="n">
        <v>0</v>
      </c>
      <c r="F171" s="7" t="inlineStr">
        <is>
          <t>Low</t>
        </is>
      </c>
      <c r="G171" s="7" t="inlineStr">
        <is>
          <t>High</t>
        </is>
      </c>
    </row>
    <row r="172">
      <c r="A172" s="6" t="inlineStr">
        <is>
          <t>Mark Norris</t>
        </is>
      </c>
      <c r="B172" s="7" t="n">
        <v>26</v>
      </c>
      <c r="C172" s="7" t="n">
        <v>4</v>
      </c>
      <c r="D172" s="7" t="n">
        <v>0.1538</v>
      </c>
      <c r="E172" s="7" t="n">
        <v>0.0615</v>
      </c>
      <c r="F172" s="7" t="inlineStr">
        <is>
          <t>Low</t>
        </is>
      </c>
      <c r="G172" s="7" t="inlineStr">
        <is>
          <t>Medium</t>
        </is>
      </c>
    </row>
    <row r="173">
      <c r="A173" s="6" t="inlineStr">
        <is>
          <t>Melissa Skinner</t>
        </is>
      </c>
      <c r="B173" s="7" t="n">
        <v>1</v>
      </c>
      <c r="C173" s="7" t="n">
        <v>0</v>
      </c>
      <c r="D173" s="7" t="n">
        <v>0</v>
      </c>
      <c r="E173" s="7" t="n">
        <v>0</v>
      </c>
      <c r="F173" s="7" t="inlineStr">
        <is>
          <t>Low</t>
        </is>
      </c>
      <c r="G173" s="7" t="inlineStr">
        <is>
          <t>High</t>
        </is>
      </c>
    </row>
    <row r="174">
      <c r="A174" s="6" t="inlineStr">
        <is>
          <t>Michael Burmaster</t>
        </is>
      </c>
      <c r="B174" s="7" t="n">
        <v>138</v>
      </c>
      <c r="C174" s="7" t="n">
        <v>21</v>
      </c>
      <c r="D174" s="7" t="n">
        <v>0.1522</v>
      </c>
      <c r="E174" s="7" t="n">
        <v>0.1017</v>
      </c>
      <c r="F174" s="7" t="inlineStr">
        <is>
          <t>Low</t>
        </is>
      </c>
      <c r="G174" s="7" t="inlineStr">
        <is>
          <t>High</t>
        </is>
      </c>
    </row>
    <row r="175">
      <c r="A175" s="6" t="inlineStr">
        <is>
          <t>Michael Koons</t>
        </is>
      </c>
      <c r="B175" s="7" t="n">
        <v>4</v>
      </c>
      <c r="C175" s="7" t="n">
        <v>0</v>
      </c>
      <c r="D175" s="7" t="n">
        <v>0</v>
      </c>
      <c r="E175" s="7" t="n">
        <v>0</v>
      </c>
      <c r="F175" s="7" t="inlineStr">
        <is>
          <t>Low</t>
        </is>
      </c>
      <c r="G175" s="7" t="inlineStr">
        <is>
          <t>Medium</t>
        </is>
      </c>
    </row>
    <row r="176">
      <c r="A176" s="6" t="inlineStr">
        <is>
          <t>Michelle Gilbert</t>
        </is>
      </c>
      <c r="B176" s="7" t="n">
        <v>3</v>
      </c>
      <c r="C176" s="7" t="n">
        <v>0</v>
      </c>
      <c r="D176" s="7" t="n">
        <v>0</v>
      </c>
      <c r="E176" s="7" t="n">
        <v>0</v>
      </c>
      <c r="F176" s="7" t="inlineStr">
        <is>
          <t>Low</t>
        </is>
      </c>
      <c r="G176" s="7" t="inlineStr">
        <is>
          <t>Medium</t>
        </is>
      </c>
    </row>
    <row r="177">
      <c r="A177" s="6" t="inlineStr">
        <is>
          <t>Mike Brettl</t>
        </is>
      </c>
      <c r="B177" s="7" t="n">
        <v>1</v>
      </c>
      <c r="C177" s="7" t="n">
        <v>0</v>
      </c>
      <c r="D177" s="7" t="n">
        <v>0</v>
      </c>
      <c r="E177" s="7" t="n">
        <v>0</v>
      </c>
      <c r="F177" s="7" t="inlineStr">
        <is>
          <t>Low</t>
        </is>
      </c>
      <c r="G177" s="7" t="inlineStr">
        <is>
          <t>High</t>
        </is>
      </c>
    </row>
    <row r="178">
      <c r="A178" s="6" t="inlineStr">
        <is>
          <t>Mike Stephens</t>
        </is>
      </c>
      <c r="B178" s="7" t="n">
        <v>13</v>
      </c>
      <c r="C178" s="7" t="n">
        <v>1</v>
      </c>
      <c r="D178" s="7" t="n">
        <v>0.0769</v>
      </c>
      <c r="E178" s="7" t="n">
        <v>0.0137</v>
      </c>
      <c r="F178" s="7" t="inlineStr">
        <is>
          <t>Low</t>
        </is>
      </c>
      <c r="G178" s="7" t="inlineStr">
        <is>
          <t>Medium</t>
        </is>
      </c>
    </row>
    <row r="179">
      <c r="A179" s="6" t="inlineStr">
        <is>
          <t>Molissa  Spradley</t>
        </is>
      </c>
      <c r="B179" s="7" t="n">
        <v>27</v>
      </c>
      <c r="C179" s="7" t="n">
        <v>4</v>
      </c>
      <c r="D179" s="7" t="n">
        <v>0.1481</v>
      </c>
      <c r="E179" s="7" t="n">
        <v>0.0592</v>
      </c>
      <c r="F179" s="7" t="inlineStr">
        <is>
          <t>Low</t>
        </is>
      </c>
      <c r="G179" s="7" t="inlineStr">
        <is>
          <t>Medium</t>
        </is>
      </c>
    </row>
    <row r="180">
      <c r="A180" s="6" t="inlineStr">
        <is>
          <t>Monet Fisher</t>
        </is>
      </c>
      <c r="B180" s="7" t="n">
        <v>63</v>
      </c>
      <c r="C180" s="7" t="n">
        <v>9</v>
      </c>
      <c r="D180" s="7" t="n">
        <v>0.1429</v>
      </c>
      <c r="E180" s="7" t="n">
        <v>0.077</v>
      </c>
      <c r="F180" s="7" t="inlineStr">
        <is>
          <t>Low</t>
        </is>
      </c>
      <c r="G180" s="7" t="inlineStr">
        <is>
          <t>High</t>
        </is>
      </c>
    </row>
    <row r="181">
      <c r="A181" s="6" t="inlineStr">
        <is>
          <t>Patricia Pruitt</t>
        </is>
      </c>
      <c r="B181" s="7" t="n">
        <v>20</v>
      </c>
      <c r="C181" s="7" t="n">
        <v>0</v>
      </c>
      <c r="D181" s="7" t="n">
        <v>0</v>
      </c>
      <c r="E181" s="7" t="n">
        <v>0</v>
      </c>
      <c r="F181" s="7" t="inlineStr">
        <is>
          <t>Low</t>
        </is>
      </c>
      <c r="G181" s="7" t="inlineStr">
        <is>
          <t>High</t>
        </is>
      </c>
    </row>
    <row r="182">
      <c r="A182" s="6" t="inlineStr">
        <is>
          <t>Patrick Niland</t>
        </is>
      </c>
      <c r="B182" s="7" t="n">
        <v>34</v>
      </c>
      <c r="C182" s="7" t="n">
        <v>5</v>
      </c>
      <c r="D182" s="7" t="n">
        <v>0.1471</v>
      </c>
      <c r="E182" s="7" t="n">
        <v>0.0645</v>
      </c>
      <c r="F182" s="7" t="inlineStr">
        <is>
          <t>Low</t>
        </is>
      </c>
      <c r="G182" s="7" t="inlineStr">
        <is>
          <t>Medium</t>
        </is>
      </c>
    </row>
    <row r="183">
      <c r="A183" s="6" t="inlineStr">
        <is>
          <t>Paul Lee</t>
        </is>
      </c>
      <c r="B183" s="7" t="n">
        <v>1</v>
      </c>
      <c r="C183" s="7" t="n">
        <v>0</v>
      </c>
      <c r="D183" s="7" t="n">
        <v>0</v>
      </c>
      <c r="E183" s="7" t="n">
        <v>0</v>
      </c>
      <c r="F183" s="7" t="inlineStr">
        <is>
          <t>Low</t>
        </is>
      </c>
      <c r="G183" s="7" t="inlineStr">
        <is>
          <t>High</t>
        </is>
      </c>
    </row>
    <row r="184">
      <c r="A184" s="6" t="inlineStr">
        <is>
          <t>Philip Thompson</t>
        </is>
      </c>
      <c r="B184" s="7" t="n">
        <v>5</v>
      </c>
      <c r="C184" s="7" t="n">
        <v>0</v>
      </c>
      <c r="D184" s="7" t="n">
        <v>0</v>
      </c>
      <c r="E184" s="7" t="n">
        <v>0</v>
      </c>
      <c r="F184" s="7" t="inlineStr">
        <is>
          <t>Low</t>
        </is>
      </c>
      <c r="G184" s="7" t="inlineStr">
        <is>
          <t>High</t>
        </is>
      </c>
    </row>
    <row r="185">
      <c r="A185" s="6" t="inlineStr">
        <is>
          <t>Randy Coughlin</t>
        </is>
      </c>
      <c r="B185" s="7" t="n">
        <v>95</v>
      </c>
      <c r="C185" s="7" t="n">
        <v>0</v>
      </c>
      <c r="D185" s="7" t="n">
        <v>0</v>
      </c>
      <c r="E185" s="7" t="n">
        <v>0</v>
      </c>
      <c r="F185" s="7" t="inlineStr">
        <is>
          <t>Low</t>
        </is>
      </c>
      <c r="G185" s="7" t="inlineStr">
        <is>
          <t>High</t>
        </is>
      </c>
    </row>
    <row r="186">
      <c r="A186" s="6" t="inlineStr">
        <is>
          <t>Richard Bailey</t>
        </is>
      </c>
      <c r="B186" s="7" t="n">
        <v>79</v>
      </c>
      <c r="C186" s="7" t="n">
        <v>13</v>
      </c>
      <c r="D186" s="7" t="n">
        <v>0.1646</v>
      </c>
      <c r="E186" s="7" t="n">
        <v>0.0988</v>
      </c>
      <c r="F186" s="7" t="inlineStr">
        <is>
          <t>Low</t>
        </is>
      </c>
      <c r="G186" s="7" t="inlineStr">
        <is>
          <t>High</t>
        </is>
      </c>
    </row>
    <row r="187">
      <c r="A187" s="6" t="inlineStr">
        <is>
          <t>Richard Goldsmith</t>
        </is>
      </c>
      <c r="B187" s="7" t="n">
        <v>41</v>
      </c>
      <c r="C187" s="7" t="n">
        <v>6</v>
      </c>
      <c r="D187" s="7" t="n">
        <v>0.1463</v>
      </c>
      <c r="E187" s="7" t="n">
        <v>0.0688</v>
      </c>
      <c r="F187" s="7" t="inlineStr">
        <is>
          <t>Low</t>
        </is>
      </c>
      <c r="G187" s="7" t="inlineStr">
        <is>
          <t>Medium</t>
        </is>
      </c>
    </row>
    <row r="188">
      <c r="A188" s="6" t="inlineStr">
        <is>
          <t>Riley Schneekloth</t>
        </is>
      </c>
      <c r="B188" s="7" t="n">
        <v>23</v>
      </c>
      <c r="C188" s="7" t="n">
        <v>4</v>
      </c>
      <c r="D188" s="7" t="n">
        <v>0.1739</v>
      </c>
      <c r="E188" s="7" t="n">
        <v>0.0698</v>
      </c>
      <c r="F188" s="7" t="inlineStr">
        <is>
          <t>Low</t>
        </is>
      </c>
      <c r="G188" s="7" t="inlineStr">
        <is>
          <t>Medium</t>
        </is>
      </c>
    </row>
    <row r="189">
      <c r="A189" s="6" t="inlineStr">
        <is>
          <t>Robert Carroll III</t>
        </is>
      </c>
      <c r="B189" s="7" t="n">
        <v>33</v>
      </c>
      <c r="C189" s="7" t="n">
        <v>0</v>
      </c>
      <c r="D189" s="7" t="n">
        <v>0</v>
      </c>
      <c r="E189" s="7" t="n">
        <v>0</v>
      </c>
      <c r="F189" s="7" t="inlineStr">
        <is>
          <t>Low</t>
        </is>
      </c>
      <c r="G189" s="7" t="inlineStr">
        <is>
          <t>Medium</t>
        </is>
      </c>
    </row>
    <row r="190">
      <c r="A190" s="6" t="inlineStr">
        <is>
          <t>Roger DiGregorio</t>
        </is>
      </c>
      <c r="B190" s="7" t="n">
        <v>111</v>
      </c>
      <c r="C190" s="7" t="n">
        <v>11</v>
      </c>
      <c r="D190" s="7" t="n">
        <v>0.09909999999999999</v>
      </c>
      <c r="E190" s="7" t="n">
        <v>0.0562</v>
      </c>
      <c r="F190" s="7" t="inlineStr">
        <is>
          <t>Low</t>
        </is>
      </c>
      <c r="G190" s="7" t="inlineStr">
        <is>
          <t>High</t>
        </is>
      </c>
    </row>
    <row r="191">
      <c r="A191" s="6" t="inlineStr">
        <is>
          <t>Sati Phenix</t>
        </is>
      </c>
      <c r="B191" s="7" t="n">
        <v>2</v>
      </c>
      <c r="C191" s="7" t="n">
        <v>0</v>
      </c>
      <c r="D191" s="7" t="n">
        <v>0</v>
      </c>
      <c r="E191" s="7" t="n">
        <v>0</v>
      </c>
      <c r="F191" s="7" t="inlineStr">
        <is>
          <t>Low</t>
        </is>
      </c>
      <c r="G191" s="7" t="inlineStr">
        <is>
          <t>High</t>
        </is>
      </c>
    </row>
    <row r="192">
      <c r="A192" s="6" t="inlineStr">
        <is>
          <t>Scott  Clements</t>
        </is>
      </c>
      <c r="B192" s="7" t="n">
        <v>4</v>
      </c>
      <c r="C192" s="7" t="n">
        <v>0</v>
      </c>
      <c r="D192" s="7" t="n">
        <v>0</v>
      </c>
      <c r="E192" s="7" t="n">
        <v>0</v>
      </c>
      <c r="F192" s="7" t="inlineStr">
        <is>
          <t>Low</t>
        </is>
      </c>
      <c r="G192" s="7" t="inlineStr">
        <is>
          <t>High</t>
        </is>
      </c>
    </row>
    <row r="193">
      <c r="A193" s="6" t="inlineStr">
        <is>
          <t>Scott Backstrom</t>
        </is>
      </c>
      <c r="B193" s="7" t="n">
        <v>4</v>
      </c>
      <c r="C193" s="7" t="n">
        <v>0</v>
      </c>
      <c r="D193" s="7" t="n">
        <v>0</v>
      </c>
      <c r="E193" s="7" t="n">
        <v>0</v>
      </c>
      <c r="F193" s="7" t="inlineStr">
        <is>
          <t>Low</t>
        </is>
      </c>
      <c r="G193" s="7" t="inlineStr">
        <is>
          <t>Medium</t>
        </is>
      </c>
    </row>
    <row r="194">
      <c r="A194" s="6" t="inlineStr">
        <is>
          <t>Shane Flanagan</t>
        </is>
      </c>
      <c r="B194" s="7" t="n">
        <v>1</v>
      </c>
      <c r="C194" s="7" t="n">
        <v>0</v>
      </c>
      <c r="D194" s="7" t="n">
        <v>0</v>
      </c>
      <c r="E194" s="7" t="n">
        <v>0</v>
      </c>
      <c r="F194" s="7" t="inlineStr">
        <is>
          <t>Low</t>
        </is>
      </c>
      <c r="G194" s="7" t="inlineStr">
        <is>
          <t>High</t>
        </is>
      </c>
    </row>
    <row r="195">
      <c r="A195" s="6" t="inlineStr">
        <is>
          <t>Thomas Woolsey</t>
        </is>
      </c>
      <c r="B195" s="7" t="n">
        <v>1</v>
      </c>
      <c r="C195" s="7" t="n">
        <v>0</v>
      </c>
      <c r="D195" s="7" t="n">
        <v>0</v>
      </c>
      <c r="E195" s="7" t="n">
        <v>0</v>
      </c>
      <c r="F195" s="7" t="inlineStr">
        <is>
          <t>Low</t>
        </is>
      </c>
      <c r="G195" s="7" t="inlineStr">
        <is>
          <t>High</t>
        </is>
      </c>
    </row>
    <row r="196">
      <c r="A196" s="6" t="inlineStr">
        <is>
          <t>Tim Jungels</t>
        </is>
      </c>
      <c r="B196" s="7" t="n">
        <v>48</v>
      </c>
      <c r="C196" s="7" t="n">
        <v>0</v>
      </c>
      <c r="D196" s="7" t="n">
        <v>0</v>
      </c>
      <c r="E196" s="7" t="n">
        <v>0</v>
      </c>
      <c r="F196" s="7" t="inlineStr">
        <is>
          <t>Low</t>
        </is>
      </c>
      <c r="G196" s="7" t="inlineStr">
        <is>
          <t>High</t>
        </is>
      </c>
    </row>
    <row r="197">
      <c r="A197" s="6" t="inlineStr">
        <is>
          <t>Tina Cornett</t>
        </is>
      </c>
      <c r="B197" s="7" t="n">
        <v>44</v>
      </c>
      <c r="C197" s="7" t="n">
        <v>6</v>
      </c>
      <c r="D197" s="7" t="n">
        <v>0.1364</v>
      </c>
      <c r="E197" s="7" t="n">
        <v>0.064</v>
      </c>
      <c r="F197" s="7" t="inlineStr">
        <is>
          <t>Low</t>
        </is>
      </c>
      <c r="G197" s="7" t="inlineStr">
        <is>
          <t>High</t>
        </is>
      </c>
    </row>
    <row r="198">
      <c r="A198" s="6" t="inlineStr">
        <is>
          <t>Todd Culbertson</t>
        </is>
      </c>
      <c r="B198" s="7" t="n">
        <v>1</v>
      </c>
      <c r="C198" s="7" t="n">
        <v>0</v>
      </c>
      <c r="D198" s="7" t="n">
        <v>0</v>
      </c>
      <c r="E198" s="7" t="n">
        <v>0</v>
      </c>
      <c r="F198" s="7" t="inlineStr">
        <is>
          <t>Low</t>
        </is>
      </c>
      <c r="G198" s="7" t="inlineStr">
        <is>
          <t>High</t>
        </is>
      </c>
    </row>
    <row r="199">
      <c r="A199" s="6" t="inlineStr">
        <is>
          <t>Tom Flahaven</t>
        </is>
      </c>
      <c r="B199" s="7" t="n">
        <v>1</v>
      </c>
      <c r="C199" s="7" t="n">
        <v>0</v>
      </c>
      <c r="D199" s="7" t="n">
        <v>0</v>
      </c>
      <c r="E199" s="7" t="n">
        <v>0</v>
      </c>
      <c r="F199" s="7" t="inlineStr">
        <is>
          <t>Low</t>
        </is>
      </c>
      <c r="G199" s="7" t="inlineStr">
        <is>
          <t>High</t>
        </is>
      </c>
    </row>
    <row r="200">
      <c r="A200" s="6" t="inlineStr">
        <is>
          <t>Tom Lajeunesse</t>
        </is>
      </c>
      <c r="B200" s="7" t="n">
        <v>80</v>
      </c>
      <c r="C200" s="7" t="n">
        <v>1</v>
      </c>
      <c r="D200" s="7" t="n">
        <v>0.0125</v>
      </c>
      <c r="E200" s="7" t="n">
        <v>0.0022</v>
      </c>
      <c r="F200" s="7" t="inlineStr">
        <is>
          <t>Low</t>
        </is>
      </c>
      <c r="G200" s="7" t="inlineStr">
        <is>
          <t>High</t>
        </is>
      </c>
    </row>
    <row r="201">
      <c r="A201" s="6" t="inlineStr">
        <is>
          <t>Tony Grigoryan</t>
        </is>
      </c>
      <c r="B201" s="7" t="n">
        <v>34</v>
      </c>
      <c r="C201" s="7" t="n">
        <v>6</v>
      </c>
      <c r="D201" s="7" t="n">
        <v>0.1765</v>
      </c>
      <c r="E201" s="7" t="n">
        <v>0.0835</v>
      </c>
      <c r="F201" s="7" t="inlineStr">
        <is>
          <t>Low</t>
        </is>
      </c>
      <c r="G201" s="7" t="inlineStr">
        <is>
          <t>Medium</t>
        </is>
      </c>
    </row>
    <row r="202">
      <c r="A202" s="6" t="inlineStr">
        <is>
          <t>Tre Watson</t>
        </is>
      </c>
      <c r="B202" s="7" t="n">
        <v>12</v>
      </c>
      <c r="C202" s="7" t="n">
        <v>2</v>
      </c>
      <c r="D202" s="7" t="n">
        <v>0.1667</v>
      </c>
      <c r="E202" s="7" t="n">
        <v>0.047</v>
      </c>
      <c r="F202" s="7" t="inlineStr">
        <is>
          <t>Low</t>
        </is>
      </c>
      <c r="G202" s="7" t="inlineStr">
        <is>
          <t>Medium</t>
        </is>
      </c>
    </row>
    <row r="203">
      <c r="A203" s="6" t="inlineStr">
        <is>
          <t>Tuesday Miller</t>
        </is>
      </c>
      <c r="B203" s="7" t="n">
        <v>9</v>
      </c>
      <c r="C203" s="7" t="n">
        <v>0</v>
      </c>
      <c r="D203" s="7" t="n">
        <v>0</v>
      </c>
      <c r="E203" s="7" t="n">
        <v>0</v>
      </c>
      <c r="F203" s="7" t="inlineStr">
        <is>
          <t>Low</t>
        </is>
      </c>
      <c r="G203" s="7" t="inlineStr">
        <is>
          <t>High</t>
        </is>
      </c>
    </row>
    <row r="204">
      <c r="A204" s="6" t="inlineStr">
        <is>
          <t>Vaughn Coblentz</t>
        </is>
      </c>
      <c r="B204" s="7" t="n">
        <v>5</v>
      </c>
      <c r="C204" s="7" t="n">
        <v>1</v>
      </c>
      <c r="D204" s="7" t="n">
        <v>0.2</v>
      </c>
      <c r="E204" s="7" t="n">
        <v>0.0362</v>
      </c>
      <c r="F204" s="7" t="inlineStr">
        <is>
          <t>Low</t>
        </is>
      </c>
      <c r="G204" s="7" t="inlineStr">
        <is>
          <t>Medium</t>
        </is>
      </c>
    </row>
    <row r="205">
      <c r="A205" s="6" t="inlineStr">
        <is>
          <t>Vicki Rodriguez</t>
        </is>
      </c>
      <c r="B205" s="7" t="n">
        <v>170</v>
      </c>
      <c r="C205" s="7" t="n">
        <v>4</v>
      </c>
      <c r="D205" s="7" t="n">
        <v>0.0235</v>
      </c>
      <c r="E205" s="7" t="n">
        <v>0.0092</v>
      </c>
      <c r="F205" s="7" t="inlineStr">
        <is>
          <t>Low</t>
        </is>
      </c>
      <c r="G205" s="7" t="inlineStr">
        <is>
          <t>High</t>
        </is>
      </c>
    </row>
    <row r="206">
      <c r="A206" s="6" t="inlineStr">
        <is>
          <t>Ysidoro Quintanilla</t>
        </is>
      </c>
      <c r="B206" s="7" t="n">
        <v>25</v>
      </c>
      <c r="C206" s="7" t="n">
        <v>1</v>
      </c>
      <c r="D206" s="7" t="n">
        <v>0.04</v>
      </c>
      <c r="E206" s="7" t="n">
        <v>0.0071</v>
      </c>
      <c r="F206" s="7" t="inlineStr">
        <is>
          <t>Low</t>
        </is>
      </c>
      <c r="G206" s="7" t="inlineStr">
        <is>
          <t>High</t>
        </is>
      </c>
    </row>
    <row r="207">
      <c r="A207" s="6" t="inlineStr">
        <is>
          <t>Zach Sargis</t>
        </is>
      </c>
      <c r="B207" s="7" t="n">
        <v>1</v>
      </c>
      <c r="C207" s="7" t="n">
        <v>0</v>
      </c>
      <c r="D207" s="7" t="n">
        <v>0</v>
      </c>
      <c r="E207" s="7" t="n">
        <v>0</v>
      </c>
      <c r="F207" s="7" t="inlineStr">
        <is>
          <t>Low</t>
        </is>
      </c>
      <c r="G207" s="7" t="inlineStr">
        <is>
          <t>High</t>
        </is>
      </c>
    </row>
    <row r="208">
      <c r="A208" s="6" t="inlineStr">
        <is>
          <t>Zoey Schaefer</t>
        </is>
      </c>
      <c r="B208" s="7" t="n">
        <v>29</v>
      </c>
      <c r="C208" s="7" t="n">
        <v>4</v>
      </c>
      <c r="D208" s="7" t="n">
        <v>0.1379</v>
      </c>
      <c r="E208" s="7" t="n">
        <v>0.055</v>
      </c>
      <c r="F208" s="7" t="inlineStr">
        <is>
          <t>Low</t>
        </is>
      </c>
      <c r="G208" s="7" t="inlineStr">
        <is>
          <t>Medium</t>
        </is>
      </c>
    </row>
    <row r="209">
      <c r="A209" s="6" t="inlineStr">
        <is>
          <t>Alyson Gentry</t>
        </is>
      </c>
      <c r="B209" s="7" t="n">
        <v>8</v>
      </c>
      <c r="C209" s="7" t="n">
        <v>2</v>
      </c>
      <c r="D209" s="7" t="n">
        <v>0.25</v>
      </c>
      <c r="E209" s="7" t="n">
        <v>0.07149999999999999</v>
      </c>
      <c r="F209" s="7" t="inlineStr">
        <is>
          <t>Medium</t>
        </is>
      </c>
      <c r="G209" s="7" t="inlineStr">
        <is>
          <t>Low</t>
        </is>
      </c>
    </row>
    <row r="210">
      <c r="A210" s="6" t="inlineStr">
        <is>
          <t>Austin Chitmon</t>
        </is>
      </c>
      <c r="B210" s="7" t="n">
        <v>2</v>
      </c>
      <c r="C210" s="7" t="n">
        <v>1</v>
      </c>
      <c r="D210" s="7" t="n">
        <v>0.5</v>
      </c>
      <c r="E210" s="7" t="n">
        <v>0.0945</v>
      </c>
      <c r="F210" s="7" t="inlineStr">
        <is>
          <t>Medium</t>
        </is>
      </c>
      <c r="G210" s="7" t="inlineStr">
        <is>
          <t>Low</t>
        </is>
      </c>
    </row>
    <row r="211">
      <c r="A211" s="6" t="inlineStr">
        <is>
          <t>Brady Bruhn</t>
        </is>
      </c>
      <c r="B211" s="7" t="n">
        <v>3</v>
      </c>
      <c r="C211" s="7" t="n">
        <v>1</v>
      </c>
      <c r="D211" s="7" t="n">
        <v>0.3333</v>
      </c>
      <c r="E211" s="7" t="n">
        <v>0.0615</v>
      </c>
      <c r="F211" s="7" t="inlineStr">
        <is>
          <t>Medium</t>
        </is>
      </c>
      <c r="G211" s="7" t="inlineStr">
        <is>
          <t>High</t>
        </is>
      </c>
    </row>
    <row r="212">
      <c r="A212" s="6" t="inlineStr">
        <is>
          <t>Brandon Hogan</t>
        </is>
      </c>
      <c r="B212" s="7" t="n">
        <v>3</v>
      </c>
      <c r="C212" s="7" t="n">
        <v>1</v>
      </c>
      <c r="D212" s="7" t="n">
        <v>0.3333</v>
      </c>
      <c r="E212" s="7" t="n">
        <v>0.0615</v>
      </c>
      <c r="F212" s="7" t="inlineStr">
        <is>
          <t>Medium</t>
        </is>
      </c>
      <c r="G212" s="7" t="inlineStr">
        <is>
          <t>Low</t>
        </is>
      </c>
    </row>
    <row r="213">
      <c r="A213" s="6" t="inlineStr">
        <is>
          <t>Brian Miller</t>
        </is>
      </c>
      <c r="B213" s="7" t="n">
        <v>3</v>
      </c>
      <c r="C213" s="7" t="n">
        <v>1</v>
      </c>
      <c r="D213" s="7" t="n">
        <v>0.3333</v>
      </c>
      <c r="E213" s="7" t="n">
        <v>0.0615</v>
      </c>
      <c r="F213" s="7" t="inlineStr">
        <is>
          <t>Medium</t>
        </is>
      </c>
      <c r="G213" s="7" t="inlineStr">
        <is>
          <t>Low</t>
        </is>
      </c>
    </row>
    <row r="214">
      <c r="A214" s="6" t="inlineStr">
        <is>
          <t>Caden Tennison</t>
        </is>
      </c>
      <c r="B214" s="7" t="n">
        <v>3</v>
      </c>
      <c r="C214" s="7" t="n">
        <v>1</v>
      </c>
      <c r="D214" s="7" t="n">
        <v>0.3333</v>
      </c>
      <c r="E214" s="7" t="n">
        <v>0.0615</v>
      </c>
      <c r="F214" s="7" t="inlineStr">
        <is>
          <t>Medium</t>
        </is>
      </c>
      <c r="G214" s="7" t="inlineStr">
        <is>
          <t>Low</t>
        </is>
      </c>
    </row>
    <row r="215">
      <c r="A215" s="6" t="inlineStr">
        <is>
          <t>Chase Wanner</t>
        </is>
      </c>
      <c r="B215" s="7" t="n">
        <v>8</v>
      </c>
      <c r="C215" s="7" t="n">
        <v>2</v>
      </c>
      <c r="D215" s="7" t="n">
        <v>0.25</v>
      </c>
      <c r="E215" s="7" t="n">
        <v>0.07149999999999999</v>
      </c>
      <c r="F215" s="7" t="inlineStr">
        <is>
          <t>Medium</t>
        </is>
      </c>
      <c r="G215" s="7" t="inlineStr">
        <is>
          <t>Low</t>
        </is>
      </c>
    </row>
    <row r="216">
      <c r="A216" s="6" t="inlineStr">
        <is>
          <t>Dakotah Grett</t>
        </is>
      </c>
      <c r="B216" s="7" t="n">
        <v>12</v>
      </c>
      <c r="C216" s="7" t="n">
        <v>3</v>
      </c>
      <c r="D216" s="7" t="n">
        <v>0.25</v>
      </c>
      <c r="E216" s="7" t="n">
        <v>0.08890000000000001</v>
      </c>
      <c r="F216" s="7" t="inlineStr">
        <is>
          <t>Medium</t>
        </is>
      </c>
      <c r="G216" s="7" t="inlineStr">
        <is>
          <t>Low</t>
        </is>
      </c>
    </row>
    <row r="217">
      <c r="A217" s="6" t="inlineStr">
        <is>
          <t>Dan Smith</t>
        </is>
      </c>
      <c r="B217" s="7" t="n">
        <v>2</v>
      </c>
      <c r="C217" s="7" t="n">
        <v>1</v>
      </c>
      <c r="D217" s="7" t="n">
        <v>0.5</v>
      </c>
      <c r="E217" s="7" t="n">
        <v>0.0945</v>
      </c>
      <c r="F217" s="7" t="inlineStr">
        <is>
          <t>Medium</t>
        </is>
      </c>
      <c r="G217" s="7" t="inlineStr">
        <is>
          <t>Low</t>
        </is>
      </c>
    </row>
    <row r="218">
      <c r="A218" s="6" t="inlineStr">
        <is>
          <t>David Darling</t>
        </is>
      </c>
      <c r="B218" s="7" t="n">
        <v>2</v>
      </c>
      <c r="C218" s="7" t="n">
        <v>1</v>
      </c>
      <c r="D218" s="7" t="n">
        <v>0.5</v>
      </c>
      <c r="E218" s="7" t="n">
        <v>0.0945</v>
      </c>
      <c r="F218" s="7" t="inlineStr">
        <is>
          <t>Medium</t>
        </is>
      </c>
      <c r="G218" s="7" t="inlineStr">
        <is>
          <t>Low</t>
        </is>
      </c>
    </row>
    <row r="219">
      <c r="A219" s="6" t="inlineStr">
        <is>
          <t>David Maeda</t>
        </is>
      </c>
      <c r="B219" s="7" t="n">
        <v>3</v>
      </c>
      <c r="C219" s="7" t="n">
        <v>1</v>
      </c>
      <c r="D219" s="7" t="n">
        <v>0.3333</v>
      </c>
      <c r="E219" s="7" t="n">
        <v>0.0615</v>
      </c>
      <c r="F219" s="7" t="inlineStr">
        <is>
          <t>Medium</t>
        </is>
      </c>
      <c r="G219" s="7" t="inlineStr">
        <is>
          <t>Low</t>
        </is>
      </c>
    </row>
    <row r="220">
      <c r="A220" s="6" t="inlineStr">
        <is>
          <t>Dawn Petit</t>
        </is>
      </c>
      <c r="B220" s="7" t="n">
        <v>7</v>
      </c>
      <c r="C220" s="7" t="n">
        <v>2</v>
      </c>
      <c r="D220" s="7" t="n">
        <v>0.2857</v>
      </c>
      <c r="E220" s="7" t="n">
        <v>0.0822</v>
      </c>
      <c r="F220" s="7" t="inlineStr">
        <is>
          <t>Medium</t>
        </is>
      </c>
      <c r="G220" s="7" t="inlineStr">
        <is>
          <t>Low</t>
        </is>
      </c>
    </row>
    <row r="221">
      <c r="A221" s="6" t="inlineStr">
        <is>
          <t>Derris Butler</t>
        </is>
      </c>
      <c r="B221" s="7" t="n">
        <v>21</v>
      </c>
      <c r="C221" s="7" t="n">
        <v>4</v>
      </c>
      <c r="D221" s="7" t="n">
        <v>0.1905</v>
      </c>
      <c r="E221" s="7" t="n">
        <v>0.0767</v>
      </c>
      <c r="F221" s="7" t="inlineStr">
        <is>
          <t>Medium</t>
        </is>
      </c>
      <c r="G221" s="7" t="inlineStr">
        <is>
          <t>Low</t>
        </is>
      </c>
    </row>
    <row r="222">
      <c r="A222" s="6" t="inlineStr">
        <is>
          <t>Donald Rudie</t>
        </is>
      </c>
      <c r="B222" s="7" t="n">
        <v>21</v>
      </c>
      <c r="C222" s="7" t="n">
        <v>4</v>
      </c>
      <c r="D222" s="7" t="n">
        <v>0.1905</v>
      </c>
      <c r="E222" s="7" t="n">
        <v>0.0767</v>
      </c>
      <c r="F222" s="7" t="inlineStr">
        <is>
          <t>Medium</t>
        </is>
      </c>
      <c r="G222" s="7" t="inlineStr">
        <is>
          <t>Low</t>
        </is>
      </c>
    </row>
    <row r="223">
      <c r="A223" s="6" t="inlineStr">
        <is>
          <t>Evan Baughman</t>
        </is>
      </c>
      <c r="B223" s="7" t="n">
        <v>31</v>
      </c>
      <c r="C223" s="7" t="n">
        <v>7</v>
      </c>
      <c r="D223" s="7" t="n">
        <v>0.2258</v>
      </c>
      <c r="E223" s="7" t="n">
        <v>0.1139</v>
      </c>
      <c r="F223" s="7" t="inlineStr">
        <is>
          <t>Medium</t>
        </is>
      </c>
      <c r="G223" s="7" t="inlineStr">
        <is>
          <t>Low</t>
        </is>
      </c>
    </row>
    <row r="224">
      <c r="A224" s="6" t="inlineStr">
        <is>
          <t>Evan Langan</t>
        </is>
      </c>
      <c r="B224" s="7" t="n">
        <v>46</v>
      </c>
      <c r="C224" s="7" t="n">
        <v>9</v>
      </c>
      <c r="D224" s="7" t="n">
        <v>0.1957</v>
      </c>
      <c r="E224" s="7" t="n">
        <v>0.1065</v>
      </c>
      <c r="F224" s="7" t="inlineStr">
        <is>
          <t>Medium</t>
        </is>
      </c>
      <c r="G224" s="7" t="inlineStr">
        <is>
          <t>Low</t>
        </is>
      </c>
    </row>
    <row r="225">
      <c r="A225" s="6" t="inlineStr">
        <is>
          <t>Grant Goldsmith</t>
        </is>
      </c>
      <c r="B225" s="7" t="n">
        <v>2</v>
      </c>
      <c r="C225" s="7" t="n">
        <v>1</v>
      </c>
      <c r="D225" s="7" t="n">
        <v>0.5</v>
      </c>
      <c r="E225" s="7" t="n">
        <v>0.0945</v>
      </c>
      <c r="F225" s="7" t="inlineStr">
        <is>
          <t>Medium</t>
        </is>
      </c>
      <c r="G225" s="7" t="inlineStr">
        <is>
          <t>Low</t>
        </is>
      </c>
    </row>
    <row r="226">
      <c r="A226" s="6" t="inlineStr">
        <is>
          <t>Hugo Cimbalnik</t>
        </is>
      </c>
      <c r="B226" s="7" t="n">
        <v>9</v>
      </c>
      <c r="C226" s="7" t="n">
        <v>2</v>
      </c>
      <c r="D226" s="7" t="n">
        <v>0.2222</v>
      </c>
      <c r="E226" s="7" t="n">
        <v>0.06320000000000001</v>
      </c>
      <c r="F226" s="7" t="inlineStr">
        <is>
          <t>Medium</t>
        </is>
      </c>
      <c r="G226" s="7" t="inlineStr">
        <is>
          <t>High</t>
        </is>
      </c>
    </row>
    <row r="227">
      <c r="A227" s="6" t="inlineStr">
        <is>
          <t>Jake Lewis</t>
        </is>
      </c>
      <c r="B227" s="7" t="n">
        <v>4</v>
      </c>
      <c r="C227" s="7" t="n">
        <v>1</v>
      </c>
      <c r="D227" s="7" t="n">
        <v>0.25</v>
      </c>
      <c r="E227" s="7" t="n">
        <v>0.0456</v>
      </c>
      <c r="F227" s="7" t="inlineStr">
        <is>
          <t>Medium</t>
        </is>
      </c>
      <c r="G227" s="7" t="inlineStr">
        <is>
          <t>High</t>
        </is>
      </c>
    </row>
    <row r="228">
      <c r="A228" s="6" t="inlineStr">
        <is>
          <t>Jeanette James</t>
        </is>
      </c>
      <c r="B228" s="7" t="n">
        <v>77</v>
      </c>
      <c r="C228" s="7" t="n">
        <v>14</v>
      </c>
      <c r="D228" s="7" t="n">
        <v>0.1818</v>
      </c>
      <c r="E228" s="7" t="n">
        <v>0.1115</v>
      </c>
      <c r="F228" s="7" t="inlineStr">
        <is>
          <t>Medium</t>
        </is>
      </c>
      <c r="G228" s="7" t="inlineStr">
        <is>
          <t>Low</t>
        </is>
      </c>
    </row>
    <row r="229">
      <c r="A229" s="6" t="inlineStr">
        <is>
          <t>Jeff Johnson</t>
        </is>
      </c>
      <c r="B229" s="7" t="n">
        <v>3</v>
      </c>
      <c r="C229" s="7" t="n">
        <v>1</v>
      </c>
      <c r="D229" s="7" t="n">
        <v>0.3333</v>
      </c>
      <c r="E229" s="7" t="n">
        <v>0.0615</v>
      </c>
      <c r="F229" s="7" t="inlineStr">
        <is>
          <t>Medium</t>
        </is>
      </c>
      <c r="G229" s="7" t="inlineStr">
        <is>
          <t>Low</t>
        </is>
      </c>
    </row>
    <row r="230">
      <c r="A230" s="6" t="inlineStr">
        <is>
          <t>Jessy Otero</t>
        </is>
      </c>
      <c r="B230" s="7" t="n">
        <v>4</v>
      </c>
      <c r="C230" s="7" t="n">
        <v>1</v>
      </c>
      <c r="D230" s="7" t="n">
        <v>0.25</v>
      </c>
      <c r="E230" s="7" t="n">
        <v>0.0456</v>
      </c>
      <c r="F230" s="7" t="inlineStr">
        <is>
          <t>Medium</t>
        </is>
      </c>
      <c r="G230" s="7" t="inlineStr">
        <is>
          <t>Low</t>
        </is>
      </c>
    </row>
    <row r="231">
      <c r="A231" s="6" t="inlineStr">
        <is>
          <t>John Morcom</t>
        </is>
      </c>
      <c r="B231" s="7" t="n">
        <v>2</v>
      </c>
      <c r="C231" s="7" t="n">
        <v>1</v>
      </c>
      <c r="D231" s="7" t="n">
        <v>0.5</v>
      </c>
      <c r="E231" s="7" t="n">
        <v>0.0945</v>
      </c>
      <c r="F231" s="7" t="inlineStr">
        <is>
          <t>Medium</t>
        </is>
      </c>
      <c r="G231" s="7" t="inlineStr">
        <is>
          <t>Low</t>
        </is>
      </c>
    </row>
    <row r="232">
      <c r="A232" s="6" t="inlineStr">
        <is>
          <t>Joseph Waldo</t>
        </is>
      </c>
      <c r="B232" s="7" t="n">
        <v>2</v>
      </c>
      <c r="C232" s="7" t="n">
        <v>1</v>
      </c>
      <c r="D232" s="7" t="n">
        <v>0.5</v>
      </c>
      <c r="E232" s="7" t="n">
        <v>0.0945</v>
      </c>
      <c r="F232" s="7" t="inlineStr">
        <is>
          <t>Medium</t>
        </is>
      </c>
      <c r="G232" s="7" t="inlineStr">
        <is>
          <t>Low</t>
        </is>
      </c>
    </row>
    <row r="233">
      <c r="A233" s="6" t="inlineStr">
        <is>
          <t>Justin Peart</t>
        </is>
      </c>
      <c r="B233" s="7" t="n">
        <v>22</v>
      </c>
      <c r="C233" s="7" t="n">
        <v>5</v>
      </c>
      <c r="D233" s="7" t="n">
        <v>0.2273</v>
      </c>
      <c r="E233" s="7" t="n">
        <v>0.1012</v>
      </c>
      <c r="F233" s="7" t="inlineStr">
        <is>
          <t>Medium</t>
        </is>
      </c>
      <c r="G233" s="7" t="inlineStr">
        <is>
          <t>Low</t>
        </is>
      </c>
    </row>
    <row r="234">
      <c r="A234" s="6" t="inlineStr">
        <is>
          <t>Karel Stover</t>
        </is>
      </c>
      <c r="B234" s="7" t="n">
        <v>8</v>
      </c>
      <c r="C234" s="7" t="n">
        <v>2</v>
      </c>
      <c r="D234" s="7" t="n">
        <v>0.25</v>
      </c>
      <c r="E234" s="7" t="n">
        <v>0.07149999999999999</v>
      </c>
      <c r="F234" s="7" t="inlineStr">
        <is>
          <t>Medium</t>
        </is>
      </c>
      <c r="G234" s="7" t="inlineStr">
        <is>
          <t>Low</t>
        </is>
      </c>
    </row>
    <row r="235">
      <c r="A235" s="6" t="inlineStr">
        <is>
          <t>Keith Belcher</t>
        </is>
      </c>
      <c r="B235" s="7" t="n">
        <v>4</v>
      </c>
      <c r="C235" s="7" t="n">
        <v>1</v>
      </c>
      <c r="D235" s="7" t="n">
        <v>0.25</v>
      </c>
      <c r="E235" s="7" t="n">
        <v>0.0456</v>
      </c>
      <c r="F235" s="7" t="inlineStr">
        <is>
          <t>Medium</t>
        </is>
      </c>
      <c r="G235" s="7" t="inlineStr">
        <is>
          <t>Low</t>
        </is>
      </c>
    </row>
    <row r="236">
      <c r="A236" s="6" t="inlineStr">
        <is>
          <t>Kelsi Galya</t>
        </is>
      </c>
      <c r="B236" s="7" t="n">
        <v>2</v>
      </c>
      <c r="C236" s="7" t="n">
        <v>1</v>
      </c>
      <c r="D236" s="7" t="n">
        <v>0.5</v>
      </c>
      <c r="E236" s="7" t="n">
        <v>0.0945</v>
      </c>
      <c r="F236" s="7" t="inlineStr">
        <is>
          <t>Medium</t>
        </is>
      </c>
      <c r="G236" s="7" t="inlineStr">
        <is>
          <t>Low</t>
        </is>
      </c>
    </row>
    <row r="237">
      <c r="A237" s="6" t="inlineStr">
        <is>
          <t>Kevin Tapia</t>
        </is>
      </c>
      <c r="B237" s="7" t="n">
        <v>3</v>
      </c>
      <c r="C237" s="7" t="n">
        <v>1</v>
      </c>
      <c r="D237" s="7" t="n">
        <v>0.3333</v>
      </c>
      <c r="E237" s="7" t="n">
        <v>0.0615</v>
      </c>
      <c r="F237" s="7" t="inlineStr">
        <is>
          <t>Medium</t>
        </is>
      </c>
      <c r="G237" s="7" t="inlineStr">
        <is>
          <t>High</t>
        </is>
      </c>
    </row>
    <row r="238">
      <c r="A238" s="6" t="inlineStr">
        <is>
          <t>Lauren Cusick</t>
        </is>
      </c>
      <c r="B238" s="7" t="n">
        <v>4</v>
      </c>
      <c r="C238" s="7" t="n">
        <v>1</v>
      </c>
      <c r="D238" s="7" t="n">
        <v>0.25</v>
      </c>
      <c r="E238" s="7" t="n">
        <v>0.0456</v>
      </c>
      <c r="F238" s="7" t="inlineStr">
        <is>
          <t>Medium</t>
        </is>
      </c>
      <c r="G238" s="7" t="inlineStr">
        <is>
          <t>Low</t>
        </is>
      </c>
    </row>
    <row r="239">
      <c r="A239" s="6" t="inlineStr">
        <is>
          <t>Maquel Capers</t>
        </is>
      </c>
      <c r="B239" s="7" t="n">
        <v>9</v>
      </c>
      <c r="C239" s="7" t="n">
        <v>2</v>
      </c>
      <c r="D239" s="7" t="n">
        <v>0.2222</v>
      </c>
      <c r="E239" s="7" t="n">
        <v>0.06320000000000001</v>
      </c>
      <c r="F239" s="7" t="inlineStr">
        <is>
          <t>Medium</t>
        </is>
      </c>
      <c r="G239" s="7" t="inlineStr">
        <is>
          <t>Low</t>
        </is>
      </c>
    </row>
    <row r="240">
      <c r="A240" s="6" t="inlineStr">
        <is>
          <t>Maria Ramirez</t>
        </is>
      </c>
      <c r="B240" s="7" t="n">
        <v>11</v>
      </c>
      <c r="C240" s="7" t="n">
        <v>3</v>
      </c>
      <c r="D240" s="7" t="n">
        <v>0.2727</v>
      </c>
      <c r="E240" s="7" t="n">
        <v>0.0975</v>
      </c>
      <c r="F240" s="7" t="inlineStr">
        <is>
          <t>Medium</t>
        </is>
      </c>
      <c r="G240" s="7" t="inlineStr">
        <is>
          <t>Low</t>
        </is>
      </c>
    </row>
    <row r="241">
      <c r="A241" s="6" t="inlineStr">
        <is>
          <t>Marija Vidanovic</t>
        </is>
      </c>
      <c r="B241" s="7" t="n">
        <v>10</v>
      </c>
      <c r="C241" s="7" t="n">
        <v>2</v>
      </c>
      <c r="D241" s="7" t="n">
        <v>0.2</v>
      </c>
      <c r="E241" s="7" t="n">
        <v>0.0567</v>
      </c>
      <c r="F241" s="7" t="inlineStr">
        <is>
          <t>Medium</t>
        </is>
      </c>
      <c r="G241" s="7" t="inlineStr">
        <is>
          <t>Low</t>
        </is>
      </c>
    </row>
    <row r="242">
      <c r="A242" s="6" t="inlineStr">
        <is>
          <t>Mark Bolling</t>
        </is>
      </c>
      <c r="B242" s="7" t="n">
        <v>62</v>
      </c>
      <c r="C242" s="7" t="n">
        <v>12</v>
      </c>
      <c r="D242" s="7" t="n">
        <v>0.1935</v>
      </c>
      <c r="E242" s="7" t="n">
        <v>0.1143</v>
      </c>
      <c r="F242" s="7" t="inlineStr">
        <is>
          <t>Medium</t>
        </is>
      </c>
      <c r="G242" s="7" t="inlineStr">
        <is>
          <t>High</t>
        </is>
      </c>
    </row>
    <row r="243">
      <c r="A243" s="6" t="inlineStr">
        <is>
          <t>Michelle Owens</t>
        </is>
      </c>
      <c r="B243" s="7" t="n">
        <v>20</v>
      </c>
      <c r="C243" s="7" t="n">
        <v>5</v>
      </c>
      <c r="D243" s="7" t="n">
        <v>0.25</v>
      </c>
      <c r="E243" s="7" t="n">
        <v>0.1119</v>
      </c>
      <c r="F243" s="7" t="inlineStr">
        <is>
          <t>Medium</t>
        </is>
      </c>
      <c r="G243" s="7" t="inlineStr">
        <is>
          <t>Low</t>
        </is>
      </c>
    </row>
    <row r="244">
      <c r="A244" s="6" t="inlineStr">
        <is>
          <t>Nathan Langerman</t>
        </is>
      </c>
      <c r="B244" s="7" t="n">
        <v>2</v>
      </c>
      <c r="C244" s="7" t="n">
        <v>1</v>
      </c>
      <c r="D244" s="7" t="n">
        <v>0.5</v>
      </c>
      <c r="E244" s="7" t="n">
        <v>0.0945</v>
      </c>
      <c r="F244" s="7" t="inlineStr">
        <is>
          <t>Medium</t>
        </is>
      </c>
      <c r="G244" s="7" t="inlineStr">
        <is>
          <t>Low</t>
        </is>
      </c>
    </row>
    <row r="245">
      <c r="A245" s="6" t="inlineStr">
        <is>
          <t>Nicholas Morales</t>
        </is>
      </c>
      <c r="B245" s="7" t="n">
        <v>4</v>
      </c>
      <c r="C245" s="7" t="n">
        <v>1</v>
      </c>
      <c r="D245" s="7" t="n">
        <v>0.25</v>
      </c>
      <c r="E245" s="7" t="n">
        <v>0.0456</v>
      </c>
      <c r="F245" s="7" t="inlineStr">
        <is>
          <t>Medium</t>
        </is>
      </c>
      <c r="G245" s="7" t="inlineStr">
        <is>
          <t>Low</t>
        </is>
      </c>
    </row>
    <row r="246">
      <c r="A246" s="6" t="inlineStr">
        <is>
          <t>Pat  Pithan</t>
        </is>
      </c>
      <c r="B246" s="7" t="n">
        <v>30</v>
      </c>
      <c r="C246" s="7" t="n">
        <v>6</v>
      </c>
      <c r="D246" s="7" t="n">
        <v>0.2</v>
      </c>
      <c r="E246" s="7" t="n">
        <v>0.095</v>
      </c>
      <c r="F246" s="7" t="inlineStr">
        <is>
          <t>Medium</t>
        </is>
      </c>
      <c r="G246" s="7" t="inlineStr">
        <is>
          <t>High</t>
        </is>
      </c>
    </row>
    <row r="247">
      <c r="A247" s="6" t="inlineStr">
        <is>
          <t>Rachel VanOrman</t>
        </is>
      </c>
      <c r="B247" s="7" t="n">
        <v>33</v>
      </c>
      <c r="C247" s="7" t="n">
        <v>7</v>
      </c>
      <c r="D247" s="7" t="n">
        <v>0.2121</v>
      </c>
      <c r="E247" s="7" t="n">
        <v>0.1068</v>
      </c>
      <c r="F247" s="7" t="inlineStr">
        <is>
          <t>Medium</t>
        </is>
      </c>
      <c r="G247" s="7" t="inlineStr">
        <is>
          <t>Low</t>
        </is>
      </c>
    </row>
    <row r="248">
      <c r="A248" s="6" t="inlineStr">
        <is>
          <t>Randy Cole</t>
        </is>
      </c>
      <c r="B248" s="7" t="n">
        <v>41</v>
      </c>
      <c r="C248" s="7" t="n">
        <v>8</v>
      </c>
      <c r="D248" s="7" t="n">
        <v>0.1951</v>
      </c>
      <c r="E248" s="7" t="n">
        <v>0.1023</v>
      </c>
      <c r="F248" s="7" t="inlineStr">
        <is>
          <t>Medium</t>
        </is>
      </c>
      <c r="G248" s="7" t="inlineStr">
        <is>
          <t>Low</t>
        </is>
      </c>
    </row>
    <row r="249">
      <c r="A249" s="6" t="inlineStr">
        <is>
          <t>Robert Becker</t>
        </is>
      </c>
      <c r="B249" s="7" t="n">
        <v>4</v>
      </c>
      <c r="C249" s="7" t="n">
        <v>1</v>
      </c>
      <c r="D249" s="7" t="n">
        <v>0.25</v>
      </c>
      <c r="E249" s="7" t="n">
        <v>0.0456</v>
      </c>
      <c r="F249" s="7" t="inlineStr">
        <is>
          <t>Medium</t>
        </is>
      </c>
      <c r="G249" s="7" t="inlineStr">
        <is>
          <t>Low</t>
        </is>
      </c>
    </row>
    <row r="250">
      <c r="A250" s="6" t="inlineStr">
        <is>
          <t>Rocky Coffey</t>
        </is>
      </c>
      <c r="B250" s="7" t="n">
        <v>2</v>
      </c>
      <c r="C250" s="7" t="n">
        <v>1</v>
      </c>
      <c r="D250" s="7" t="n">
        <v>0.5</v>
      </c>
      <c r="E250" s="7" t="n">
        <v>0.0945</v>
      </c>
      <c r="F250" s="7" t="inlineStr">
        <is>
          <t>Medium</t>
        </is>
      </c>
      <c r="G250" s="7" t="inlineStr">
        <is>
          <t>Low</t>
        </is>
      </c>
    </row>
    <row r="251">
      <c r="A251" s="6" t="inlineStr">
        <is>
          <t>Ron Drag</t>
        </is>
      </c>
      <c r="B251" s="7" t="n">
        <v>2</v>
      </c>
      <c r="C251" s="7" t="n">
        <v>1</v>
      </c>
      <c r="D251" s="7" t="n">
        <v>0.5</v>
      </c>
      <c r="E251" s="7" t="n">
        <v>0.0945</v>
      </c>
      <c r="F251" s="7" t="inlineStr">
        <is>
          <t>Medium</t>
        </is>
      </c>
      <c r="G251" s="7" t="inlineStr">
        <is>
          <t>Low</t>
        </is>
      </c>
    </row>
    <row r="252">
      <c r="A252" s="6" t="inlineStr">
        <is>
          <t>Ryan Clark</t>
        </is>
      </c>
      <c r="B252" s="7" t="n">
        <v>6</v>
      </c>
      <c r="C252" s="7" t="n">
        <v>2</v>
      </c>
      <c r="D252" s="7" t="n">
        <v>0.3333</v>
      </c>
      <c r="E252" s="7" t="n">
        <v>0.0968</v>
      </c>
      <c r="F252" s="7" t="inlineStr">
        <is>
          <t>Medium</t>
        </is>
      </c>
      <c r="G252" s="7" t="inlineStr">
        <is>
          <t>Low</t>
        </is>
      </c>
    </row>
    <row r="253">
      <c r="A253" s="6" t="inlineStr">
        <is>
          <t>Ryan Evans</t>
        </is>
      </c>
      <c r="B253" s="7" t="n">
        <v>2</v>
      </c>
      <c r="C253" s="7" t="n">
        <v>1</v>
      </c>
      <c r="D253" s="7" t="n">
        <v>0.5</v>
      </c>
      <c r="E253" s="7" t="n">
        <v>0.0945</v>
      </c>
      <c r="F253" s="7" t="inlineStr">
        <is>
          <t>Medium</t>
        </is>
      </c>
      <c r="G253" s="7" t="inlineStr">
        <is>
          <t>Low</t>
        </is>
      </c>
    </row>
    <row r="254">
      <c r="A254" s="6" t="inlineStr">
        <is>
          <t>Ryan Grosso</t>
        </is>
      </c>
      <c r="B254" s="7" t="n">
        <v>10</v>
      </c>
      <c r="C254" s="7" t="n">
        <v>3</v>
      </c>
      <c r="D254" s="7" t="n">
        <v>0.3</v>
      </c>
      <c r="E254" s="7" t="n">
        <v>0.1078</v>
      </c>
      <c r="F254" s="7" t="inlineStr">
        <is>
          <t>Medium</t>
        </is>
      </c>
      <c r="G254" s="7" t="inlineStr">
        <is>
          <t>High</t>
        </is>
      </c>
    </row>
    <row r="255">
      <c r="A255" s="6" t="inlineStr">
        <is>
          <t>Sam Wilder</t>
        </is>
      </c>
      <c r="B255" s="7" t="n">
        <v>8</v>
      </c>
      <c r="C255" s="7" t="n">
        <v>2</v>
      </c>
      <c r="D255" s="7" t="n">
        <v>0.25</v>
      </c>
      <c r="E255" s="7" t="n">
        <v>0.07149999999999999</v>
      </c>
      <c r="F255" s="7" t="inlineStr">
        <is>
          <t>Medium</t>
        </is>
      </c>
      <c r="G255" s="7" t="inlineStr">
        <is>
          <t>Low</t>
        </is>
      </c>
    </row>
    <row r="256">
      <c r="A256" s="6" t="inlineStr">
        <is>
          <t>Sarah Martin</t>
        </is>
      </c>
      <c r="B256" s="7" t="n">
        <v>39</v>
      </c>
      <c r="C256" s="7" t="n">
        <v>8</v>
      </c>
      <c r="D256" s="7" t="n">
        <v>0.2051</v>
      </c>
      <c r="E256" s="7" t="n">
        <v>0.1078</v>
      </c>
      <c r="F256" s="7" t="inlineStr">
        <is>
          <t>Medium</t>
        </is>
      </c>
      <c r="G256" s="7" t="inlineStr">
        <is>
          <t>Low</t>
        </is>
      </c>
    </row>
    <row r="257">
      <c r="A257" s="6" t="inlineStr">
        <is>
          <t>Scott Hoeck</t>
        </is>
      </c>
      <c r="B257" s="7" t="n">
        <v>21</v>
      </c>
      <c r="C257" s="7" t="n">
        <v>4</v>
      </c>
      <c r="D257" s="7" t="n">
        <v>0.1905</v>
      </c>
      <c r="E257" s="7" t="n">
        <v>0.0767</v>
      </c>
      <c r="F257" s="7" t="inlineStr">
        <is>
          <t>Medium</t>
        </is>
      </c>
      <c r="G257" s="7" t="inlineStr">
        <is>
          <t>Low</t>
        </is>
      </c>
    </row>
    <row r="258">
      <c r="A258" s="6" t="inlineStr">
        <is>
          <t>Sheila Mundey</t>
        </is>
      </c>
      <c r="B258" s="7" t="n">
        <v>14</v>
      </c>
      <c r="C258" s="7" t="n">
        <v>3</v>
      </c>
      <c r="D258" s="7" t="n">
        <v>0.2143</v>
      </c>
      <c r="E258" s="7" t="n">
        <v>0.0757</v>
      </c>
      <c r="F258" s="7" t="inlineStr">
        <is>
          <t>Medium</t>
        </is>
      </c>
      <c r="G258" s="7" t="inlineStr">
        <is>
          <t>High</t>
        </is>
      </c>
    </row>
    <row r="259">
      <c r="A259" s="6" t="inlineStr">
        <is>
          <t>Tad Plantz</t>
        </is>
      </c>
      <c r="B259" s="7" t="n">
        <v>2</v>
      </c>
      <c r="C259" s="7" t="n">
        <v>1</v>
      </c>
      <c r="D259" s="7" t="n">
        <v>0.5</v>
      </c>
      <c r="E259" s="7" t="n">
        <v>0.0945</v>
      </c>
      <c r="F259" s="7" t="inlineStr">
        <is>
          <t>Medium</t>
        </is>
      </c>
      <c r="G259" s="7" t="inlineStr">
        <is>
          <t>High</t>
        </is>
      </c>
    </row>
    <row r="260">
      <c r="A260" s="6" t="inlineStr">
        <is>
          <t>Theo Meacham</t>
        </is>
      </c>
      <c r="B260" s="7" t="n">
        <v>2</v>
      </c>
      <c r="C260" s="7" t="n">
        <v>1</v>
      </c>
      <c r="D260" s="7" t="n">
        <v>0.5</v>
      </c>
      <c r="E260" s="7" t="n">
        <v>0.0945</v>
      </c>
      <c r="F260" s="7" t="inlineStr">
        <is>
          <t>Medium</t>
        </is>
      </c>
      <c r="G260" s="7" t="inlineStr">
        <is>
          <t>Low</t>
        </is>
      </c>
    </row>
    <row r="261">
      <c r="A261" s="6" t="inlineStr">
        <is>
          <t>Todd Erickson</t>
        </is>
      </c>
      <c r="B261" s="7" t="n">
        <v>37</v>
      </c>
      <c r="C261" s="7" t="n">
        <v>7</v>
      </c>
      <c r="D261" s="7" t="n">
        <v>0.1892</v>
      </c>
      <c r="E261" s="7" t="n">
        <v>0.0948</v>
      </c>
      <c r="F261" s="7" t="inlineStr">
        <is>
          <t>Medium</t>
        </is>
      </c>
      <c r="G261" s="7" t="inlineStr">
        <is>
          <t>Low</t>
        </is>
      </c>
    </row>
    <row r="262">
      <c r="A262" s="6" t="inlineStr">
        <is>
          <t>Tony Valdez</t>
        </is>
      </c>
      <c r="B262" s="7" t="n">
        <v>3</v>
      </c>
      <c r="C262" s="7" t="n">
        <v>1</v>
      </c>
      <c r="D262" s="7" t="n">
        <v>0.3333</v>
      </c>
      <c r="E262" s="7" t="n">
        <v>0.0615</v>
      </c>
      <c r="F262" s="7" t="inlineStr">
        <is>
          <t>Medium</t>
        </is>
      </c>
      <c r="G262" s="7" t="inlineStr">
        <is>
          <t>Low</t>
        </is>
      </c>
    </row>
    <row r="263">
      <c r="A263" s="6" t="inlineStr">
        <is>
          <t>Tony Zonca</t>
        </is>
      </c>
      <c r="B263" s="7" t="n">
        <v>3</v>
      </c>
      <c r="C263" s="7" t="n">
        <v>1</v>
      </c>
      <c r="D263" s="7" t="n">
        <v>0.3333</v>
      </c>
      <c r="E263" s="7" t="n">
        <v>0.0615</v>
      </c>
      <c r="F263" s="7" t="inlineStr">
        <is>
          <t>Medium</t>
        </is>
      </c>
      <c r="G263" s="7" t="inlineStr">
        <is>
          <t>Low</t>
        </is>
      </c>
    </row>
    <row r="264">
      <c r="A264" s="6" t="inlineStr">
        <is>
          <t>Trever Crumley</t>
        </is>
      </c>
      <c r="B264" s="7" t="n">
        <v>16</v>
      </c>
      <c r="C264" s="7" t="n">
        <v>4</v>
      </c>
      <c r="D264" s="7" t="n">
        <v>0.25</v>
      </c>
      <c r="E264" s="7" t="n">
        <v>0.1018</v>
      </c>
      <c r="F264" s="7" t="inlineStr">
        <is>
          <t>Medium</t>
        </is>
      </c>
      <c r="G264" s="7" t="inlineStr">
        <is>
          <t>Low</t>
        </is>
      </c>
    </row>
    <row r="265">
      <c r="A265" s="6" t="inlineStr">
        <is>
          <t>Tyler McMillan</t>
        </is>
      </c>
      <c r="B265" s="7" t="n">
        <v>22</v>
      </c>
      <c r="C265" s="7" t="n">
        <v>5</v>
      </c>
      <c r="D265" s="7" t="n">
        <v>0.2273</v>
      </c>
      <c r="E265" s="7" t="n">
        <v>0.1012</v>
      </c>
      <c r="F265" s="7" t="inlineStr">
        <is>
          <t>Medium</t>
        </is>
      </c>
      <c r="G265" s="7" t="inlineStr">
        <is>
          <t>High</t>
        </is>
      </c>
    </row>
    <row r="266">
      <c r="A266" s="6" t="inlineStr">
        <is>
          <t>Walker Marlowe</t>
        </is>
      </c>
      <c r="B266" s="7" t="n">
        <v>4</v>
      </c>
      <c r="C266" s="7" t="n">
        <v>1</v>
      </c>
      <c r="D266" s="7" t="n">
        <v>0.25</v>
      </c>
      <c r="E266" s="7" t="n">
        <v>0.0456</v>
      </c>
      <c r="F266" s="7" t="inlineStr">
        <is>
          <t>Medium</t>
        </is>
      </c>
      <c r="G266" s="7" t="inlineStr">
        <is>
          <t>High</t>
        </is>
      </c>
    </row>
  </sheetData>
  <autoFilter ref="A3:G2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9"/>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9" customWidth="1" min="8" max="8"/>
  </cols>
  <sheetData>
    <row r="1">
      <c r="A1" s="3" t="inlineStr">
        <is>
          <t>Dealers - Step 4 vs Step 5 (editable)</t>
        </is>
      </c>
    </row>
    <row r="2">
      <c r="A2" s="4" t="inlineStr">
        <is>
          <t>Change the Step 4 / Step 5 columns; the Summary sheet updates live.</t>
        </is>
      </c>
    </row>
    <row r="4">
      <c r="A4" s="5" t="inlineStr">
        <is>
          <t>DealerName</t>
        </is>
      </c>
      <c r="B4" s="5" t="inlineStr">
        <is>
          <t>claim_count</t>
        </is>
      </c>
      <c r="C4" s="5" t="inlineStr">
        <is>
          <t>high_count</t>
        </is>
      </c>
      <c r="D4" s="5" t="inlineStr">
        <is>
          <t>raw_high_rate</t>
        </is>
      </c>
      <c r="E4" s="5" t="inlineStr">
        <is>
          <t>wilson_lower</t>
        </is>
      </c>
      <c r="F4" s="5" t="inlineStr">
        <is>
          <t>step4_level</t>
        </is>
      </c>
      <c r="G4" s="5" t="inlineStr">
        <is>
          <t>step5_level</t>
        </is>
      </c>
      <c r="H4" s="5" t="inlineStr">
        <is>
          <t>agree?</t>
        </is>
      </c>
    </row>
    <row r="5">
      <c r="A5" s="6" t="inlineStr">
        <is>
          <t>ATHENS DIGITAL SYSTEMS, INC.</t>
        </is>
      </c>
      <c r="B5" s="7" t="n">
        <v>18</v>
      </c>
      <c r="C5" s="7" t="n">
        <v>7</v>
      </c>
      <c r="D5" s="7" t="n">
        <v>0.3889</v>
      </c>
      <c r="E5" s="7" t="n">
        <v>0.203</v>
      </c>
      <c r="F5" s="8" t="inlineStr">
        <is>
          <t>High</t>
        </is>
      </c>
      <c r="G5" s="8" t="inlineStr">
        <is>
          <t>High</t>
        </is>
      </c>
      <c r="H5">
        <f>IF(F5=G5,"YES","NO")</f>
        <v/>
      </c>
    </row>
    <row r="6">
      <c r="A6" s="6" t="inlineStr">
        <is>
          <t>BORING BUSINESS SYSTEMS, INC.</t>
        </is>
      </c>
      <c r="B6" s="7" t="n">
        <v>493</v>
      </c>
      <c r="C6" s="7" t="n">
        <v>112</v>
      </c>
      <c r="D6" s="7" t="n">
        <v>0.2272</v>
      </c>
      <c r="E6" s="7" t="n">
        <v>0.1924</v>
      </c>
      <c r="F6" s="8" t="inlineStr">
        <is>
          <t>High</t>
        </is>
      </c>
      <c r="G6" s="8" t="inlineStr">
        <is>
          <t>High</t>
        </is>
      </c>
      <c r="H6">
        <f>IF(F6=G6,"YES","NO")</f>
        <v/>
      </c>
    </row>
    <row r="7">
      <c r="A7" s="6" t="inlineStr">
        <is>
          <t>COPITEX BUSINESS MACHINES</t>
        </is>
      </c>
      <c r="B7" s="7" t="n">
        <v>1</v>
      </c>
      <c r="C7" s="7" t="n">
        <v>1</v>
      </c>
      <c r="D7" s="7" t="n">
        <v>1</v>
      </c>
      <c r="E7" s="7" t="n">
        <v>0.2065</v>
      </c>
      <c r="F7" s="8" t="inlineStr">
        <is>
          <t>High</t>
        </is>
      </c>
      <c r="G7" s="8" t="inlineStr">
        <is>
          <t>High</t>
        </is>
      </c>
      <c r="H7">
        <f>IF(F7=G7,"YES","NO")</f>
        <v/>
      </c>
    </row>
    <row r="8">
      <c r="A8" s="6" t="inlineStr">
        <is>
          <t>Commercial Print</t>
        </is>
      </c>
      <c r="B8" s="7" t="n">
        <v>2</v>
      </c>
      <c r="C8" s="7" t="n">
        <v>2</v>
      </c>
      <c r="D8" s="7" t="n">
        <v>1</v>
      </c>
      <c r="E8" s="7" t="n">
        <v>0.3424</v>
      </c>
      <c r="F8" s="8" t="inlineStr">
        <is>
          <t>High</t>
        </is>
      </c>
      <c r="G8" s="8" t="inlineStr">
        <is>
          <t>Medium</t>
        </is>
      </c>
      <c r="H8">
        <f>IF(F8=G8,"YES","NO")</f>
        <v/>
      </c>
    </row>
    <row r="9">
      <c r="A9" s="6" t="inlineStr">
        <is>
          <t>DBA DIGITAL SERVICE &amp; SALES</t>
        </is>
      </c>
      <c r="B9" s="7" t="n">
        <v>421</v>
      </c>
      <c r="C9" s="7" t="n">
        <v>276</v>
      </c>
      <c r="D9" s="7" t="n">
        <v>0.6556</v>
      </c>
      <c r="E9" s="7" t="n">
        <v>0.609</v>
      </c>
      <c r="F9" s="8" t="inlineStr">
        <is>
          <t>High</t>
        </is>
      </c>
      <c r="G9" s="8" t="inlineStr">
        <is>
          <t>High</t>
        </is>
      </c>
      <c r="H9">
        <f>IF(F9=G9,"YES","NO")</f>
        <v/>
      </c>
    </row>
    <row r="10">
      <c r="A10" s="6" t="inlineStr">
        <is>
          <t>DBA FLEXTG - HQ</t>
        </is>
      </c>
      <c r="B10" s="7" t="n">
        <v>3644</v>
      </c>
      <c r="C10" s="7" t="n">
        <v>634</v>
      </c>
      <c r="D10" s="7" t="n">
        <v>0.174</v>
      </c>
      <c r="E10" s="7" t="n">
        <v>0.162</v>
      </c>
      <c r="F10" s="8" t="inlineStr">
        <is>
          <t>High</t>
        </is>
      </c>
      <c r="G10" s="8" t="inlineStr">
        <is>
          <t>High</t>
        </is>
      </c>
      <c r="H10">
        <f>IF(F10=G10,"YES","NO")</f>
        <v/>
      </c>
    </row>
    <row r="11">
      <c r="A11" s="6" t="inlineStr">
        <is>
          <t>DBA MERIDIAN IMAGING SOLUTIONS</t>
        </is>
      </c>
      <c r="B11" s="7" t="n">
        <v>10</v>
      </c>
      <c r="C11" s="7" t="n">
        <v>10</v>
      </c>
      <c r="D11" s="7" t="n">
        <v>1</v>
      </c>
      <c r="E11" s="7" t="n">
        <v>0.7225</v>
      </c>
      <c r="F11" s="8" t="inlineStr">
        <is>
          <t>High</t>
        </is>
      </c>
      <c r="G11" s="8" t="inlineStr">
        <is>
          <t>High</t>
        </is>
      </c>
      <c r="H11">
        <f>IF(F11=G11,"YES","NO")</f>
        <v/>
      </c>
    </row>
    <row r="12">
      <c r="A12" s="6" t="inlineStr">
        <is>
          <t>DBA NEW YORK BUSINESS SYSTEMS</t>
        </is>
      </c>
      <c r="B12" s="7" t="n">
        <v>394</v>
      </c>
      <c r="C12" s="7" t="n">
        <v>125</v>
      </c>
      <c r="D12" s="7" t="n">
        <v>0.3173</v>
      </c>
      <c r="E12" s="7" t="n">
        <v>0.2733</v>
      </c>
      <c r="F12" s="8" t="inlineStr">
        <is>
          <t>High</t>
        </is>
      </c>
      <c r="G12" s="8" t="inlineStr">
        <is>
          <t>High</t>
        </is>
      </c>
      <c r="H12">
        <f>IF(F12=G12,"YES","NO")</f>
        <v/>
      </c>
    </row>
    <row r="13">
      <c r="A13" s="6" t="inlineStr">
        <is>
          <t>DBA NOVATECH- DALLAS</t>
        </is>
      </c>
      <c r="B13" s="7" t="n">
        <v>991</v>
      </c>
      <c r="C13" s="7" t="n">
        <v>400</v>
      </c>
      <c r="D13" s="7" t="n">
        <v>0.4036</v>
      </c>
      <c r="E13" s="7" t="n">
        <v>0.3735</v>
      </c>
      <c r="F13" s="8" t="inlineStr">
        <is>
          <t>High</t>
        </is>
      </c>
      <c r="G13" s="8" t="inlineStr">
        <is>
          <t>High</t>
        </is>
      </c>
      <c r="H13">
        <f>IF(F13=G13,"YES","NO")</f>
        <v/>
      </c>
    </row>
    <row r="14">
      <c r="A14" s="6" t="inlineStr">
        <is>
          <t>DBA NOVATECH-MEMPHIS</t>
        </is>
      </c>
      <c r="B14" s="7" t="n">
        <v>6235</v>
      </c>
      <c r="C14" s="7" t="n">
        <v>848</v>
      </c>
      <c r="D14" s="7" t="n">
        <v>0.136</v>
      </c>
      <c r="E14" s="7" t="n">
        <v>0.1277</v>
      </c>
      <c r="F14" s="8" t="inlineStr">
        <is>
          <t>High</t>
        </is>
      </c>
      <c r="G14" s="8" t="inlineStr">
        <is>
          <t>High</t>
        </is>
      </c>
      <c r="H14">
        <f>IF(F14=G14,"YES","NO")</f>
        <v/>
      </c>
    </row>
    <row r="15">
      <c r="A15" s="6" t="inlineStr">
        <is>
          <t>DBA PROSOURCE</t>
        </is>
      </c>
      <c r="B15" s="7" t="n">
        <v>4039</v>
      </c>
      <c r="C15" s="7" t="n">
        <v>535</v>
      </c>
      <c r="D15" s="7" t="n">
        <v>0.1325</v>
      </c>
      <c r="E15" s="7" t="n">
        <v>0.1224</v>
      </c>
      <c r="F15" s="8" t="inlineStr">
        <is>
          <t>High</t>
        </is>
      </c>
      <c r="G15" s="8" t="inlineStr">
        <is>
          <t>Low</t>
        </is>
      </c>
      <c r="H15">
        <f>IF(F15=G15,"YES","NO")</f>
        <v/>
      </c>
    </row>
    <row r="16">
      <c r="A16" s="6" t="inlineStr">
        <is>
          <t>DBA REGAL BUSINESS MACHINE COMPANY</t>
        </is>
      </c>
      <c r="B16" s="7" t="n">
        <v>1151</v>
      </c>
      <c r="C16" s="7" t="n">
        <v>285</v>
      </c>
      <c r="D16" s="7" t="n">
        <v>0.2476</v>
      </c>
      <c r="E16" s="7" t="n">
        <v>0.2235</v>
      </c>
      <c r="F16" s="8" t="inlineStr">
        <is>
          <t>High</t>
        </is>
      </c>
      <c r="G16" s="8" t="inlineStr">
        <is>
          <t>High</t>
        </is>
      </c>
      <c r="H16">
        <f>IF(F16=G16,"YES","NO")</f>
        <v/>
      </c>
    </row>
    <row r="17">
      <c r="A17" s="6" t="inlineStr">
        <is>
          <t>DBA WILSON OFFICE SOLUTIONS</t>
        </is>
      </c>
      <c r="B17" s="7" t="n">
        <v>5</v>
      </c>
      <c r="C17" s="7" t="n">
        <v>2</v>
      </c>
      <c r="D17" s="7" t="n">
        <v>0.4</v>
      </c>
      <c r="E17" s="7" t="n">
        <v>0.1176</v>
      </c>
      <c r="F17" s="8" t="inlineStr">
        <is>
          <t>High</t>
        </is>
      </c>
      <c r="G17" s="8" t="inlineStr">
        <is>
          <t>Low</t>
        </is>
      </c>
      <c r="H17">
        <f>IF(F17=G17,"YES","NO")</f>
        <v/>
      </c>
    </row>
    <row r="18">
      <c r="A18" s="6" t="inlineStr">
        <is>
          <t>DERENZY BUSINESS TECHNOLOGIES, INC.</t>
        </is>
      </c>
      <c r="B18" s="7" t="n">
        <v>444</v>
      </c>
      <c r="C18" s="7" t="n">
        <v>72</v>
      </c>
      <c r="D18" s="7" t="n">
        <v>0.1622</v>
      </c>
      <c r="E18" s="7" t="n">
        <v>0.1308</v>
      </c>
      <c r="F18" s="8" t="inlineStr">
        <is>
          <t>High</t>
        </is>
      </c>
      <c r="G18" s="8" t="inlineStr">
        <is>
          <t>High</t>
        </is>
      </c>
      <c r="H18">
        <f>IF(F18=G18,"YES","NO")</f>
        <v/>
      </c>
    </row>
    <row r="19">
      <c r="A19" s="6" t="inlineStr">
        <is>
          <t>DOCUMATION, INC.</t>
        </is>
      </c>
      <c r="B19" s="7" t="n">
        <v>4</v>
      </c>
      <c r="C19" s="7" t="n">
        <v>4</v>
      </c>
      <c r="D19" s="7" t="n">
        <v>1</v>
      </c>
      <c r="E19" s="7" t="n">
        <v>0.5101</v>
      </c>
      <c r="F19" s="8" t="inlineStr">
        <is>
          <t>High</t>
        </is>
      </c>
      <c r="G19" s="8" t="inlineStr">
        <is>
          <t>High</t>
        </is>
      </c>
      <c r="H19">
        <f>IF(F19=G19,"YES","NO")</f>
        <v/>
      </c>
    </row>
    <row r="20">
      <c r="A20" s="6" t="inlineStr">
        <is>
          <t>EDWARDS BUSINESS MACHINES, INC.</t>
        </is>
      </c>
      <c r="B20" s="7" t="n">
        <v>4618</v>
      </c>
      <c r="C20" s="7" t="n">
        <v>598</v>
      </c>
      <c r="D20" s="7" t="n">
        <v>0.1295</v>
      </c>
      <c r="E20" s="7" t="n">
        <v>0.1201</v>
      </c>
      <c r="F20" s="8" t="inlineStr">
        <is>
          <t>High</t>
        </is>
      </c>
      <c r="G20" s="8" t="inlineStr">
        <is>
          <t>High</t>
        </is>
      </c>
      <c r="H20">
        <f>IF(F20=G20,"YES","NO")</f>
        <v/>
      </c>
    </row>
    <row r="21">
      <c r="A21" s="6" t="inlineStr">
        <is>
          <t>EXECUTIVE COLOR SYSTEMS, INC.</t>
        </is>
      </c>
      <c r="B21" s="7" t="n">
        <v>845</v>
      </c>
      <c r="C21" s="7" t="n">
        <v>148</v>
      </c>
      <c r="D21" s="7" t="n">
        <v>0.1751</v>
      </c>
      <c r="E21" s="7" t="n">
        <v>0.151</v>
      </c>
      <c r="F21" s="8" t="inlineStr">
        <is>
          <t>High</t>
        </is>
      </c>
      <c r="G21" s="8" t="inlineStr">
        <is>
          <t>Low</t>
        </is>
      </c>
      <c r="H21">
        <f>IF(F21=G21,"YES","NO")</f>
        <v/>
      </c>
    </row>
    <row r="22">
      <c r="A22" s="6" t="inlineStr">
        <is>
          <t>FORD BUSINESS MACHINES, INC.</t>
        </is>
      </c>
      <c r="B22" s="7" t="n">
        <v>1128</v>
      </c>
      <c r="C22" s="7" t="n">
        <v>469</v>
      </c>
      <c r="D22" s="7" t="n">
        <v>0.4158</v>
      </c>
      <c r="E22" s="7" t="n">
        <v>0.3874</v>
      </c>
      <c r="F22" s="8" t="inlineStr">
        <is>
          <t>High</t>
        </is>
      </c>
      <c r="G22" s="8" t="inlineStr">
        <is>
          <t>High</t>
        </is>
      </c>
      <c r="H22">
        <f>IF(F22=G22,"YES","NO")</f>
        <v/>
      </c>
    </row>
    <row r="23">
      <c r="A23" s="6" t="inlineStr">
        <is>
          <t>Great Lakes</t>
        </is>
      </c>
      <c r="B23" s="7" t="n">
        <v>18</v>
      </c>
      <c r="C23" s="7" t="n">
        <v>11</v>
      </c>
      <c r="D23" s="7" t="n">
        <v>0.6111</v>
      </c>
      <c r="E23" s="7" t="n">
        <v>0.3862</v>
      </c>
      <c r="F23" s="8" t="inlineStr">
        <is>
          <t>High</t>
        </is>
      </c>
      <c r="G23" s="8" t="inlineStr">
        <is>
          <t>High</t>
        </is>
      </c>
      <c r="H23">
        <f>IF(F23=G23,"YES","NO")</f>
        <v/>
      </c>
    </row>
    <row r="24">
      <c r="A24" s="6" t="inlineStr">
        <is>
          <t>HIGH TECH OFFICE SYSTEMS</t>
        </is>
      </c>
      <c r="B24" s="7" t="n">
        <v>672</v>
      </c>
      <c r="C24" s="7" t="n">
        <v>226</v>
      </c>
      <c r="D24" s="7" t="n">
        <v>0.3363</v>
      </c>
      <c r="E24" s="7" t="n">
        <v>0.3016</v>
      </c>
      <c r="F24" s="8" t="inlineStr">
        <is>
          <t>High</t>
        </is>
      </c>
      <c r="G24" s="8" t="inlineStr">
        <is>
          <t>High</t>
        </is>
      </c>
      <c r="H24">
        <f>IF(F24=G24,"YES","NO")</f>
        <v/>
      </c>
    </row>
    <row r="25">
      <c r="A25" s="6" t="inlineStr">
        <is>
          <t>HILLIARD OFFICE SOLUTIONS, LTD.</t>
        </is>
      </c>
      <c r="B25" s="7" t="n">
        <v>1011</v>
      </c>
      <c r="C25" s="7" t="n">
        <v>173</v>
      </c>
      <c r="D25" s="7" t="n">
        <v>0.1711</v>
      </c>
      <c r="E25" s="7" t="n">
        <v>0.1492</v>
      </c>
      <c r="F25" s="8" t="inlineStr">
        <is>
          <t>High</t>
        </is>
      </c>
      <c r="G25" s="8" t="inlineStr">
        <is>
          <t>High</t>
        </is>
      </c>
      <c r="H25">
        <f>IF(F25=G25,"YES","NO")</f>
        <v/>
      </c>
    </row>
    <row r="26">
      <c r="A26" s="6" t="inlineStr">
        <is>
          <t>IMAGENET CONSULTING, LLC</t>
        </is>
      </c>
      <c r="B26" s="7" t="n">
        <v>861</v>
      </c>
      <c r="C26" s="7" t="n">
        <v>141</v>
      </c>
      <c r="D26" s="7" t="n">
        <v>0.1638</v>
      </c>
      <c r="E26" s="7" t="n">
        <v>0.1405</v>
      </c>
      <c r="F26" s="8" t="inlineStr">
        <is>
          <t>High</t>
        </is>
      </c>
      <c r="G26" s="8" t="inlineStr">
        <is>
          <t>High</t>
        </is>
      </c>
      <c r="H26">
        <f>IF(F26=G26,"YES","NO")</f>
        <v/>
      </c>
    </row>
    <row r="27">
      <c r="A27" s="6" t="inlineStr">
        <is>
          <t>IMPACT NETWORKING, LLC</t>
        </is>
      </c>
      <c r="B27" s="7" t="n">
        <v>1967</v>
      </c>
      <c r="C27" s="7" t="n">
        <v>402</v>
      </c>
      <c r="D27" s="7" t="n">
        <v>0.2044</v>
      </c>
      <c r="E27" s="7" t="n">
        <v>0.1871</v>
      </c>
      <c r="F27" s="8" t="inlineStr">
        <is>
          <t>High</t>
        </is>
      </c>
      <c r="G27" s="8" t="inlineStr">
        <is>
          <t>High</t>
        </is>
      </c>
      <c r="H27">
        <f>IF(F27=G27,"YES","NO")</f>
        <v/>
      </c>
    </row>
    <row r="28">
      <c r="A28" s="6" t="inlineStr">
        <is>
          <t>INTEGRATED DIGITAL SOLUTIONS, INC.</t>
        </is>
      </c>
      <c r="B28" s="7" t="n">
        <v>8</v>
      </c>
      <c r="C28" s="7" t="n">
        <v>3</v>
      </c>
      <c r="D28" s="7" t="n">
        <v>0.375</v>
      </c>
      <c r="E28" s="7" t="n">
        <v>0.1368</v>
      </c>
      <c r="F28" s="8" t="inlineStr">
        <is>
          <t>High</t>
        </is>
      </c>
      <c r="G28" s="8" t="inlineStr">
        <is>
          <t>Low</t>
        </is>
      </c>
      <c r="H28">
        <f>IF(F28=G28,"YES","NO")</f>
        <v/>
      </c>
    </row>
    <row r="29">
      <c r="A29" s="6" t="inlineStr">
        <is>
          <t>JAMES IMAGING SYSTEMS, INC.</t>
        </is>
      </c>
      <c r="B29" s="7" t="n">
        <v>1198</v>
      </c>
      <c r="C29" s="7" t="n">
        <v>210</v>
      </c>
      <c r="D29" s="7" t="n">
        <v>0.1753</v>
      </c>
      <c r="E29" s="7" t="n">
        <v>0.1548</v>
      </c>
      <c r="F29" s="8" t="inlineStr">
        <is>
          <t>High</t>
        </is>
      </c>
      <c r="G29" s="8" t="inlineStr">
        <is>
          <t>High</t>
        </is>
      </c>
      <c r="H29">
        <f>IF(F29=G29,"YES","NO")</f>
        <v/>
      </c>
    </row>
    <row r="30">
      <c r="A30" s="6" t="inlineStr">
        <is>
          <t>JOHNCO BUSINESS EQUIPMENT</t>
        </is>
      </c>
      <c r="B30" s="7" t="n">
        <v>1</v>
      </c>
      <c r="C30" s="7" t="n">
        <v>1</v>
      </c>
      <c r="D30" s="7" t="n">
        <v>1</v>
      </c>
      <c r="E30" s="7" t="n">
        <v>0.2065</v>
      </c>
      <c r="F30" s="8" t="inlineStr">
        <is>
          <t>High</t>
        </is>
      </c>
      <c r="G30" s="8" t="inlineStr">
        <is>
          <t>High</t>
        </is>
      </c>
      <c r="H30">
        <f>IF(F30=G30,"YES","NO")</f>
        <v/>
      </c>
    </row>
    <row r="31">
      <c r="A31" s="6" t="inlineStr">
        <is>
          <t>KELLY OFFICE MACHINES, INC.</t>
        </is>
      </c>
      <c r="B31" s="7" t="n">
        <v>358</v>
      </c>
      <c r="C31" s="7" t="n">
        <v>136</v>
      </c>
      <c r="D31" s="7" t="n">
        <v>0.3799</v>
      </c>
      <c r="E31" s="7" t="n">
        <v>0.3311</v>
      </c>
      <c r="F31" s="8" t="inlineStr">
        <is>
          <t>High</t>
        </is>
      </c>
      <c r="G31" s="8" t="inlineStr">
        <is>
          <t>High</t>
        </is>
      </c>
      <c r="H31">
        <f>IF(F31=G31,"YES","NO")</f>
        <v/>
      </c>
    </row>
    <row r="32">
      <c r="A32" s="6" t="inlineStr">
        <is>
          <t>KRAFT BUSINESS SYSTEMS, INC.</t>
        </is>
      </c>
      <c r="B32" s="7" t="n">
        <v>20</v>
      </c>
      <c r="C32" s="7" t="n">
        <v>6</v>
      </c>
      <c r="D32" s="7" t="n">
        <v>0.3</v>
      </c>
      <c r="E32" s="7" t="n">
        <v>0.1455</v>
      </c>
      <c r="F32" s="8" t="inlineStr">
        <is>
          <t>High</t>
        </is>
      </c>
      <c r="G32" s="8" t="inlineStr">
        <is>
          <t>High</t>
        </is>
      </c>
      <c r="H32">
        <f>IF(F32=G32,"YES","NO")</f>
        <v/>
      </c>
    </row>
    <row r="33">
      <c r="A33" s="6" t="inlineStr">
        <is>
          <t>LAFAYETTE BUSINESS MACHINES, INC.</t>
        </is>
      </c>
      <c r="B33" s="7" t="n">
        <v>7</v>
      </c>
      <c r="C33" s="7" t="n">
        <v>4</v>
      </c>
      <c r="D33" s="7" t="n">
        <v>0.5714</v>
      </c>
      <c r="E33" s="7" t="n">
        <v>0.2505</v>
      </c>
      <c r="F33" s="8" t="inlineStr">
        <is>
          <t>High</t>
        </is>
      </c>
      <c r="G33" s="8" t="inlineStr">
        <is>
          <t>High</t>
        </is>
      </c>
      <c r="H33">
        <f>IF(F33=G33,"YES","NO")</f>
        <v/>
      </c>
    </row>
    <row r="34">
      <c r="A34" s="6" t="inlineStr">
        <is>
          <t>MACFARLANE OFFICE PRODUCTS, INC.</t>
        </is>
      </c>
      <c r="B34" s="7" t="n">
        <v>210</v>
      </c>
      <c r="C34" s="7" t="n">
        <v>77</v>
      </c>
      <c r="D34" s="7" t="n">
        <v>0.3667</v>
      </c>
      <c r="E34" s="7" t="n">
        <v>0.3044</v>
      </c>
      <c r="F34" s="8" t="inlineStr">
        <is>
          <t>High</t>
        </is>
      </c>
      <c r="G34" s="8" t="inlineStr">
        <is>
          <t>High</t>
        </is>
      </c>
      <c r="H34">
        <f>IF(F34=G34,"YES","NO")</f>
        <v/>
      </c>
    </row>
    <row r="35">
      <c r="A35" s="6" t="inlineStr">
        <is>
          <t>Mid-Atlantic</t>
        </is>
      </c>
      <c r="B35" s="7" t="n">
        <v>37</v>
      </c>
      <c r="C35" s="7" t="n">
        <v>10</v>
      </c>
      <c r="D35" s="7" t="n">
        <v>0.2703</v>
      </c>
      <c r="E35" s="7" t="n">
        <v>0.154</v>
      </c>
      <c r="F35" s="8" t="inlineStr">
        <is>
          <t>High</t>
        </is>
      </c>
      <c r="G35" s="8" t="inlineStr">
        <is>
          <t>Low</t>
        </is>
      </c>
      <c r="H35">
        <f>IF(F35=G35,"YES","NO")</f>
        <v/>
      </c>
    </row>
    <row r="36">
      <c r="A36" s="6" t="inlineStr">
        <is>
          <t>Mid-South</t>
        </is>
      </c>
      <c r="B36" s="7" t="n">
        <v>9</v>
      </c>
      <c r="C36" s="7" t="n">
        <v>3</v>
      </c>
      <c r="D36" s="7" t="n">
        <v>0.3333</v>
      </c>
      <c r="E36" s="7" t="n">
        <v>0.1206</v>
      </c>
      <c r="F36" s="8" t="inlineStr">
        <is>
          <t>High</t>
        </is>
      </c>
      <c r="G36" s="8" t="inlineStr">
        <is>
          <t>Medium</t>
        </is>
      </c>
      <c r="H36">
        <f>IF(F36=G36,"YES","NO")</f>
        <v/>
      </c>
    </row>
    <row r="37">
      <c r="A37" s="6" t="inlineStr">
        <is>
          <t>NATIONAL BUSINESS EQUIPMENT, LLC</t>
        </is>
      </c>
      <c r="B37" s="7" t="n">
        <v>27</v>
      </c>
      <c r="C37" s="7" t="n">
        <v>13</v>
      </c>
      <c r="D37" s="7" t="n">
        <v>0.4815</v>
      </c>
      <c r="E37" s="7" t="n">
        <v>0.3074</v>
      </c>
      <c r="F37" s="8" t="inlineStr">
        <is>
          <t>High</t>
        </is>
      </c>
      <c r="G37" s="8" t="inlineStr">
        <is>
          <t>High</t>
        </is>
      </c>
      <c r="H37">
        <f>IF(F37=G37,"YES","NO")</f>
        <v/>
      </c>
    </row>
    <row r="38">
      <c r="A38" s="6" t="inlineStr">
        <is>
          <t>NATIONAL OFFICE PRODUCTS &amp; PRINTING, INC.</t>
        </is>
      </c>
      <c r="B38" s="7" t="n">
        <v>132</v>
      </c>
      <c r="C38" s="7" t="n">
        <v>27</v>
      </c>
      <c r="D38" s="7" t="n">
        <v>0.2045</v>
      </c>
      <c r="E38" s="7" t="n">
        <v>0.1446</v>
      </c>
      <c r="F38" s="8" t="inlineStr">
        <is>
          <t>High</t>
        </is>
      </c>
      <c r="G38" s="8" t="inlineStr">
        <is>
          <t>Low</t>
        </is>
      </c>
      <c r="H38">
        <f>IF(F38=G38,"YES","NO")</f>
        <v/>
      </c>
    </row>
    <row r="39">
      <c r="A39" s="6" t="inlineStr">
        <is>
          <t>NETWORK DIGITAL OFFICE SYSTEMS, INC.</t>
        </is>
      </c>
      <c r="B39" s="7" t="n">
        <v>5</v>
      </c>
      <c r="C39" s="7" t="n">
        <v>2</v>
      </c>
      <c r="D39" s="7" t="n">
        <v>0.4</v>
      </c>
      <c r="E39" s="7" t="n">
        <v>0.1176</v>
      </c>
      <c r="F39" s="8" t="inlineStr">
        <is>
          <t>High</t>
        </is>
      </c>
      <c r="G39" s="8" t="inlineStr">
        <is>
          <t>High</t>
        </is>
      </c>
      <c r="H39">
        <f>IF(F39=G39,"YES","NO")</f>
        <v/>
      </c>
    </row>
    <row r="40">
      <c r="A40" s="6" t="inlineStr">
        <is>
          <t>NJ / Philly Metro</t>
        </is>
      </c>
      <c r="B40" s="7" t="n">
        <v>2</v>
      </c>
      <c r="C40" s="7" t="n">
        <v>2</v>
      </c>
      <c r="D40" s="7" t="n">
        <v>1</v>
      </c>
      <c r="E40" s="7" t="n">
        <v>0.3424</v>
      </c>
      <c r="F40" s="8" t="inlineStr">
        <is>
          <t>High</t>
        </is>
      </c>
      <c r="G40" s="8" t="inlineStr">
        <is>
          <t>High</t>
        </is>
      </c>
      <c r="H40">
        <f>IF(F40=G40,"YES","NO")</f>
        <v/>
      </c>
    </row>
    <row r="41">
      <c r="A41" s="6" t="inlineStr">
        <is>
          <t>NORTHERN BUSINESS MACHINES NH, INC.</t>
        </is>
      </c>
      <c r="B41" s="7" t="n">
        <v>5</v>
      </c>
      <c r="C41" s="7" t="n">
        <v>2</v>
      </c>
      <c r="D41" s="7" t="n">
        <v>0.4</v>
      </c>
      <c r="E41" s="7" t="n">
        <v>0.1176</v>
      </c>
      <c r="F41" s="8" t="inlineStr">
        <is>
          <t>High</t>
        </is>
      </c>
      <c r="G41" s="8" t="inlineStr">
        <is>
          <t>Low</t>
        </is>
      </c>
      <c r="H41">
        <f>IF(F41=G41,"YES","NO")</f>
        <v/>
      </c>
    </row>
    <row r="42">
      <c r="A42" s="6" t="inlineStr">
        <is>
          <t>National</t>
        </is>
      </c>
      <c r="B42" s="7" t="n">
        <v>30</v>
      </c>
      <c r="C42" s="7" t="n">
        <v>7</v>
      </c>
      <c r="D42" s="7" t="n">
        <v>0.2333</v>
      </c>
      <c r="E42" s="7" t="n">
        <v>0.1179</v>
      </c>
      <c r="F42" s="8" t="inlineStr">
        <is>
          <t>High</t>
        </is>
      </c>
      <c r="G42" s="8" t="inlineStr">
        <is>
          <t>High</t>
        </is>
      </c>
      <c r="H42">
        <f>IF(F42=G42,"YES","NO")</f>
        <v/>
      </c>
    </row>
    <row r="43">
      <c r="A43" s="6" t="inlineStr">
        <is>
          <t>OFFICE PRODUCTS, INC.</t>
        </is>
      </c>
      <c r="B43" s="7" t="n">
        <v>7</v>
      </c>
      <c r="C43" s="7" t="n">
        <v>4</v>
      </c>
      <c r="D43" s="7" t="n">
        <v>0.5714</v>
      </c>
      <c r="E43" s="7" t="n">
        <v>0.2505</v>
      </c>
      <c r="F43" s="8" t="inlineStr">
        <is>
          <t>High</t>
        </is>
      </c>
      <c r="G43" s="8" t="inlineStr">
        <is>
          <t>High</t>
        </is>
      </c>
      <c r="H43">
        <f>IF(F43=G43,"YES","NO")</f>
        <v/>
      </c>
    </row>
    <row r="44">
      <c r="A44" s="6" t="inlineStr">
        <is>
          <t>PACIFIC OFFICE AUTOMATION, INC.</t>
        </is>
      </c>
      <c r="B44" s="7" t="n">
        <v>27041</v>
      </c>
      <c r="C44" s="7" t="n">
        <v>4217</v>
      </c>
      <c r="D44" s="7" t="n">
        <v>0.1559</v>
      </c>
      <c r="E44" s="7" t="n">
        <v>0.1517</v>
      </c>
      <c r="F44" s="8" t="inlineStr">
        <is>
          <t>High</t>
        </is>
      </c>
      <c r="G44" s="8" t="inlineStr">
        <is>
          <t>High</t>
        </is>
      </c>
      <c r="H44">
        <f>IF(F44=G44,"YES","NO")</f>
        <v/>
      </c>
    </row>
    <row r="45">
      <c r="A45" s="6" t="inlineStr">
        <is>
          <t>PANAMA BUSINESS MACHINES, INC.</t>
        </is>
      </c>
      <c r="B45" s="7" t="n">
        <v>29</v>
      </c>
      <c r="C45" s="7" t="n">
        <v>7</v>
      </c>
      <c r="D45" s="7" t="n">
        <v>0.2414</v>
      </c>
      <c r="E45" s="7" t="n">
        <v>0.1222</v>
      </c>
      <c r="F45" s="8" t="inlineStr">
        <is>
          <t>High</t>
        </is>
      </c>
      <c r="G45" s="8" t="inlineStr">
        <is>
          <t>Low</t>
        </is>
      </c>
      <c r="H45">
        <f>IF(F45=G45,"YES","NO")</f>
        <v/>
      </c>
    </row>
    <row r="46">
      <c r="A46" s="6" t="inlineStr">
        <is>
          <t>PROFESSIONAL BUSINESS SYSTEMS, INC.</t>
        </is>
      </c>
      <c r="B46" s="7" t="n">
        <v>7</v>
      </c>
      <c r="C46" s="7" t="n">
        <v>4</v>
      </c>
      <c r="D46" s="7" t="n">
        <v>0.5714</v>
      </c>
      <c r="E46" s="7" t="n">
        <v>0.2505</v>
      </c>
      <c r="F46" s="8" t="inlineStr">
        <is>
          <t>High</t>
        </is>
      </c>
      <c r="G46" s="8" t="inlineStr">
        <is>
          <t>Medium</t>
        </is>
      </c>
      <c r="H46">
        <f>IF(F46=G46,"YES","NO")</f>
        <v/>
      </c>
    </row>
    <row r="47">
      <c r="A47" s="6" t="inlineStr">
        <is>
          <t>QUALITY BUSINESS SOLUTIONS, LLC</t>
        </is>
      </c>
      <c r="B47" s="7" t="n">
        <v>93</v>
      </c>
      <c r="C47" s="7" t="n">
        <v>24</v>
      </c>
      <c r="D47" s="7" t="n">
        <v>0.2581</v>
      </c>
      <c r="E47" s="7" t="n">
        <v>0.18</v>
      </c>
      <c r="F47" s="8" t="inlineStr">
        <is>
          <t>High</t>
        </is>
      </c>
      <c r="G47" s="8" t="inlineStr">
        <is>
          <t>High</t>
        </is>
      </c>
      <c r="H47">
        <f>IF(F47=G47,"YES","NO")</f>
        <v/>
      </c>
    </row>
    <row r="48">
      <c r="A48" s="6" t="inlineStr">
        <is>
          <t>RECOGNITION SYSTEMS, INC.</t>
        </is>
      </c>
      <c r="B48" s="7" t="n">
        <v>15</v>
      </c>
      <c r="C48" s="7" t="n">
        <v>5</v>
      </c>
      <c r="D48" s="7" t="n">
        <v>0.3333</v>
      </c>
      <c r="E48" s="7" t="n">
        <v>0.1518</v>
      </c>
      <c r="F48" s="8" t="inlineStr">
        <is>
          <t>High</t>
        </is>
      </c>
      <c r="G48" s="8" t="inlineStr">
        <is>
          <t>Medium</t>
        </is>
      </c>
      <c r="H48">
        <f>IF(F48=G48,"YES","NO")</f>
        <v/>
      </c>
    </row>
    <row r="49">
      <c r="A49" s="6" t="inlineStr">
        <is>
          <t>SUMNERONE, INC.</t>
        </is>
      </c>
      <c r="B49" s="7" t="n">
        <v>2481</v>
      </c>
      <c r="C49" s="7" t="n">
        <v>507</v>
      </c>
      <c r="D49" s="7" t="n">
        <v>0.2044</v>
      </c>
      <c r="E49" s="7" t="n">
        <v>0.1889</v>
      </c>
      <c r="F49" s="8" t="inlineStr">
        <is>
          <t>High</t>
        </is>
      </c>
      <c r="G49" s="8" t="inlineStr">
        <is>
          <t>High</t>
        </is>
      </c>
      <c r="H49">
        <f>IF(F49=G49,"YES","NO")</f>
        <v/>
      </c>
    </row>
    <row r="50">
      <c r="A50" s="6" t="inlineStr">
        <is>
          <t>SYMQUEST GROUP INCORPORATED</t>
        </is>
      </c>
      <c r="B50" s="7" t="n">
        <v>5</v>
      </c>
      <c r="C50" s="7" t="n">
        <v>2</v>
      </c>
      <c r="D50" s="7" t="n">
        <v>0.4</v>
      </c>
      <c r="E50" s="7" t="n">
        <v>0.1176</v>
      </c>
      <c r="F50" s="8" t="inlineStr">
        <is>
          <t>High</t>
        </is>
      </c>
      <c r="G50" s="8" t="inlineStr">
        <is>
          <t>High</t>
        </is>
      </c>
      <c r="H50">
        <f>IF(F50=G50,"YES","NO")</f>
        <v/>
      </c>
    </row>
    <row r="51">
      <c r="A51" s="6" t="inlineStr">
        <is>
          <t>SYSTEL BUSINESS EQUIPMENT CO., INC.</t>
        </is>
      </c>
      <c r="B51" s="7" t="n">
        <v>2264</v>
      </c>
      <c r="C51" s="7" t="n">
        <v>680</v>
      </c>
      <c r="D51" s="7" t="n">
        <v>0.3004</v>
      </c>
      <c r="E51" s="7" t="n">
        <v>0.2818</v>
      </c>
      <c r="F51" s="8" t="inlineStr">
        <is>
          <t>High</t>
        </is>
      </c>
      <c r="G51" s="8" t="inlineStr">
        <is>
          <t>High</t>
        </is>
      </c>
      <c r="H51">
        <f>IF(F51=G51,"YES","NO")</f>
        <v/>
      </c>
    </row>
    <row r="52">
      <c r="A52" s="6" t="inlineStr">
        <is>
          <t>So Cal / Lv</t>
        </is>
      </c>
      <c r="B52" s="7" t="n">
        <v>19</v>
      </c>
      <c r="C52" s="7" t="n">
        <v>6</v>
      </c>
      <c r="D52" s="7" t="n">
        <v>0.3158</v>
      </c>
      <c r="E52" s="7" t="n">
        <v>0.1536</v>
      </c>
      <c r="F52" s="8" t="inlineStr">
        <is>
          <t>High</t>
        </is>
      </c>
      <c r="G52" s="8" t="inlineStr">
        <is>
          <t>Low</t>
        </is>
      </c>
      <c r="H52">
        <f>IF(F52=G52,"YES","NO")</f>
        <v/>
      </c>
    </row>
    <row r="53">
      <c r="A53" s="6" t="inlineStr">
        <is>
          <t>THE LIOCE GROUP, INC.</t>
        </is>
      </c>
      <c r="B53" s="7" t="n">
        <v>18</v>
      </c>
      <c r="C53" s="7" t="n">
        <v>9</v>
      </c>
      <c r="D53" s="7" t="n">
        <v>0.5</v>
      </c>
      <c r="E53" s="7" t="n">
        <v>0.2903</v>
      </c>
      <c r="F53" s="8" t="inlineStr">
        <is>
          <t>High</t>
        </is>
      </c>
      <c r="G53" s="8" t="inlineStr">
        <is>
          <t>High</t>
        </is>
      </c>
      <c r="H53">
        <f>IF(F53=G53,"YES","NO")</f>
        <v/>
      </c>
    </row>
    <row r="54">
      <c r="A54" s="6" t="inlineStr">
        <is>
          <t>UBEO, LLC</t>
        </is>
      </c>
      <c r="B54" s="7" t="n">
        <v>1309</v>
      </c>
      <c r="C54" s="7" t="n">
        <v>188</v>
      </c>
      <c r="D54" s="7" t="n">
        <v>0.1436</v>
      </c>
      <c r="E54" s="7" t="n">
        <v>0.1257</v>
      </c>
      <c r="F54" s="8" t="inlineStr">
        <is>
          <t>High</t>
        </is>
      </c>
      <c r="G54" s="8" t="inlineStr">
        <is>
          <t>Low</t>
        </is>
      </c>
      <c r="H54">
        <f>IF(F54=G54,"YES","NO")</f>
        <v/>
      </c>
    </row>
    <row r="55">
      <c r="A55" s="6" t="inlineStr">
        <is>
          <t>UNI-COPY TECHNOLOGIES, INC.</t>
        </is>
      </c>
      <c r="B55" s="7" t="n">
        <v>43</v>
      </c>
      <c r="C55" s="7" t="n">
        <v>13</v>
      </c>
      <c r="D55" s="7" t="n">
        <v>0.3023</v>
      </c>
      <c r="E55" s="7" t="n">
        <v>0.186</v>
      </c>
      <c r="F55" s="8" t="inlineStr">
        <is>
          <t>High</t>
        </is>
      </c>
      <c r="G55" s="8" t="inlineStr">
        <is>
          <t>High</t>
        </is>
      </c>
      <c r="H55">
        <f>IF(F55=G55,"YES","NO")</f>
        <v/>
      </c>
    </row>
    <row r="56">
      <c r="A56" s="6" t="inlineStr">
        <is>
          <t>ABM OFFICE SOLUTIONS, INC.</t>
        </is>
      </c>
      <c r="B56" s="7" t="n">
        <v>29</v>
      </c>
      <c r="C56" s="7" t="n">
        <v>4</v>
      </c>
      <c r="D56" s="7" t="n">
        <v>0.1379</v>
      </c>
      <c r="E56" s="7" t="n">
        <v>0.055</v>
      </c>
      <c r="F56" s="8" t="inlineStr">
        <is>
          <t>Low</t>
        </is>
      </c>
      <c r="G56" s="8" t="inlineStr">
        <is>
          <t>Medium</t>
        </is>
      </c>
      <c r="H56">
        <f>IF(F56=G56,"YES","NO")</f>
        <v/>
      </c>
    </row>
    <row r="57">
      <c r="A57" s="6" t="inlineStr">
        <is>
          <t>ABS BUSINESS SYSTEMS OF MONTGOMERY, INC.</t>
        </is>
      </c>
      <c r="B57" s="7" t="n">
        <v>58</v>
      </c>
      <c r="C57" s="7" t="n">
        <v>2</v>
      </c>
      <c r="D57" s="7" t="n">
        <v>0.0345</v>
      </c>
      <c r="E57" s="7" t="n">
        <v>0.0095</v>
      </c>
      <c r="F57" s="8" t="inlineStr">
        <is>
          <t>Low</t>
        </is>
      </c>
      <c r="G57" s="8" t="inlineStr">
        <is>
          <t>Low</t>
        </is>
      </c>
      <c r="H57">
        <f>IF(F57=G57,"YES","NO")</f>
        <v/>
      </c>
    </row>
    <row r="58">
      <c r="A58" s="6" t="inlineStr">
        <is>
          <t>AC'CENT BUSINESS PRODUCTS OF FORT MYERS</t>
        </is>
      </c>
      <c r="B58" s="7" t="n">
        <v>141</v>
      </c>
      <c r="C58" s="7" t="n">
        <v>16</v>
      </c>
      <c r="D58" s="7" t="n">
        <v>0.1135</v>
      </c>
      <c r="E58" s="7" t="n">
        <v>0.0711</v>
      </c>
      <c r="F58" s="8" t="inlineStr">
        <is>
          <t>Low</t>
        </is>
      </c>
      <c r="G58" s="8" t="inlineStr">
        <is>
          <t>Low</t>
        </is>
      </c>
      <c r="H58">
        <f>IF(F58=G58,"YES","NO")</f>
        <v/>
      </c>
    </row>
    <row r="59">
      <c r="A59" s="6" t="inlineStr">
        <is>
          <t>ADVANCED IMAGING SOLUTIONS, INC.</t>
        </is>
      </c>
      <c r="B59" s="7" t="n">
        <v>727</v>
      </c>
      <c r="C59" s="7" t="n">
        <v>12</v>
      </c>
      <c r="D59" s="7" t="n">
        <v>0.0165</v>
      </c>
      <c r="E59" s="7" t="n">
        <v>0.0095</v>
      </c>
      <c r="F59" s="8" t="inlineStr">
        <is>
          <t>Low</t>
        </is>
      </c>
      <c r="G59" s="8" t="inlineStr">
        <is>
          <t>Low</t>
        </is>
      </c>
      <c r="H59">
        <f>IF(F59=G59,"YES","NO")</f>
        <v/>
      </c>
    </row>
    <row r="60">
      <c r="A60" s="6" t="inlineStr">
        <is>
          <t>ADVANCED OFFICE PRODUCTS, INC.</t>
        </is>
      </c>
      <c r="B60" s="7" t="n">
        <v>10</v>
      </c>
      <c r="C60" s="7" t="n">
        <v>0</v>
      </c>
      <c r="D60" s="7" t="n">
        <v>0</v>
      </c>
      <c r="E60" s="7" t="n">
        <v>0</v>
      </c>
      <c r="F60" s="8" t="inlineStr">
        <is>
          <t>Low</t>
        </is>
      </c>
      <c r="G60" s="8" t="inlineStr">
        <is>
          <t>Low</t>
        </is>
      </c>
      <c r="H60">
        <f>IF(F60=G60,"YES","NO")</f>
        <v/>
      </c>
    </row>
    <row r="61">
      <c r="A61" s="6" t="inlineStr">
        <is>
          <t>ALL COPY PRODUCTS, LLC</t>
        </is>
      </c>
      <c r="B61" s="7" t="n">
        <v>7431</v>
      </c>
      <c r="C61" s="7" t="n">
        <v>306</v>
      </c>
      <c r="D61" s="7" t="n">
        <v>0.0412</v>
      </c>
      <c r="E61" s="7" t="n">
        <v>0.0369</v>
      </c>
      <c r="F61" s="8" t="inlineStr">
        <is>
          <t>Low</t>
        </is>
      </c>
      <c r="G61" s="8" t="inlineStr">
        <is>
          <t>Low</t>
        </is>
      </c>
      <c r="H61">
        <f>IF(F61=G61,"YES","NO")</f>
        <v/>
      </c>
    </row>
    <row r="62">
      <c r="A62" s="6" t="inlineStr">
        <is>
          <t>ALL STATE BUSINESS SYSTEMS, INC.</t>
        </is>
      </c>
      <c r="B62" s="7" t="n">
        <v>23</v>
      </c>
      <c r="C62" s="7" t="n">
        <v>0</v>
      </c>
      <c r="D62" s="7" t="n">
        <v>0</v>
      </c>
      <c r="E62" s="7" t="n">
        <v>0</v>
      </c>
      <c r="F62" s="8" t="inlineStr">
        <is>
          <t>Low</t>
        </is>
      </c>
      <c r="G62" s="8" t="inlineStr">
        <is>
          <t>Low</t>
        </is>
      </c>
      <c r="H62">
        <f>IF(F62=G62,"YES","NO")</f>
        <v/>
      </c>
    </row>
    <row r="63">
      <c r="A63" s="6" t="inlineStr">
        <is>
          <t>AMERICAN BUSINESS SYSTEMS, INC.</t>
        </is>
      </c>
      <c r="B63" s="7" t="n">
        <v>635</v>
      </c>
      <c r="C63" s="7" t="n">
        <v>72</v>
      </c>
      <c r="D63" s="7" t="n">
        <v>0.1134</v>
      </c>
      <c r="E63" s="7" t="n">
        <v>0.091</v>
      </c>
      <c r="F63" s="8" t="inlineStr">
        <is>
          <t>Low</t>
        </is>
      </c>
      <c r="G63" s="8" t="inlineStr">
        <is>
          <t>Low</t>
        </is>
      </c>
      <c r="H63">
        <f>IF(F63=G63,"YES","NO")</f>
        <v/>
      </c>
    </row>
    <row r="64">
      <c r="A64" s="6" t="inlineStr">
        <is>
          <t>AN UBEO COMPANY</t>
        </is>
      </c>
      <c r="B64" s="7" t="n">
        <v>2736</v>
      </c>
      <c r="C64" s="7" t="n">
        <v>339</v>
      </c>
      <c r="D64" s="7" t="n">
        <v>0.1239</v>
      </c>
      <c r="E64" s="7" t="n">
        <v>0.1121</v>
      </c>
      <c r="F64" s="8" t="inlineStr">
        <is>
          <t>Low</t>
        </is>
      </c>
      <c r="G64" s="8" t="inlineStr">
        <is>
          <t>Low</t>
        </is>
      </c>
      <c r="H64">
        <f>IF(F64=G64,"YES","NO")</f>
        <v/>
      </c>
    </row>
    <row r="65">
      <c r="A65" s="6" t="inlineStr">
        <is>
          <t>ATLAS OFFICE SOLUTIONS, INC.</t>
        </is>
      </c>
      <c r="B65" s="7" t="n">
        <v>30</v>
      </c>
      <c r="C65" s="7" t="n">
        <v>1</v>
      </c>
      <c r="D65" s="7" t="n">
        <v>0.0333</v>
      </c>
      <c r="E65" s="7" t="n">
        <v>0.0059</v>
      </c>
      <c r="F65" s="8" t="inlineStr">
        <is>
          <t>Low</t>
        </is>
      </c>
      <c r="G65" s="8" t="inlineStr">
        <is>
          <t>Low</t>
        </is>
      </c>
      <c r="H65">
        <f>IF(F65=G65,"YES","NO")</f>
        <v/>
      </c>
    </row>
    <row r="66">
      <c r="A66" s="6" t="inlineStr">
        <is>
          <t>Anchorage</t>
        </is>
      </c>
      <c r="B66" s="7" t="n">
        <v>2</v>
      </c>
      <c r="C66" s="7" t="n">
        <v>0</v>
      </c>
      <c r="D66" s="7" t="n">
        <v>0</v>
      </c>
      <c r="E66" s="7" t="n">
        <v>0</v>
      </c>
      <c r="F66" s="8" t="inlineStr">
        <is>
          <t>Low</t>
        </is>
      </c>
      <c r="G66" s="8" t="inlineStr">
        <is>
          <t>Low</t>
        </is>
      </c>
      <c r="H66">
        <f>IF(F66=G66,"YES","NO")</f>
        <v/>
      </c>
    </row>
    <row r="67">
      <c r="A67" s="6" t="inlineStr">
        <is>
          <t>BAUERNFEIND BUSINESS TECHNOLOGIES, INC.</t>
        </is>
      </c>
      <c r="B67" s="7" t="n">
        <v>322</v>
      </c>
      <c r="C67" s="7" t="n">
        <v>6</v>
      </c>
      <c r="D67" s="7" t="n">
        <v>0.0186</v>
      </c>
      <c r="E67" s="7" t="n">
        <v>0.0086</v>
      </c>
      <c r="F67" s="8" t="inlineStr">
        <is>
          <t>Low</t>
        </is>
      </c>
      <c r="G67" s="8" t="inlineStr">
        <is>
          <t>Low</t>
        </is>
      </c>
      <c r="H67">
        <f>IF(F67=G67,"YES","NO")</f>
        <v/>
      </c>
    </row>
    <row r="68">
      <c r="A68" s="6" t="inlineStr">
        <is>
          <t>BAY BUSINESS MACHINES, INC.</t>
        </is>
      </c>
      <c r="B68" s="7" t="n">
        <v>50</v>
      </c>
      <c r="C68" s="7" t="n">
        <v>1</v>
      </c>
      <c r="D68" s="7" t="n">
        <v>0.02</v>
      </c>
      <c r="E68" s="7" t="n">
        <v>0.0035</v>
      </c>
      <c r="F68" s="8" t="inlineStr">
        <is>
          <t>Low</t>
        </is>
      </c>
      <c r="G68" s="8" t="inlineStr">
        <is>
          <t>Low</t>
        </is>
      </c>
      <c r="H68">
        <f>IF(F68=G68,"YES","NO")</f>
        <v/>
      </c>
    </row>
    <row r="69">
      <c r="A69" s="6" t="inlineStr">
        <is>
          <t>BAY COPY</t>
        </is>
      </c>
      <c r="B69" s="7" t="n">
        <v>68</v>
      </c>
      <c r="C69" s="7" t="n">
        <v>10</v>
      </c>
      <c r="D69" s="7" t="n">
        <v>0.1471</v>
      </c>
      <c r="E69" s="7" t="n">
        <v>0.0819</v>
      </c>
      <c r="F69" s="8" t="inlineStr">
        <is>
          <t>Low</t>
        </is>
      </c>
      <c r="G69" s="8" t="inlineStr">
        <is>
          <t>Low</t>
        </is>
      </c>
      <c r="H69">
        <f>IF(F69=G69,"YES","NO")</f>
        <v/>
      </c>
    </row>
    <row r="70">
      <c r="A70" s="6" t="inlineStr">
        <is>
          <t>BBM OFFICE INNOVATIONS</t>
        </is>
      </c>
      <c r="B70" s="7" t="n">
        <v>3</v>
      </c>
      <c r="C70" s="7" t="n">
        <v>0</v>
      </c>
      <c r="D70" s="7" t="n">
        <v>0</v>
      </c>
      <c r="E70" s="7" t="n">
        <v>0</v>
      </c>
      <c r="F70" s="8" t="inlineStr">
        <is>
          <t>Low</t>
        </is>
      </c>
      <c r="G70" s="8" t="inlineStr">
        <is>
          <t>Low</t>
        </is>
      </c>
      <c r="H70">
        <f>IF(F70=G70,"YES","NO")</f>
        <v/>
      </c>
    </row>
    <row r="71">
      <c r="A71" s="6" t="inlineStr">
        <is>
          <t>BETTER BUSINESS EQUIPMENT CO., INC.</t>
        </is>
      </c>
      <c r="B71" s="7" t="n">
        <v>14</v>
      </c>
      <c r="C71" s="7" t="n">
        <v>3</v>
      </c>
      <c r="D71" s="7" t="n">
        <v>0.2143</v>
      </c>
      <c r="E71" s="7" t="n">
        <v>0.0757</v>
      </c>
      <c r="F71" s="8" t="inlineStr">
        <is>
          <t>Low</t>
        </is>
      </c>
      <c r="G71" s="8" t="inlineStr">
        <is>
          <t>Low</t>
        </is>
      </c>
      <c r="H71">
        <f>IF(F71=G71,"YES","NO")</f>
        <v/>
      </c>
    </row>
    <row r="72">
      <c r="A72" s="6" t="inlineStr">
        <is>
          <t>BLUE TECHNOLOGIES, INC.</t>
        </is>
      </c>
      <c r="B72" s="7" t="n">
        <v>2880</v>
      </c>
      <c r="C72" s="7" t="n">
        <v>104</v>
      </c>
      <c r="D72" s="7" t="n">
        <v>0.0361</v>
      </c>
      <c r="E72" s="7" t="n">
        <v>0.0299</v>
      </c>
      <c r="F72" s="8" t="inlineStr">
        <is>
          <t>Low</t>
        </is>
      </c>
      <c r="G72" s="8" t="inlineStr">
        <is>
          <t>Low</t>
        </is>
      </c>
      <c r="H72">
        <f>IF(F72=G72,"YES","NO")</f>
        <v/>
      </c>
    </row>
    <row r="73">
      <c r="A73" s="6" t="inlineStr">
        <is>
          <t>BODNAR SALES &amp; SERVICE</t>
        </is>
      </c>
      <c r="B73" s="7" t="n">
        <v>5</v>
      </c>
      <c r="C73" s="7" t="n">
        <v>0</v>
      </c>
      <c r="D73" s="7" t="n">
        <v>0</v>
      </c>
      <c r="E73" s="7" t="n">
        <v>0</v>
      </c>
      <c r="F73" s="8" t="inlineStr">
        <is>
          <t>Low</t>
        </is>
      </c>
      <c r="G73" s="8" t="inlineStr">
        <is>
          <t>Low</t>
        </is>
      </c>
      <c r="H73">
        <f>IF(F73=G73,"YES","NO")</f>
        <v/>
      </c>
    </row>
    <row r="74">
      <c r="A74" s="6" t="inlineStr">
        <is>
          <t>BOHNS PRINTING, INC.</t>
        </is>
      </c>
      <c r="B74" s="7" t="n">
        <v>1</v>
      </c>
      <c r="C74" s="7" t="n">
        <v>0</v>
      </c>
      <c r="D74" s="7" t="n">
        <v>0</v>
      </c>
      <c r="E74" s="7" t="n">
        <v>0</v>
      </c>
      <c r="F74" s="8" t="inlineStr">
        <is>
          <t>Low</t>
        </is>
      </c>
      <c r="G74" s="8" t="inlineStr">
        <is>
          <t>Low</t>
        </is>
      </c>
      <c r="H74">
        <f>IF(F74=G74,"YES","NO")</f>
        <v/>
      </c>
    </row>
    <row r="75">
      <c r="A75" s="6" t="inlineStr">
        <is>
          <t>BRADEN BUSINESS SYSTEMS, INC.</t>
        </is>
      </c>
      <c r="B75" s="7" t="n">
        <v>1476</v>
      </c>
      <c r="C75" s="7" t="n">
        <v>74</v>
      </c>
      <c r="D75" s="7" t="n">
        <v>0.0501</v>
      </c>
      <c r="E75" s="7" t="n">
        <v>0.0401</v>
      </c>
      <c r="F75" s="8" t="inlineStr">
        <is>
          <t>Low</t>
        </is>
      </c>
      <c r="G75" s="8" t="inlineStr">
        <is>
          <t>Low</t>
        </is>
      </c>
      <c r="H75">
        <f>IF(F75=G75,"YES","NO")</f>
        <v/>
      </c>
    </row>
    <row r="76">
      <c r="A76" s="6" t="inlineStr">
        <is>
          <t>BUROPRO CITATION, INC.</t>
        </is>
      </c>
      <c r="B76" s="7" t="n">
        <v>32</v>
      </c>
      <c r="C76" s="7" t="n">
        <v>1</v>
      </c>
      <c r="D76" s="7" t="n">
        <v>0.0312</v>
      </c>
      <c r="E76" s="7" t="n">
        <v>0.0055</v>
      </c>
      <c r="F76" s="8" t="inlineStr">
        <is>
          <t>Low</t>
        </is>
      </c>
      <c r="G76" s="8" t="inlineStr">
        <is>
          <t>Low</t>
        </is>
      </c>
      <c r="H76">
        <f>IF(F76=G76,"YES","NO")</f>
        <v/>
      </c>
    </row>
    <row r="77">
      <c r="A77" s="6" t="inlineStr">
        <is>
          <t>BUSINESS OFFICE SYSTEMS</t>
        </is>
      </c>
      <c r="B77" s="7" t="n">
        <v>72</v>
      </c>
      <c r="C77" s="7" t="n">
        <v>9</v>
      </c>
      <c r="D77" s="7" t="n">
        <v>0.125</v>
      </c>
      <c r="E77" s="7" t="n">
        <v>0.0672</v>
      </c>
      <c r="F77" s="8" t="inlineStr">
        <is>
          <t>Low</t>
        </is>
      </c>
      <c r="G77" s="8" t="inlineStr">
        <is>
          <t>High</t>
        </is>
      </c>
      <c r="H77">
        <f>IF(F77=G77,"YES","NO")</f>
        <v/>
      </c>
    </row>
    <row r="78">
      <c r="A78" s="6" t="inlineStr">
        <is>
          <t>BUSKE'S OFFICE EQUIPMENT</t>
        </is>
      </c>
      <c r="B78" s="7" t="n">
        <v>35</v>
      </c>
      <c r="C78" s="7" t="n">
        <v>0</v>
      </c>
      <c r="D78" s="7" t="n">
        <v>0</v>
      </c>
      <c r="E78" s="7" t="n">
        <v>0</v>
      </c>
      <c r="F78" s="8" t="inlineStr">
        <is>
          <t>Low</t>
        </is>
      </c>
      <c r="G78" s="8" t="inlineStr">
        <is>
          <t>Low</t>
        </is>
      </c>
      <c r="H78">
        <f>IF(F78=G78,"YES","NO")</f>
        <v/>
      </c>
    </row>
    <row r="79">
      <c r="A79" s="6" t="inlineStr">
        <is>
          <t>British Columbia</t>
        </is>
      </c>
      <c r="B79" s="7" t="n">
        <v>10</v>
      </c>
      <c r="C79" s="7" t="n">
        <v>2</v>
      </c>
      <c r="D79" s="7" t="n">
        <v>0.2</v>
      </c>
      <c r="E79" s="7" t="n">
        <v>0.0567</v>
      </c>
      <c r="F79" s="8" t="inlineStr">
        <is>
          <t>Low</t>
        </is>
      </c>
      <c r="G79" s="8" t="inlineStr">
        <is>
          <t>Low</t>
        </is>
      </c>
      <c r="H79">
        <f>IF(F79=G79,"YES","NO")</f>
        <v/>
      </c>
    </row>
    <row r="80">
      <c r="A80" s="6" t="inlineStr">
        <is>
          <t>C/O KEL COMMUNICATIONS LTD</t>
        </is>
      </c>
      <c r="B80" s="7" t="n">
        <v>20</v>
      </c>
      <c r="C80" s="7" t="n">
        <v>0</v>
      </c>
      <c r="D80" s="7" t="n">
        <v>0</v>
      </c>
      <c r="E80" s="7" t="n">
        <v>0</v>
      </c>
      <c r="F80" s="8" t="inlineStr">
        <is>
          <t>Low</t>
        </is>
      </c>
      <c r="G80" s="8" t="inlineStr">
        <is>
          <t>Low</t>
        </is>
      </c>
      <c r="H80">
        <f>IF(F80=G80,"YES","NO")</f>
        <v/>
      </c>
    </row>
    <row r="81">
      <c r="A81" s="6" t="inlineStr">
        <is>
          <t>CAPITOL DOCUMENT SOLUTIONS, LLC</t>
        </is>
      </c>
      <c r="B81" s="7" t="n">
        <v>548</v>
      </c>
      <c r="C81" s="7" t="n">
        <v>7</v>
      </c>
      <c r="D81" s="7" t="n">
        <v>0.0128</v>
      </c>
      <c r="E81" s="7" t="n">
        <v>0.0062</v>
      </c>
      <c r="F81" s="8" t="inlineStr">
        <is>
          <t>Low</t>
        </is>
      </c>
      <c r="G81" s="8" t="inlineStr">
        <is>
          <t>Low</t>
        </is>
      </c>
      <c r="H81">
        <f>IF(F81=G81,"YES","NO")</f>
        <v/>
      </c>
    </row>
    <row r="82">
      <c r="A82" s="6" t="inlineStr">
        <is>
          <t>CAROLINA TYPEWRITER CO., INC.</t>
        </is>
      </c>
      <c r="B82" s="7" t="n">
        <v>64</v>
      </c>
      <c r="C82" s="7" t="n">
        <v>2</v>
      </c>
      <c r="D82" s="7" t="n">
        <v>0.0312</v>
      </c>
      <c r="E82" s="7" t="n">
        <v>0.0086</v>
      </c>
      <c r="F82" s="8" t="inlineStr">
        <is>
          <t>Low</t>
        </is>
      </c>
      <c r="G82" s="8" t="inlineStr">
        <is>
          <t>Low</t>
        </is>
      </c>
      <c r="H82">
        <f>IF(F82=G82,"YES","NO")</f>
        <v/>
      </c>
    </row>
    <row r="83">
      <c r="A83" s="6" t="inlineStr">
        <is>
          <t>CHAUVIN BUSINESS SYSTEMS, INC.</t>
        </is>
      </c>
      <c r="B83" s="7" t="n">
        <v>9</v>
      </c>
      <c r="C83" s="7" t="n">
        <v>1</v>
      </c>
      <c r="D83" s="7" t="n">
        <v>0.1111</v>
      </c>
      <c r="E83" s="7" t="n">
        <v>0.0199</v>
      </c>
      <c r="F83" s="8" t="inlineStr">
        <is>
          <t>Low</t>
        </is>
      </c>
      <c r="G83" s="8" t="inlineStr">
        <is>
          <t>Low</t>
        </is>
      </c>
      <c r="H83">
        <f>IF(F83=G83,"YES","NO")</f>
        <v/>
      </c>
    </row>
    <row r="84">
      <c r="A84" s="6" t="inlineStr">
        <is>
          <t>CLINE'S BUSINESS EQUIPMENT, INC.</t>
        </is>
      </c>
      <c r="B84" s="7" t="n">
        <v>271</v>
      </c>
      <c r="C84" s="7" t="n">
        <v>9</v>
      </c>
      <c r="D84" s="7" t="n">
        <v>0.0332</v>
      </c>
      <c r="E84" s="7" t="n">
        <v>0.0176</v>
      </c>
      <c r="F84" s="8" t="inlineStr">
        <is>
          <t>Low</t>
        </is>
      </c>
      <c r="G84" s="8" t="inlineStr">
        <is>
          <t>Low</t>
        </is>
      </c>
      <c r="H84">
        <f>IF(F84=G84,"YES","NO")</f>
        <v/>
      </c>
    </row>
    <row r="85">
      <c r="A85" s="6" t="inlineStr">
        <is>
          <t>COLUMBIA BUSINESS SYSTEMS</t>
        </is>
      </c>
      <c r="B85" s="7" t="n">
        <v>32</v>
      </c>
      <c r="C85" s="7" t="n">
        <v>1</v>
      </c>
      <c r="D85" s="7" t="n">
        <v>0.0312</v>
      </c>
      <c r="E85" s="7" t="n">
        <v>0.0055</v>
      </c>
      <c r="F85" s="8" t="inlineStr">
        <is>
          <t>Low</t>
        </is>
      </c>
      <c r="G85" s="8" t="inlineStr">
        <is>
          <t>Low</t>
        </is>
      </c>
      <c r="H85">
        <f>IF(F85=G85,"YES","NO")</f>
        <v/>
      </c>
    </row>
    <row r="86">
      <c r="A86" s="6" t="inlineStr">
        <is>
          <t>COMMON SENSE BUSINESS SOLUTIONS, INC.</t>
        </is>
      </c>
      <c r="B86" s="7" t="n">
        <v>158</v>
      </c>
      <c r="C86" s="7" t="n">
        <v>3</v>
      </c>
      <c r="D86" s="7" t="n">
        <v>0.019</v>
      </c>
      <c r="E86" s="7" t="n">
        <v>0.0065</v>
      </c>
      <c r="F86" s="8" t="inlineStr">
        <is>
          <t>Low</t>
        </is>
      </c>
      <c r="G86" s="8" t="inlineStr">
        <is>
          <t>Low</t>
        </is>
      </c>
      <c r="H86">
        <f>IF(F86=G86,"YES","NO")</f>
        <v/>
      </c>
    </row>
    <row r="87">
      <c r="A87" s="6" t="inlineStr">
        <is>
          <t>COPIER FAX BUSINESS TECHNOLOGIES, INC.</t>
        </is>
      </c>
      <c r="B87" s="7" t="n">
        <v>824</v>
      </c>
      <c r="C87" s="7" t="n">
        <v>46</v>
      </c>
      <c r="D87" s="7" t="n">
        <v>0.0558</v>
      </c>
      <c r="E87" s="7" t="n">
        <v>0.0421</v>
      </c>
      <c r="F87" s="8" t="inlineStr">
        <is>
          <t>Low</t>
        </is>
      </c>
      <c r="G87" s="8" t="inlineStr">
        <is>
          <t>Low</t>
        </is>
      </c>
      <c r="H87">
        <f>IF(F87=G87,"YES","NO")</f>
        <v/>
      </c>
    </row>
    <row r="88">
      <c r="A88" s="6" t="inlineStr">
        <is>
          <t>COPYFAX 2000, INC.</t>
        </is>
      </c>
      <c r="B88" s="7" t="n">
        <v>217</v>
      </c>
      <c r="C88" s="7" t="n">
        <v>5</v>
      </c>
      <c r="D88" s="7" t="n">
        <v>0.023</v>
      </c>
      <c r="E88" s="7" t="n">
        <v>0.009900000000000001</v>
      </c>
      <c r="F88" s="8" t="inlineStr">
        <is>
          <t>Low</t>
        </is>
      </c>
      <c r="G88" s="8" t="inlineStr">
        <is>
          <t>Low</t>
        </is>
      </c>
      <c r="H88">
        <f>IF(F88=G88,"YES","NO")</f>
        <v/>
      </c>
    </row>
    <row r="89">
      <c r="A89" s="6" t="inlineStr">
        <is>
          <t>COPYPRO, INC.</t>
        </is>
      </c>
      <c r="B89" s="7" t="n">
        <v>1007</v>
      </c>
      <c r="C89" s="7" t="n">
        <v>29</v>
      </c>
      <c r="D89" s="7" t="n">
        <v>0.0288</v>
      </c>
      <c r="E89" s="7" t="n">
        <v>0.0201</v>
      </c>
      <c r="F89" s="8" t="inlineStr">
        <is>
          <t>Low</t>
        </is>
      </c>
      <c r="G89" s="8" t="inlineStr">
        <is>
          <t>Low</t>
        </is>
      </c>
      <c r="H89">
        <f>IF(F89=G89,"YES","NO")</f>
        <v/>
      </c>
    </row>
    <row r="90">
      <c r="A90" s="6" t="inlineStr">
        <is>
          <t>CORNWALL BUSINESS MACHINE</t>
        </is>
      </c>
      <c r="B90" s="7" t="n">
        <v>14</v>
      </c>
      <c r="C90" s="7" t="n">
        <v>0</v>
      </c>
      <c r="D90" s="7" t="n">
        <v>0</v>
      </c>
      <c r="E90" s="7" t="n">
        <v>0</v>
      </c>
      <c r="F90" s="8" t="inlineStr">
        <is>
          <t>Low</t>
        </is>
      </c>
      <c r="G90" s="8" t="inlineStr">
        <is>
          <t>Low</t>
        </is>
      </c>
      <c r="H90">
        <f>IF(F90=G90,"YES","NO")</f>
        <v/>
      </c>
    </row>
    <row r="91">
      <c r="A91" s="6" t="inlineStr">
        <is>
          <t>CPI TECHNOLOGIES, LLC</t>
        </is>
      </c>
      <c r="B91" s="7" t="n">
        <v>515</v>
      </c>
      <c r="C91" s="7" t="n">
        <v>30</v>
      </c>
      <c r="D91" s="7" t="n">
        <v>0.0583</v>
      </c>
      <c r="E91" s="7" t="n">
        <v>0.0411</v>
      </c>
      <c r="F91" s="8" t="inlineStr">
        <is>
          <t>Low</t>
        </is>
      </c>
      <c r="G91" s="8" t="inlineStr">
        <is>
          <t>Low</t>
        </is>
      </c>
      <c r="H91">
        <f>IF(F91=G91,"YES","NO")</f>
        <v/>
      </c>
    </row>
    <row r="92">
      <c r="A92" s="6" t="inlineStr">
        <is>
          <t>CUNNINGHAM BUSINESS SYSTEMS, LLC</t>
        </is>
      </c>
      <c r="B92" s="7" t="n">
        <v>5</v>
      </c>
      <c r="C92" s="7" t="n">
        <v>0</v>
      </c>
      <c r="D92" s="7" t="n">
        <v>0</v>
      </c>
      <c r="E92" s="7" t="n">
        <v>0</v>
      </c>
      <c r="F92" s="8" t="inlineStr">
        <is>
          <t>Low</t>
        </is>
      </c>
      <c r="G92" s="8" t="inlineStr">
        <is>
          <t>High</t>
        </is>
      </c>
      <c r="H92">
        <f>IF(F92=G92,"YES","NO")</f>
        <v/>
      </c>
    </row>
    <row r="93">
      <c r="A93" s="6" t="inlineStr">
        <is>
          <t>Corporate</t>
        </is>
      </c>
      <c r="B93" s="7" t="n">
        <v>8</v>
      </c>
      <c r="C93" s="7" t="n">
        <v>0</v>
      </c>
      <c r="D93" s="7" t="n">
        <v>0</v>
      </c>
      <c r="E93" s="7" t="n">
        <v>0</v>
      </c>
      <c r="F93" s="8" t="inlineStr">
        <is>
          <t>Low</t>
        </is>
      </c>
      <c r="G93" s="8" t="inlineStr">
        <is>
          <t>High</t>
        </is>
      </c>
      <c r="H93">
        <f>IF(F93=G93,"YES","NO")</f>
        <v/>
      </c>
    </row>
    <row r="94">
      <c r="A94" s="6" t="inlineStr">
        <is>
          <t>DBA A-1 COPIER SALES SERVICE &amp; SUPPLY, INC.</t>
        </is>
      </c>
      <c r="B94" s="7" t="n">
        <v>42</v>
      </c>
      <c r="C94" s="7" t="n">
        <v>1</v>
      </c>
      <c r="D94" s="7" t="n">
        <v>0.0238</v>
      </c>
      <c r="E94" s="7" t="n">
        <v>0.0042</v>
      </c>
      <c r="F94" s="8" t="inlineStr">
        <is>
          <t>Low</t>
        </is>
      </c>
      <c r="G94" s="8" t="inlineStr">
        <is>
          <t>Low</t>
        </is>
      </c>
      <c r="H94">
        <f>IF(F94=G94,"YES","NO")</f>
        <v/>
      </c>
    </row>
    <row r="95">
      <c r="A95" s="6" t="inlineStr">
        <is>
          <t>DBA ABADAN TRI-CITIES</t>
        </is>
      </c>
      <c r="B95" s="7" t="n">
        <v>851</v>
      </c>
      <c r="C95" s="7" t="n">
        <v>12</v>
      </c>
      <c r="D95" s="7" t="n">
        <v>0.0141</v>
      </c>
      <c r="E95" s="7" t="n">
        <v>0.0081</v>
      </c>
      <c r="F95" s="8" t="inlineStr">
        <is>
          <t>Low</t>
        </is>
      </c>
      <c r="G95" s="8" t="inlineStr">
        <is>
          <t>Low</t>
        </is>
      </c>
      <c r="H95">
        <f>IF(F95=G95,"YES","NO")</f>
        <v/>
      </c>
    </row>
    <row r="96">
      <c r="A96" s="6" t="inlineStr">
        <is>
          <t>DBA ADVANTAGE BUSINESS SYSTEMS</t>
        </is>
      </c>
      <c r="B96" s="7" t="n">
        <v>265</v>
      </c>
      <c r="C96" s="7" t="n">
        <v>0</v>
      </c>
      <c r="D96" s="7" t="n">
        <v>0</v>
      </c>
      <c r="E96" s="7" t="n">
        <v>0</v>
      </c>
      <c r="F96" s="8" t="inlineStr">
        <is>
          <t>Low</t>
        </is>
      </c>
      <c r="G96" s="8" t="inlineStr">
        <is>
          <t>Low</t>
        </is>
      </c>
      <c r="H96">
        <f>IF(F96=G96,"YES","NO")</f>
        <v/>
      </c>
    </row>
    <row r="97">
      <c r="A97" s="6" t="inlineStr">
        <is>
          <t>DBA AMERI-TEK</t>
        </is>
      </c>
      <c r="B97" s="7" t="n">
        <v>1414</v>
      </c>
      <c r="C97" s="7" t="n">
        <v>81</v>
      </c>
      <c r="D97" s="7" t="n">
        <v>0.0573</v>
      </c>
      <c r="E97" s="7" t="n">
        <v>0.0463</v>
      </c>
      <c r="F97" s="8" t="inlineStr">
        <is>
          <t>Low</t>
        </is>
      </c>
      <c r="G97" s="8" t="inlineStr">
        <is>
          <t>Low</t>
        </is>
      </c>
      <c r="H97">
        <f>IF(F97=G97,"YES","NO")</f>
        <v/>
      </c>
    </row>
    <row r="98">
      <c r="A98" s="6" t="inlineStr">
        <is>
          <t>DBA ATLANTIC TOMORROWS OFFICE</t>
        </is>
      </c>
      <c r="B98" s="7" t="n">
        <v>2678</v>
      </c>
      <c r="C98" s="7" t="n">
        <v>240</v>
      </c>
      <c r="D98" s="7" t="n">
        <v>0.0896</v>
      </c>
      <c r="E98" s="7" t="n">
        <v>0.0794</v>
      </c>
      <c r="F98" s="8" t="inlineStr">
        <is>
          <t>Low</t>
        </is>
      </c>
      <c r="G98" s="8" t="inlineStr">
        <is>
          <t>Low</t>
        </is>
      </c>
      <c r="H98">
        <f>IF(F98=G98,"YES","NO")</f>
        <v/>
      </c>
    </row>
    <row r="99">
      <c r="A99" s="6" t="inlineStr">
        <is>
          <t>DBA AXION BUSINESS TECHNOLOGIES</t>
        </is>
      </c>
      <c r="B99" s="7" t="n">
        <v>86</v>
      </c>
      <c r="C99" s="7" t="n">
        <v>10</v>
      </c>
      <c r="D99" s="7" t="n">
        <v>0.1163</v>
      </c>
      <c r="E99" s="7" t="n">
        <v>0.0644</v>
      </c>
      <c r="F99" s="8" t="inlineStr">
        <is>
          <t>Low</t>
        </is>
      </c>
      <c r="G99" s="8" t="inlineStr">
        <is>
          <t>High</t>
        </is>
      </c>
      <c r="H99">
        <f>IF(F99=G99,"YES","NO")</f>
        <v/>
      </c>
    </row>
    <row r="100">
      <c r="A100" s="6" t="inlineStr">
        <is>
          <t>DBA AXIS BUSINESS TECHNOLOGIES</t>
        </is>
      </c>
      <c r="B100" s="7" t="n">
        <v>142</v>
      </c>
      <c r="C100" s="7" t="n">
        <v>5</v>
      </c>
      <c r="D100" s="7" t="n">
        <v>0.0352</v>
      </c>
      <c r="E100" s="7" t="n">
        <v>0.0151</v>
      </c>
      <c r="F100" s="8" t="inlineStr">
        <is>
          <t>Low</t>
        </is>
      </c>
      <c r="G100" s="8" t="inlineStr">
        <is>
          <t>Low</t>
        </is>
      </c>
      <c r="H100">
        <f>IF(F100=G100,"YES","NO")</f>
        <v/>
      </c>
    </row>
    <row r="101">
      <c r="A101" s="6" t="inlineStr">
        <is>
          <t>DBA BUDGET DOCUMENT TECHNOLOGY</t>
        </is>
      </c>
      <c r="B101" s="7" t="n">
        <v>1210</v>
      </c>
      <c r="C101" s="7" t="n">
        <v>19</v>
      </c>
      <c r="D101" s="7" t="n">
        <v>0.0157</v>
      </c>
      <c r="E101" s="7" t="n">
        <v>0.0101</v>
      </c>
      <c r="F101" s="8" t="inlineStr">
        <is>
          <t>Low</t>
        </is>
      </c>
      <c r="G101" s="8" t="inlineStr">
        <is>
          <t>Low</t>
        </is>
      </c>
      <c r="H101">
        <f>IF(F101=G101,"YES","NO")</f>
        <v/>
      </c>
    </row>
    <row r="102">
      <c r="A102" s="6" t="inlineStr">
        <is>
          <t>DBA CALTRONICS NATIONAL</t>
        </is>
      </c>
      <c r="B102" s="7" t="n">
        <v>46</v>
      </c>
      <c r="C102" s="7" t="n">
        <v>0</v>
      </c>
      <c r="D102" s="7" t="n">
        <v>0</v>
      </c>
      <c r="E102" s="7" t="n">
        <v>0</v>
      </c>
      <c r="F102" s="8" t="inlineStr">
        <is>
          <t>Low</t>
        </is>
      </c>
      <c r="G102" s="8" t="inlineStr">
        <is>
          <t>Low</t>
        </is>
      </c>
      <c r="H102">
        <f>IF(F102=G102,"YES","NO")</f>
        <v/>
      </c>
    </row>
    <row r="103">
      <c r="A103" s="6" t="inlineStr">
        <is>
          <t>DBA CDS OFFICE TECHNOLOGIES, INC.</t>
        </is>
      </c>
      <c r="B103" s="7" t="n">
        <v>572</v>
      </c>
      <c r="C103" s="7" t="n">
        <v>22</v>
      </c>
      <c r="D103" s="7" t="n">
        <v>0.0385</v>
      </c>
      <c r="E103" s="7" t="n">
        <v>0.0255</v>
      </c>
      <c r="F103" s="8" t="inlineStr">
        <is>
          <t>Low</t>
        </is>
      </c>
      <c r="G103" s="8" t="inlineStr">
        <is>
          <t>Low</t>
        </is>
      </c>
      <c r="H103">
        <f>IF(F103=G103,"YES","NO")</f>
        <v/>
      </c>
    </row>
    <row r="104">
      <c r="A104" s="6" t="inlineStr">
        <is>
          <t>DBA COBB OFFICE TECHNOLOGIES</t>
        </is>
      </c>
      <c r="B104" s="7" t="n">
        <v>599</v>
      </c>
      <c r="C104" s="7" t="n">
        <v>6</v>
      </c>
      <c r="D104" s="7" t="n">
        <v>0.01</v>
      </c>
      <c r="E104" s="7" t="n">
        <v>0.0046</v>
      </c>
      <c r="F104" s="8" t="inlineStr">
        <is>
          <t>Low</t>
        </is>
      </c>
      <c r="G104" s="8" t="inlineStr">
        <is>
          <t>Low</t>
        </is>
      </c>
      <c r="H104">
        <f>IF(F104=G104,"YES","NO")</f>
        <v/>
      </c>
    </row>
    <row r="105">
      <c r="A105" s="6" t="inlineStr">
        <is>
          <t>DBA COECO OFFICE SYSTEMS, INC.</t>
        </is>
      </c>
      <c r="B105" s="7" t="n">
        <v>4</v>
      </c>
      <c r="C105" s="7" t="n">
        <v>0</v>
      </c>
      <c r="D105" s="7" t="n">
        <v>0</v>
      </c>
      <c r="E105" s="7" t="n">
        <v>0</v>
      </c>
      <c r="F105" s="8" t="inlineStr">
        <is>
          <t>Low</t>
        </is>
      </c>
      <c r="G105" s="8" t="inlineStr">
        <is>
          <t>Low</t>
        </is>
      </c>
      <c r="H105">
        <f>IF(F105=G105,"YES","NO")</f>
        <v/>
      </c>
    </row>
    <row r="106">
      <c r="A106" s="6" t="inlineStr">
        <is>
          <t>DBA COMMONWEALTH DIGITAL OFFICE SOLUTIONS</t>
        </is>
      </c>
      <c r="B106" s="7" t="n">
        <v>512</v>
      </c>
      <c r="C106" s="7" t="n">
        <v>19</v>
      </c>
      <c r="D106" s="7" t="n">
        <v>0.0371</v>
      </c>
      <c r="E106" s="7" t="n">
        <v>0.0239</v>
      </c>
      <c r="F106" s="8" t="inlineStr">
        <is>
          <t>Low</t>
        </is>
      </c>
      <c r="G106" s="8" t="inlineStr">
        <is>
          <t>Low</t>
        </is>
      </c>
      <c r="H106">
        <f>IF(F106=G106,"YES","NO")</f>
        <v/>
      </c>
    </row>
    <row r="107">
      <c r="A107" s="6" t="inlineStr">
        <is>
          <t>DBA CONSOLIDATED PRINTING AND STATIONERY</t>
        </is>
      </c>
      <c r="B107" s="7" t="n">
        <v>29</v>
      </c>
      <c r="C107" s="7" t="n">
        <v>0</v>
      </c>
      <c r="D107" s="7" t="n">
        <v>0</v>
      </c>
      <c r="E107" s="7" t="n">
        <v>0</v>
      </c>
      <c r="F107" s="8" t="inlineStr">
        <is>
          <t>Low</t>
        </is>
      </c>
      <c r="G107" s="8" t="inlineStr">
        <is>
          <t>Low</t>
        </is>
      </c>
      <c r="H107">
        <f>IF(F107=G107,"YES","NO")</f>
        <v/>
      </c>
    </row>
    <row r="108">
      <c r="A108" s="6" t="inlineStr">
        <is>
          <t>DBA CONWAY OFFICE PRODUCTS</t>
        </is>
      </c>
      <c r="B108" s="7" t="n">
        <v>504</v>
      </c>
      <c r="C108" s="7" t="n">
        <v>5</v>
      </c>
      <c r="D108" s="7" t="n">
        <v>0.009900000000000001</v>
      </c>
      <c r="E108" s="7" t="n">
        <v>0.0042</v>
      </c>
      <c r="F108" s="8" t="inlineStr">
        <is>
          <t>Low</t>
        </is>
      </c>
      <c r="G108" s="8" t="inlineStr">
        <is>
          <t>Low</t>
        </is>
      </c>
      <c r="H108">
        <f>IF(F108=G108,"YES","NO")</f>
        <v/>
      </c>
    </row>
    <row r="109">
      <c r="A109" s="6" t="inlineStr">
        <is>
          <t>DBA CTWP</t>
        </is>
      </c>
      <c r="B109" s="7" t="n">
        <v>675</v>
      </c>
      <c r="C109" s="7" t="n">
        <v>18</v>
      </c>
      <c r="D109" s="7" t="n">
        <v>0.0267</v>
      </c>
      <c r="E109" s="7" t="n">
        <v>0.0169</v>
      </c>
      <c r="F109" s="8" t="inlineStr">
        <is>
          <t>Low</t>
        </is>
      </c>
      <c r="G109" s="8" t="inlineStr">
        <is>
          <t>Low</t>
        </is>
      </c>
      <c r="H109">
        <f>IF(F109=G109,"YES","NO")</f>
        <v/>
      </c>
    </row>
    <row r="110">
      <c r="A110" s="6" t="inlineStr">
        <is>
          <t>DBA DATAMAX LITTLE ROCK</t>
        </is>
      </c>
      <c r="B110" s="7" t="n">
        <v>596</v>
      </c>
      <c r="C110" s="7" t="n">
        <v>23</v>
      </c>
      <c r="D110" s="7" t="n">
        <v>0.0386</v>
      </c>
      <c r="E110" s="7" t="n">
        <v>0.0259</v>
      </c>
      <c r="F110" s="8" t="inlineStr">
        <is>
          <t>Low</t>
        </is>
      </c>
      <c r="G110" s="8" t="inlineStr">
        <is>
          <t>Low</t>
        </is>
      </c>
      <c r="H110">
        <f>IF(F110=G110,"YES","NO")</f>
        <v/>
      </c>
    </row>
    <row r="111">
      <c r="A111" s="6" t="inlineStr">
        <is>
          <t>DBA DCA IMAGING SYSTEMS</t>
        </is>
      </c>
      <c r="B111" s="7" t="n">
        <v>6</v>
      </c>
      <c r="C111" s="7" t="n">
        <v>0</v>
      </c>
      <c r="D111" s="7" t="n">
        <v>0</v>
      </c>
      <c r="E111" s="7" t="n">
        <v>0</v>
      </c>
      <c r="F111" s="8" t="inlineStr">
        <is>
          <t>Low</t>
        </is>
      </c>
      <c r="G111" s="8" t="inlineStr">
        <is>
          <t>Low</t>
        </is>
      </c>
      <c r="H111">
        <f>IF(F111=G111,"YES","NO")</f>
        <v/>
      </c>
    </row>
    <row r="112">
      <c r="A112" s="6" t="inlineStr">
        <is>
          <t>DBA DRP SOLUTIONS</t>
        </is>
      </c>
      <c r="B112" s="7" t="n">
        <v>879</v>
      </c>
      <c r="C112" s="7" t="n">
        <v>66</v>
      </c>
      <c r="D112" s="7" t="n">
        <v>0.0751</v>
      </c>
      <c r="E112" s="7" t="n">
        <v>0.0595</v>
      </c>
      <c r="F112" s="8" t="inlineStr">
        <is>
          <t>Low</t>
        </is>
      </c>
      <c r="G112" s="8" t="inlineStr">
        <is>
          <t>Low</t>
        </is>
      </c>
      <c r="H112">
        <f>IF(F112=G112,"YES","NO")</f>
        <v/>
      </c>
    </row>
    <row r="113">
      <c r="A113" s="6" t="inlineStr">
        <is>
          <t>DBA EASTERN MANAGED PRINT NETWORK</t>
        </is>
      </c>
      <c r="B113" s="7" t="n">
        <v>3</v>
      </c>
      <c r="C113" s="7" t="n">
        <v>1</v>
      </c>
      <c r="D113" s="7" t="n">
        <v>0.3333</v>
      </c>
      <c r="E113" s="7" t="n">
        <v>0.0615</v>
      </c>
      <c r="F113" s="8" t="inlineStr">
        <is>
          <t>Low</t>
        </is>
      </c>
      <c r="G113" s="8" t="inlineStr">
        <is>
          <t>Medium</t>
        </is>
      </c>
      <c r="H113">
        <f>IF(F113=G113,"YES","NO")</f>
        <v/>
      </c>
    </row>
    <row r="114">
      <c r="A114" s="6" t="inlineStr">
        <is>
          <t>DBA FISHER'S TECHNOLOGY</t>
        </is>
      </c>
      <c r="B114" s="7" t="n">
        <v>2387</v>
      </c>
      <c r="C114" s="7" t="n">
        <v>103</v>
      </c>
      <c r="D114" s="7" t="n">
        <v>0.0432</v>
      </c>
      <c r="E114" s="7" t="n">
        <v>0.0357</v>
      </c>
      <c r="F114" s="8" t="inlineStr">
        <is>
          <t>Low</t>
        </is>
      </c>
      <c r="G114" s="8" t="inlineStr">
        <is>
          <t>Low</t>
        </is>
      </c>
      <c r="H114">
        <f>IF(F114=G114,"YES","NO")</f>
        <v/>
      </c>
    </row>
    <row r="115">
      <c r="A115" s="6" t="inlineStr">
        <is>
          <t>DBA FLEXTG - IRVINE</t>
        </is>
      </c>
      <c r="B115" s="7" t="n">
        <v>169</v>
      </c>
      <c r="C115" s="7" t="n">
        <v>10</v>
      </c>
      <c r="D115" s="7" t="n">
        <v>0.0592</v>
      </c>
      <c r="E115" s="7" t="n">
        <v>0.0325</v>
      </c>
      <c r="F115" s="8" t="inlineStr">
        <is>
          <t>Low</t>
        </is>
      </c>
      <c r="G115" s="8" t="inlineStr">
        <is>
          <t>Low</t>
        </is>
      </c>
      <c r="H115">
        <f>IF(F115=G115,"YES","NO")</f>
        <v/>
      </c>
    </row>
    <row r="116">
      <c r="A116" s="6" t="inlineStr">
        <is>
          <t>DBA FUNCTION4</t>
        </is>
      </c>
      <c r="B116" s="7" t="n">
        <v>1439</v>
      </c>
      <c r="C116" s="7" t="n">
        <v>179</v>
      </c>
      <c r="D116" s="7" t="n">
        <v>0.1244</v>
      </c>
      <c r="E116" s="7" t="n">
        <v>0.1083</v>
      </c>
      <c r="F116" s="8" t="inlineStr">
        <is>
          <t>Low</t>
        </is>
      </c>
      <c r="G116" s="8" t="inlineStr">
        <is>
          <t>Low</t>
        </is>
      </c>
      <c r="H116">
        <f>IF(F116=G116,"YES","NO")</f>
        <v/>
      </c>
    </row>
    <row r="117">
      <c r="A117" s="6" t="inlineStr">
        <is>
          <t>DBA GOBIN'S</t>
        </is>
      </c>
      <c r="B117" s="7" t="n">
        <v>173</v>
      </c>
      <c r="C117" s="7" t="n">
        <v>9</v>
      </c>
      <c r="D117" s="7" t="n">
        <v>0.052</v>
      </c>
      <c r="E117" s="7" t="n">
        <v>0.0276</v>
      </c>
      <c r="F117" s="8" t="inlineStr">
        <is>
          <t>Low</t>
        </is>
      </c>
      <c r="G117" s="8" t="inlineStr">
        <is>
          <t>Low</t>
        </is>
      </c>
      <c r="H117">
        <f>IF(F117=G117,"YES","NO")</f>
        <v/>
      </c>
    </row>
    <row r="118">
      <c r="A118" s="6" t="inlineStr">
        <is>
          <t>DBA GOLD COAST TECHNOLOGIES</t>
        </is>
      </c>
      <c r="B118" s="7" t="n">
        <v>114</v>
      </c>
      <c r="C118" s="7" t="n">
        <v>4</v>
      </c>
      <c r="D118" s="7" t="n">
        <v>0.0351</v>
      </c>
      <c r="E118" s="7" t="n">
        <v>0.0137</v>
      </c>
      <c r="F118" s="8" t="inlineStr">
        <is>
          <t>Low</t>
        </is>
      </c>
      <c r="G118" s="8" t="inlineStr">
        <is>
          <t>Low</t>
        </is>
      </c>
      <c r="H118">
        <f>IF(F118=G118,"YES","NO")</f>
        <v/>
      </c>
    </row>
    <row r="119">
      <c r="A119" s="6" t="inlineStr">
        <is>
          <t>DBA GOODSUITE</t>
        </is>
      </c>
      <c r="B119" s="7" t="n">
        <v>2</v>
      </c>
      <c r="C119" s="7" t="n">
        <v>0</v>
      </c>
      <c r="D119" s="7" t="n">
        <v>0</v>
      </c>
      <c r="E119" s="7" t="n">
        <v>0</v>
      </c>
      <c r="F119" s="8" t="inlineStr">
        <is>
          <t>Low</t>
        </is>
      </c>
      <c r="G119" s="8" t="inlineStr">
        <is>
          <t>Low</t>
        </is>
      </c>
      <c r="H119">
        <f>IF(F119=G119,"YES","NO")</f>
        <v/>
      </c>
    </row>
    <row r="120">
      <c r="A120" s="6" t="inlineStr">
        <is>
          <t>DBA GRAPHIC ENTERPRISES OFFICE SOLUTIONS</t>
        </is>
      </c>
      <c r="B120" s="7" t="n">
        <v>1279</v>
      </c>
      <c r="C120" s="7" t="n">
        <v>99</v>
      </c>
      <c r="D120" s="7" t="n">
        <v>0.0774</v>
      </c>
      <c r="E120" s="7" t="n">
        <v>0.064</v>
      </c>
      <c r="F120" s="8" t="inlineStr">
        <is>
          <t>Low</t>
        </is>
      </c>
      <c r="G120" s="8" t="inlineStr">
        <is>
          <t>Low</t>
        </is>
      </c>
      <c r="H120">
        <f>IF(F120=G120,"YES","NO")</f>
        <v/>
      </c>
    </row>
    <row r="121">
      <c r="A121" s="6" t="inlineStr">
        <is>
          <t>DBA HARRIS BUSINESS MACHINES</t>
        </is>
      </c>
      <c r="B121" s="7" t="n">
        <v>20</v>
      </c>
      <c r="C121" s="7" t="n">
        <v>1</v>
      </c>
      <c r="D121" s="7" t="n">
        <v>0.05</v>
      </c>
      <c r="E121" s="7" t="n">
        <v>0.0089</v>
      </c>
      <c r="F121" s="8" t="inlineStr">
        <is>
          <t>Low</t>
        </is>
      </c>
      <c r="G121" s="8" t="inlineStr">
        <is>
          <t>Low</t>
        </is>
      </c>
      <c r="H121">
        <f>IF(F121=G121,"YES","NO")</f>
        <v/>
      </c>
    </row>
    <row r="122">
      <c r="A122" s="6" t="inlineStr">
        <is>
          <t>DBA IBE DIGITAL</t>
        </is>
      </c>
      <c r="B122" s="7" t="n">
        <v>24</v>
      </c>
      <c r="C122" s="7" t="n">
        <v>0</v>
      </c>
      <c r="D122" s="7" t="n">
        <v>0</v>
      </c>
      <c r="E122" s="7" t="n">
        <v>0</v>
      </c>
      <c r="F122" s="8" t="inlineStr">
        <is>
          <t>Low</t>
        </is>
      </c>
      <c r="G122" s="8" t="inlineStr">
        <is>
          <t>Low</t>
        </is>
      </c>
      <c r="H122">
        <f>IF(F122=G122,"YES","NO")</f>
        <v/>
      </c>
    </row>
    <row r="123">
      <c r="A123" s="6" t="inlineStr">
        <is>
          <t>DBA INTEGRATED BUSINESS SOLUTIONS OF HAWAII</t>
        </is>
      </c>
      <c r="B123" s="7" t="n">
        <v>1084</v>
      </c>
      <c r="C123" s="7" t="n">
        <v>117</v>
      </c>
      <c r="D123" s="7" t="n">
        <v>0.1079</v>
      </c>
      <c r="E123" s="7" t="n">
        <v>0.09080000000000001</v>
      </c>
      <c r="F123" s="8" t="inlineStr">
        <is>
          <t>Low</t>
        </is>
      </c>
      <c r="G123" s="8" t="inlineStr">
        <is>
          <t>Low</t>
        </is>
      </c>
      <c r="H123">
        <f>IF(F123=G123,"YES","NO")</f>
        <v/>
      </c>
    </row>
    <row r="124">
      <c r="A124" s="6" t="inlineStr">
        <is>
          <t>DBA INTERSTATE COPY</t>
        </is>
      </c>
      <c r="B124" s="7" t="n">
        <v>52</v>
      </c>
      <c r="C124" s="7" t="n">
        <v>1</v>
      </c>
      <c r="D124" s="7" t="n">
        <v>0.0192</v>
      </c>
      <c r="E124" s="7" t="n">
        <v>0.0034</v>
      </c>
      <c r="F124" s="8" t="inlineStr">
        <is>
          <t>Low</t>
        </is>
      </c>
      <c r="G124" s="8" t="inlineStr">
        <is>
          <t>Low</t>
        </is>
      </c>
      <c r="H124">
        <f>IF(F124=G124,"YES","NO")</f>
        <v/>
      </c>
    </row>
    <row r="125">
      <c r="A125" s="6" t="inlineStr">
        <is>
          <t>DBA IOTEC</t>
        </is>
      </c>
      <c r="B125" s="7" t="n">
        <v>131</v>
      </c>
      <c r="C125" s="7" t="n">
        <v>14</v>
      </c>
      <c r="D125" s="7" t="n">
        <v>0.1069</v>
      </c>
      <c r="E125" s="7" t="n">
        <v>0.06469999999999999</v>
      </c>
      <c r="F125" s="8" t="inlineStr">
        <is>
          <t>Low</t>
        </is>
      </c>
      <c r="G125" s="8" t="inlineStr">
        <is>
          <t>Low</t>
        </is>
      </c>
      <c r="H125">
        <f>IF(F125=G125,"YES","NO")</f>
        <v/>
      </c>
    </row>
    <row r="126">
      <c r="A126" s="6" t="inlineStr">
        <is>
          <t>DBA KENMARK OFFICE SYSTEMS, INC.</t>
        </is>
      </c>
      <c r="B126" s="7" t="n">
        <v>10</v>
      </c>
      <c r="C126" s="7" t="n">
        <v>0</v>
      </c>
      <c r="D126" s="7" t="n">
        <v>0</v>
      </c>
      <c r="E126" s="7" t="n">
        <v>0</v>
      </c>
      <c r="F126" s="8" t="inlineStr">
        <is>
          <t>Low</t>
        </is>
      </c>
      <c r="G126" s="8" t="inlineStr">
        <is>
          <t>Low</t>
        </is>
      </c>
      <c r="H126">
        <f>IF(F126=G126,"YES","NO")</f>
        <v/>
      </c>
    </row>
    <row r="127">
      <c r="A127" s="6" t="inlineStr">
        <is>
          <t>DBA LA CARTOUCHERIE</t>
        </is>
      </c>
      <c r="B127" s="7" t="n">
        <v>3</v>
      </c>
      <c r="C127" s="7" t="n">
        <v>0</v>
      </c>
      <c r="D127" s="7" t="n">
        <v>0</v>
      </c>
      <c r="E127" s="7" t="n">
        <v>0</v>
      </c>
      <c r="F127" s="8" t="inlineStr">
        <is>
          <t>Low</t>
        </is>
      </c>
      <c r="G127" s="8" t="inlineStr">
        <is>
          <t>Low</t>
        </is>
      </c>
      <c r="H127">
        <f>IF(F127=G127,"YES","NO")</f>
        <v/>
      </c>
    </row>
    <row r="128">
      <c r="A128" s="6" t="inlineStr">
        <is>
          <t>DBA LINEAGE</t>
        </is>
      </c>
      <c r="B128" s="7" t="n">
        <v>1037</v>
      </c>
      <c r="C128" s="7" t="n">
        <v>7</v>
      </c>
      <c r="D128" s="7" t="n">
        <v>0.0068</v>
      </c>
      <c r="E128" s="7" t="n">
        <v>0.0033</v>
      </c>
      <c r="F128" s="8" t="inlineStr">
        <is>
          <t>Low</t>
        </is>
      </c>
      <c r="G128" s="8" t="inlineStr">
        <is>
          <t>Low</t>
        </is>
      </c>
      <c r="H128">
        <f>IF(F128=G128,"YES","NO")</f>
        <v/>
      </c>
    </row>
    <row r="129">
      <c r="A129" s="6" t="inlineStr">
        <is>
          <t>DBA MBS BUSINESS SYSTEMS</t>
        </is>
      </c>
      <c r="B129" s="7" t="n">
        <v>819</v>
      </c>
      <c r="C129" s="7" t="n">
        <v>70</v>
      </c>
      <c r="D129" s="7" t="n">
        <v>0.08550000000000001</v>
      </c>
      <c r="E129" s="7" t="n">
        <v>0.0682</v>
      </c>
      <c r="F129" s="8" t="inlineStr">
        <is>
          <t>Low</t>
        </is>
      </c>
      <c r="G129" s="8" t="inlineStr">
        <is>
          <t>Low</t>
        </is>
      </c>
      <c r="H129">
        <f>IF(F129=G129,"YES","NO")</f>
        <v/>
      </c>
    </row>
    <row r="130">
      <c r="A130" s="6" t="inlineStr">
        <is>
          <t>DBA MCM BUSINESS SYSTEMS</t>
        </is>
      </c>
      <c r="B130" s="7" t="n">
        <v>3</v>
      </c>
      <c r="C130" s="7" t="n">
        <v>0</v>
      </c>
      <c r="D130" s="7" t="n">
        <v>0</v>
      </c>
      <c r="E130" s="7" t="n">
        <v>0</v>
      </c>
      <c r="F130" s="8" t="inlineStr">
        <is>
          <t>Low</t>
        </is>
      </c>
      <c r="G130" s="8" t="inlineStr">
        <is>
          <t>Low</t>
        </is>
      </c>
      <c r="H130">
        <f>IF(F130=G130,"YES","NO")</f>
        <v/>
      </c>
    </row>
    <row r="131">
      <c r="A131" s="6" t="inlineStr">
        <is>
          <t>DBA MMIT BUSINESS SOLUTIONS GROUP</t>
        </is>
      </c>
      <c r="B131" s="7" t="n">
        <v>227</v>
      </c>
      <c r="C131" s="7" t="n">
        <v>16</v>
      </c>
      <c r="D131" s="7" t="n">
        <v>0.07049999999999999</v>
      </c>
      <c r="E131" s="7" t="n">
        <v>0.0438</v>
      </c>
      <c r="F131" s="8" t="inlineStr">
        <is>
          <t>Low</t>
        </is>
      </c>
      <c r="G131" s="8" t="inlineStr">
        <is>
          <t>Low</t>
        </is>
      </c>
      <c r="H131">
        <f>IF(F131=G131,"YES","NO")</f>
        <v/>
      </c>
    </row>
    <row r="132">
      <c r="A132" s="6" t="inlineStr">
        <is>
          <t>DBA NATIONAL BUSINESS SOLUTIONS</t>
        </is>
      </c>
      <c r="B132" s="7" t="n">
        <v>559</v>
      </c>
      <c r="C132" s="7" t="n">
        <v>44</v>
      </c>
      <c r="D132" s="7" t="n">
        <v>0.07870000000000001</v>
      </c>
      <c r="E132" s="7" t="n">
        <v>0.0592</v>
      </c>
      <c r="F132" s="8" t="inlineStr">
        <is>
          <t>Low</t>
        </is>
      </c>
      <c r="G132" s="8" t="inlineStr">
        <is>
          <t>Low</t>
        </is>
      </c>
      <c r="H132">
        <f>IF(F132=G132,"YES","NO")</f>
        <v/>
      </c>
    </row>
    <row r="133">
      <c r="A133" s="6" t="inlineStr">
        <is>
          <t>DBA OFFICE CONCEPTS</t>
        </is>
      </c>
      <c r="B133" s="7" t="n">
        <v>140</v>
      </c>
      <c r="C133" s="7" t="n">
        <v>2</v>
      </c>
      <c r="D133" s="7" t="n">
        <v>0.0143</v>
      </c>
      <c r="E133" s="7" t="n">
        <v>0.0039</v>
      </c>
      <c r="F133" s="8" t="inlineStr">
        <is>
          <t>Low</t>
        </is>
      </c>
      <c r="G133" s="8" t="inlineStr">
        <is>
          <t>Low</t>
        </is>
      </c>
      <c r="H133">
        <f>IF(F133=G133,"YES","NO")</f>
        <v/>
      </c>
    </row>
    <row r="134">
      <c r="A134" s="6" t="inlineStr">
        <is>
          <t>DBA OFFICE PLUS SOLUTIONS &amp; SUPPLY</t>
        </is>
      </c>
      <c r="B134" s="7" t="n">
        <v>3</v>
      </c>
      <c r="C134" s="7" t="n">
        <v>0</v>
      </c>
      <c r="D134" s="7" t="n">
        <v>0</v>
      </c>
      <c r="E134" s="7" t="n">
        <v>0</v>
      </c>
      <c r="F134" s="8" t="inlineStr">
        <is>
          <t>Low</t>
        </is>
      </c>
      <c r="G134" s="8" t="inlineStr">
        <is>
          <t>Low</t>
        </is>
      </c>
      <c r="H134">
        <f>IF(F134=G134,"YES","NO")</f>
        <v/>
      </c>
    </row>
    <row r="135">
      <c r="A135" s="6" t="inlineStr">
        <is>
          <t>DBA OSI</t>
        </is>
      </c>
      <c r="B135" s="7" t="n">
        <v>12</v>
      </c>
      <c r="C135" s="7" t="n">
        <v>0</v>
      </c>
      <c r="D135" s="7" t="n">
        <v>0</v>
      </c>
      <c r="E135" s="7" t="n">
        <v>0</v>
      </c>
      <c r="F135" s="8" t="inlineStr">
        <is>
          <t>Low</t>
        </is>
      </c>
      <c r="G135" s="8" t="inlineStr">
        <is>
          <t>Low</t>
        </is>
      </c>
      <c r="H135">
        <f>IF(F135=G135,"YES","NO")</f>
        <v/>
      </c>
    </row>
    <row r="136">
      <c r="A136" s="6" t="inlineStr">
        <is>
          <t>DBA PEARSON-KELLY TECHNOLOGY</t>
        </is>
      </c>
      <c r="B136" s="7" t="n">
        <v>313</v>
      </c>
      <c r="C136" s="7" t="n">
        <v>24</v>
      </c>
      <c r="D136" s="7" t="n">
        <v>0.0767</v>
      </c>
      <c r="E136" s="7" t="n">
        <v>0.0521</v>
      </c>
      <c r="F136" s="8" t="inlineStr">
        <is>
          <t>Low</t>
        </is>
      </c>
      <c r="G136" s="8" t="inlineStr">
        <is>
          <t>Low</t>
        </is>
      </c>
      <c r="H136">
        <f>IF(F136=G136,"YES","NO")</f>
        <v/>
      </c>
    </row>
    <row r="137">
      <c r="A137" s="6" t="inlineStr">
        <is>
          <t>DBA POYNTERS BUSINESS SOLUTIONS</t>
        </is>
      </c>
      <c r="B137" s="7" t="n">
        <v>18</v>
      </c>
      <c r="C137" s="7" t="n">
        <v>0</v>
      </c>
      <c r="D137" s="7" t="n">
        <v>0</v>
      </c>
      <c r="E137" s="7" t="n">
        <v>0</v>
      </c>
      <c r="F137" s="8" t="inlineStr">
        <is>
          <t>Low</t>
        </is>
      </c>
      <c r="G137" s="8" t="inlineStr">
        <is>
          <t>Low</t>
        </is>
      </c>
      <c r="H137">
        <f>IF(F137=G137,"YES","NO")</f>
        <v/>
      </c>
    </row>
    <row r="138">
      <c r="A138" s="6" t="inlineStr">
        <is>
          <t>DBA PRIMEIMAGE TECHNOLOGIES</t>
        </is>
      </c>
      <c r="B138" s="7" t="n">
        <v>27</v>
      </c>
      <c r="C138" s="7" t="n">
        <v>0</v>
      </c>
      <c r="D138" s="7" t="n">
        <v>0</v>
      </c>
      <c r="E138" s="7" t="n">
        <v>0</v>
      </c>
      <c r="F138" s="8" t="inlineStr">
        <is>
          <t>Low</t>
        </is>
      </c>
      <c r="G138" s="8" t="inlineStr">
        <is>
          <t>Low</t>
        </is>
      </c>
      <c r="H138">
        <f>IF(F138=G138,"YES","NO")</f>
        <v/>
      </c>
    </row>
    <row r="139">
      <c r="A139" s="6" t="inlineStr">
        <is>
          <t>DBA PRODUCTION PRINT SOLUTIONS</t>
        </is>
      </c>
      <c r="B139" s="7" t="n">
        <v>9</v>
      </c>
      <c r="C139" s="7" t="n">
        <v>0</v>
      </c>
      <c r="D139" s="7" t="n">
        <v>0</v>
      </c>
      <c r="E139" s="7" t="n">
        <v>0</v>
      </c>
      <c r="F139" s="8" t="inlineStr">
        <is>
          <t>Low</t>
        </is>
      </c>
      <c r="G139" s="8" t="inlineStr">
        <is>
          <t>Low</t>
        </is>
      </c>
      <c r="H139">
        <f>IF(F139=G139,"YES","NO")</f>
        <v/>
      </c>
    </row>
    <row r="140">
      <c r="A140" s="6" t="inlineStr">
        <is>
          <t>DBA PSK DOCUMENT SOLUTIONS</t>
        </is>
      </c>
      <c r="B140" s="7" t="n">
        <v>17</v>
      </c>
      <c r="C140" s="7" t="n">
        <v>0</v>
      </c>
      <c r="D140" s="7" t="n">
        <v>0</v>
      </c>
      <c r="E140" s="7" t="n">
        <v>0</v>
      </c>
      <c r="F140" s="8" t="inlineStr">
        <is>
          <t>Low</t>
        </is>
      </c>
      <c r="G140" s="8" t="inlineStr">
        <is>
          <t>Low</t>
        </is>
      </c>
      <c r="H140">
        <f>IF(F140=G140,"YES","NO")</f>
        <v/>
      </c>
    </row>
    <row r="141">
      <c r="A141" s="6" t="inlineStr">
        <is>
          <t>DBA SHORE BUSINESS SOLUTIONS</t>
        </is>
      </c>
      <c r="B141" s="7" t="n">
        <v>103</v>
      </c>
      <c r="C141" s="7" t="n">
        <v>9</v>
      </c>
      <c r="D141" s="7" t="n">
        <v>0.08740000000000001</v>
      </c>
      <c r="E141" s="7" t="n">
        <v>0.0467</v>
      </c>
      <c r="F141" s="8" t="inlineStr">
        <is>
          <t>Low</t>
        </is>
      </c>
      <c r="G141" s="8" t="inlineStr">
        <is>
          <t>Low</t>
        </is>
      </c>
      <c r="H141">
        <f>IF(F141=G141,"YES","NO")</f>
        <v/>
      </c>
    </row>
    <row r="142">
      <c r="A142" s="6" t="inlineStr">
        <is>
          <t>DBA SOS SUPERIOR OFFICE SYSTEMS</t>
        </is>
      </c>
      <c r="B142" s="7" t="n">
        <v>102</v>
      </c>
      <c r="C142" s="7" t="n">
        <v>2</v>
      </c>
      <c r="D142" s="7" t="n">
        <v>0.0196</v>
      </c>
      <c r="E142" s="7" t="n">
        <v>0.0054</v>
      </c>
      <c r="F142" s="8" t="inlineStr">
        <is>
          <t>Low</t>
        </is>
      </c>
      <c r="G142" s="8" t="inlineStr">
        <is>
          <t>Low</t>
        </is>
      </c>
      <c r="H142">
        <f>IF(F142=G142,"YES","NO")</f>
        <v/>
      </c>
    </row>
    <row r="143">
      <c r="A143" s="6" t="inlineStr">
        <is>
          <t>DBA SUPERIOR DOCUMENT SOLUTIONS</t>
        </is>
      </c>
      <c r="B143" s="7" t="n">
        <v>798</v>
      </c>
      <c r="C143" s="7" t="n">
        <v>15</v>
      </c>
      <c r="D143" s="7" t="n">
        <v>0.0188</v>
      </c>
      <c r="E143" s="7" t="n">
        <v>0.0114</v>
      </c>
      <c r="F143" s="8" t="inlineStr">
        <is>
          <t>Low</t>
        </is>
      </c>
      <c r="G143" s="8" t="inlineStr">
        <is>
          <t>Low</t>
        </is>
      </c>
      <c r="H143">
        <f>IF(F143=G143,"YES","NO")</f>
        <v/>
      </c>
    </row>
    <row r="144">
      <c r="A144" s="6" t="inlineStr">
        <is>
          <t>DBA TOPP BUSINESS SOLUTIONS</t>
        </is>
      </c>
      <c r="B144" s="7" t="n">
        <v>320</v>
      </c>
      <c r="C144" s="7" t="n">
        <v>31</v>
      </c>
      <c r="D144" s="7" t="n">
        <v>0.0969</v>
      </c>
      <c r="E144" s="7" t="n">
        <v>0.06909999999999999</v>
      </c>
      <c r="F144" s="8" t="inlineStr">
        <is>
          <t>Low</t>
        </is>
      </c>
      <c r="G144" s="8" t="inlineStr">
        <is>
          <t>Low</t>
        </is>
      </c>
      <c r="H144">
        <f>IF(F144=G144,"YES","NO")</f>
        <v/>
      </c>
    </row>
    <row r="145">
      <c r="A145" s="6" t="inlineStr">
        <is>
          <t>DBA UBEO EAST</t>
        </is>
      </c>
      <c r="B145" s="7" t="n">
        <v>1021</v>
      </c>
      <c r="C145" s="7" t="n">
        <v>123</v>
      </c>
      <c r="D145" s="7" t="n">
        <v>0.1205</v>
      </c>
      <c r="E145" s="7" t="n">
        <v>0.1019</v>
      </c>
      <c r="F145" s="8" t="inlineStr">
        <is>
          <t>Low</t>
        </is>
      </c>
      <c r="G145" s="8" t="inlineStr">
        <is>
          <t>Low</t>
        </is>
      </c>
      <c r="H145">
        <f>IF(F145=G145,"YES","NO")</f>
        <v/>
      </c>
    </row>
    <row r="146">
      <c r="A146" s="6" t="inlineStr">
        <is>
          <t>DBA XBS DIGITAL</t>
        </is>
      </c>
      <c r="B146" s="7" t="n">
        <v>226</v>
      </c>
      <c r="C146" s="7" t="n">
        <v>16</v>
      </c>
      <c r="D146" s="7" t="n">
        <v>0.0708</v>
      </c>
      <c r="E146" s="7" t="n">
        <v>0.044</v>
      </c>
      <c r="F146" s="8" t="inlineStr">
        <is>
          <t>Low</t>
        </is>
      </c>
      <c r="G146" s="8" t="inlineStr">
        <is>
          <t>Low</t>
        </is>
      </c>
      <c r="H146">
        <f>IF(F146=G146,"YES","NO")</f>
        <v/>
      </c>
    </row>
    <row r="147">
      <c r="A147" s="6" t="inlineStr">
        <is>
          <t>DIGITAL OFFICE SOLUTIONS, INC.</t>
        </is>
      </c>
      <c r="B147" s="7" t="n">
        <v>297</v>
      </c>
      <c r="C147" s="7" t="n">
        <v>7</v>
      </c>
      <c r="D147" s="7" t="n">
        <v>0.0236</v>
      </c>
      <c r="E147" s="7" t="n">
        <v>0.0115</v>
      </c>
      <c r="F147" s="8" t="inlineStr">
        <is>
          <t>Low</t>
        </is>
      </c>
      <c r="G147" s="8" t="inlineStr">
        <is>
          <t>Low</t>
        </is>
      </c>
      <c r="H147">
        <f>IF(F147=G147,"YES","NO")</f>
        <v/>
      </c>
    </row>
    <row r="148">
      <c r="A148" s="6" t="inlineStr">
        <is>
          <t>DIGITAL OFFICE SYSTEMS, INC.</t>
        </is>
      </c>
      <c r="B148" s="7" t="n">
        <v>583</v>
      </c>
      <c r="C148" s="7" t="n">
        <v>4</v>
      </c>
      <c r="D148" s="7" t="n">
        <v>0.0069</v>
      </c>
      <c r="E148" s="7" t="n">
        <v>0.0027</v>
      </c>
      <c r="F148" s="8" t="inlineStr">
        <is>
          <t>Low</t>
        </is>
      </c>
      <c r="G148" s="8" t="inlineStr">
        <is>
          <t>Low</t>
        </is>
      </c>
      <c r="H148">
        <f>IF(F148=G148,"YES","NO")</f>
        <v/>
      </c>
    </row>
    <row r="149">
      <c r="A149" s="6" t="inlineStr">
        <is>
          <t>DIRECT IMAGE COPY SYSTEMS, INC.</t>
        </is>
      </c>
      <c r="B149" s="7" t="n">
        <v>15</v>
      </c>
      <c r="C149" s="7" t="n">
        <v>1</v>
      </c>
      <c r="D149" s="7" t="n">
        <v>0.0667</v>
      </c>
      <c r="E149" s="7" t="n">
        <v>0.0119</v>
      </c>
      <c r="F149" s="8" t="inlineStr">
        <is>
          <t>Low</t>
        </is>
      </c>
      <c r="G149" s="8" t="inlineStr">
        <is>
          <t>Low</t>
        </is>
      </c>
      <c r="H149">
        <f>IF(F149=G149,"YES","NO")</f>
        <v/>
      </c>
    </row>
    <row r="150">
      <c r="A150" s="6" t="inlineStr">
        <is>
          <t>DOCUMENT SOLUTIONS, INC.</t>
        </is>
      </c>
      <c r="B150" s="7" t="n">
        <v>1749</v>
      </c>
      <c r="C150" s="7" t="n">
        <v>156</v>
      </c>
      <c r="D150" s="7" t="n">
        <v>0.0892</v>
      </c>
      <c r="E150" s="7" t="n">
        <v>0.0767</v>
      </c>
      <c r="F150" s="8" t="inlineStr">
        <is>
          <t>Low</t>
        </is>
      </c>
      <c r="G150" s="8" t="inlineStr">
        <is>
          <t>Low</t>
        </is>
      </c>
      <c r="H150">
        <f>IF(F150=G150,"YES","NO")</f>
        <v/>
      </c>
    </row>
    <row r="151">
      <c r="A151" s="6" t="inlineStr">
        <is>
          <t>DOCUMENT SOLUTIONS, LLC</t>
        </is>
      </c>
      <c r="B151" s="7" t="n">
        <v>288</v>
      </c>
      <c r="C151" s="7" t="n">
        <v>23</v>
      </c>
      <c r="D151" s="7" t="n">
        <v>0.0799</v>
      </c>
      <c r="E151" s="7" t="n">
        <v>0.0538</v>
      </c>
      <c r="F151" s="8" t="inlineStr">
        <is>
          <t>Low</t>
        </is>
      </c>
      <c r="G151" s="8" t="inlineStr">
        <is>
          <t>High</t>
        </is>
      </c>
      <c r="H151">
        <f>IF(F151=G151,"YES","NO")</f>
        <v/>
      </c>
    </row>
    <row r="152">
      <c r="A152" s="6" t="inlineStr">
        <is>
          <t>DOCUSYSTEMS, INC.</t>
        </is>
      </c>
      <c r="B152" s="7" t="n">
        <v>580</v>
      </c>
      <c r="C152" s="7" t="n">
        <v>1</v>
      </c>
      <c r="D152" s="7" t="n">
        <v>0.0017</v>
      </c>
      <c r="E152" s="7" t="n">
        <v>0.0003</v>
      </c>
      <c r="F152" s="8" t="inlineStr">
        <is>
          <t>Low</t>
        </is>
      </c>
      <c r="G152" s="8" t="inlineStr">
        <is>
          <t>Low</t>
        </is>
      </c>
      <c r="H152">
        <f>IF(F152=G152,"YES","NO")</f>
        <v/>
      </c>
    </row>
    <row r="153">
      <c r="A153" s="6" t="inlineStr">
        <is>
          <t>Dallas / Ft Worth / OK / Shrev</t>
        </is>
      </c>
      <c r="B153" s="7" t="n">
        <v>2</v>
      </c>
      <c r="C153" s="7" t="n">
        <v>0</v>
      </c>
      <c r="D153" s="7" t="n">
        <v>0</v>
      </c>
      <c r="E153" s="7" t="n">
        <v>0</v>
      </c>
      <c r="F153" s="8" t="inlineStr">
        <is>
          <t>Low</t>
        </is>
      </c>
      <c r="G153" s="8" t="inlineStr">
        <is>
          <t>Low</t>
        </is>
      </c>
      <c r="H153">
        <f>IF(F153=G153,"YES","NO")</f>
        <v/>
      </c>
    </row>
    <row r="154">
      <c r="A154" s="6" t="inlineStr">
        <is>
          <t>Dapack</t>
        </is>
      </c>
      <c r="B154" s="7" t="n">
        <v>18</v>
      </c>
      <c r="C154" s="7" t="n">
        <v>3</v>
      </c>
      <c r="D154" s="7" t="n">
        <v>0.1667</v>
      </c>
      <c r="E154" s="7" t="n">
        <v>0.0584</v>
      </c>
      <c r="F154" s="8" t="inlineStr">
        <is>
          <t>Low</t>
        </is>
      </c>
      <c r="G154" s="8" t="inlineStr">
        <is>
          <t>High</t>
        </is>
      </c>
      <c r="H154">
        <f>IF(F154=G154,"YES","NO")</f>
        <v/>
      </c>
    </row>
    <row r="155">
      <c r="A155" s="6" t="inlineStr">
        <is>
          <t>Field Employees - BUS</t>
        </is>
      </c>
      <c r="B155" s="7" t="n">
        <v>21</v>
      </c>
      <c r="C155" s="7" t="n">
        <v>4</v>
      </c>
      <c r="D155" s="7" t="n">
        <v>0.1905</v>
      </c>
      <c r="E155" s="7" t="n">
        <v>0.0767</v>
      </c>
      <c r="F155" s="8" t="inlineStr">
        <is>
          <t>Low</t>
        </is>
      </c>
      <c r="G155" s="8" t="inlineStr">
        <is>
          <t>Medium</t>
        </is>
      </c>
      <c r="H155">
        <f>IF(F155=G155,"YES","NO")</f>
        <v/>
      </c>
    </row>
    <row r="156">
      <c r="A156" s="6" t="inlineStr">
        <is>
          <t>Florida</t>
        </is>
      </c>
      <c r="B156" s="7" t="n">
        <v>16</v>
      </c>
      <c r="C156" s="7" t="n">
        <v>3</v>
      </c>
      <c r="D156" s="7" t="n">
        <v>0.1875</v>
      </c>
      <c r="E156" s="7" t="n">
        <v>0.0659</v>
      </c>
      <c r="F156" s="8" t="inlineStr">
        <is>
          <t>Low</t>
        </is>
      </c>
      <c r="G156" s="8" t="inlineStr">
        <is>
          <t>Medium</t>
        </is>
      </c>
      <c r="H156">
        <f>IF(F156=G156,"YES","NO")</f>
        <v/>
      </c>
    </row>
    <row r="157">
      <c r="A157" s="6" t="inlineStr">
        <is>
          <t>GOLDEN ISLES OFFICE EQUIPMENT</t>
        </is>
      </c>
      <c r="B157" s="7" t="n">
        <v>84</v>
      </c>
      <c r="C157" s="7" t="n">
        <v>5</v>
      </c>
      <c r="D157" s="7" t="n">
        <v>0.0595</v>
      </c>
      <c r="E157" s="7" t="n">
        <v>0.0257</v>
      </c>
      <c r="F157" s="8" t="inlineStr">
        <is>
          <t>Low</t>
        </is>
      </c>
      <c r="G157" s="8" t="inlineStr">
        <is>
          <t>Low</t>
        </is>
      </c>
      <c r="H157">
        <f>IF(F157=G157,"YES","NO")</f>
        <v/>
      </c>
    </row>
    <row r="158">
      <c r="A158" s="6" t="inlineStr">
        <is>
          <t>GORDON DOCUMENT PRODUCTS, INC.</t>
        </is>
      </c>
      <c r="B158" s="7" t="n">
        <v>5</v>
      </c>
      <c r="C158" s="7" t="n">
        <v>0</v>
      </c>
      <c r="D158" s="7" t="n">
        <v>0</v>
      </c>
      <c r="E158" s="7" t="n">
        <v>0</v>
      </c>
      <c r="F158" s="8" t="inlineStr">
        <is>
          <t>Low</t>
        </is>
      </c>
      <c r="G158" s="8" t="inlineStr">
        <is>
          <t>Low</t>
        </is>
      </c>
      <c r="H158">
        <f>IF(F158=G158,"YES","NO")</f>
        <v/>
      </c>
    </row>
    <row r="159">
      <c r="A159" s="6" t="inlineStr">
        <is>
          <t>GREAT LAKES OFFICE SOLUTIONS, INC.</t>
        </is>
      </c>
      <c r="B159" s="7" t="n">
        <v>64</v>
      </c>
      <c r="C159" s="7" t="n">
        <v>3</v>
      </c>
      <c r="D159" s="7" t="n">
        <v>0.0469</v>
      </c>
      <c r="E159" s="7" t="n">
        <v>0.0161</v>
      </c>
      <c r="F159" s="8" t="inlineStr">
        <is>
          <t>Low</t>
        </is>
      </c>
      <c r="G159" s="8" t="inlineStr">
        <is>
          <t>Low</t>
        </is>
      </c>
      <c r="H159">
        <f>IF(F159=G159,"YES","NO")</f>
        <v/>
      </c>
    </row>
    <row r="160">
      <c r="A160" s="6" t="inlineStr">
        <is>
          <t>Great Plains</t>
        </is>
      </c>
      <c r="B160" s="7" t="n">
        <v>17</v>
      </c>
      <c r="C160" s="7" t="n">
        <v>0</v>
      </c>
      <c r="D160" s="7" t="n">
        <v>0</v>
      </c>
      <c r="E160" s="7" t="n">
        <v>0</v>
      </c>
      <c r="F160" s="8" t="inlineStr">
        <is>
          <t>Low</t>
        </is>
      </c>
      <c r="G160" s="8" t="inlineStr">
        <is>
          <t>High</t>
        </is>
      </c>
      <c r="H160">
        <f>IF(F160=G160,"YES","NO")</f>
        <v/>
      </c>
    </row>
    <row r="161">
      <c r="A161" s="6" t="inlineStr">
        <is>
          <t>HENRY HALL OFFICE PRODUCTS</t>
        </is>
      </c>
      <c r="B161" s="7" t="n">
        <v>13</v>
      </c>
      <c r="C161" s="7" t="n">
        <v>0</v>
      </c>
      <c r="D161" s="7" t="n">
        <v>0</v>
      </c>
      <c r="E161" s="7" t="n">
        <v>0</v>
      </c>
      <c r="F161" s="8" t="inlineStr">
        <is>
          <t>Low</t>
        </is>
      </c>
      <c r="G161" s="8" t="inlineStr">
        <is>
          <t>Low</t>
        </is>
      </c>
      <c r="H161">
        <f>IF(F161=G161,"YES","NO")</f>
        <v/>
      </c>
    </row>
    <row r="162">
      <c r="A162" s="6" t="inlineStr">
        <is>
          <t>HUNGATE BUSINESS SERVICES, INC.</t>
        </is>
      </c>
      <c r="B162" s="7" t="n">
        <v>47</v>
      </c>
      <c r="C162" s="7" t="n">
        <v>8</v>
      </c>
      <c r="D162" s="7" t="n">
        <v>0.1702</v>
      </c>
      <c r="E162" s="7" t="n">
        <v>0.08890000000000001</v>
      </c>
      <c r="F162" s="8" t="inlineStr">
        <is>
          <t>Low</t>
        </is>
      </c>
      <c r="G162" s="8" t="inlineStr">
        <is>
          <t>Low</t>
        </is>
      </c>
      <c r="H162">
        <f>IF(F162=G162,"YES","NO")</f>
        <v/>
      </c>
    </row>
    <row r="163">
      <c r="A163" s="6" t="inlineStr">
        <is>
          <t>Heartland</t>
        </is>
      </c>
      <c r="B163" s="7" t="n">
        <v>21</v>
      </c>
      <c r="C163" s="7" t="n">
        <v>4</v>
      </c>
      <c r="D163" s="7" t="n">
        <v>0.1905</v>
      </c>
      <c r="E163" s="7" t="n">
        <v>0.0767</v>
      </c>
      <c r="F163" s="8" t="inlineStr">
        <is>
          <t>Low</t>
        </is>
      </c>
      <c r="G163" s="8" t="inlineStr">
        <is>
          <t>Low</t>
        </is>
      </c>
      <c r="H163">
        <f>IF(F163=G163,"YES","NO")</f>
        <v/>
      </c>
    </row>
    <row r="164">
      <c r="A164" s="6" t="inlineStr">
        <is>
          <t>IMAGE BUSINESS SOLUTIONS, INC.</t>
        </is>
      </c>
      <c r="B164" s="7" t="n">
        <v>26</v>
      </c>
      <c r="C164" s="7" t="n">
        <v>0</v>
      </c>
      <c r="D164" s="7" t="n">
        <v>0</v>
      </c>
      <c r="E164" s="7" t="n">
        <v>0</v>
      </c>
      <c r="F164" s="8" t="inlineStr">
        <is>
          <t>Low</t>
        </is>
      </c>
      <c r="G164" s="8" t="inlineStr">
        <is>
          <t>Low</t>
        </is>
      </c>
      <c r="H164">
        <f>IF(F164=G164,"YES","NO")</f>
        <v/>
      </c>
    </row>
    <row r="165">
      <c r="A165" s="6" t="inlineStr">
        <is>
          <t>IMAGE IV SYSTEMS, INC.</t>
        </is>
      </c>
      <c r="B165" s="7" t="n">
        <v>679</v>
      </c>
      <c r="C165" s="7" t="n">
        <v>30</v>
      </c>
      <c r="D165" s="7" t="n">
        <v>0.0442</v>
      </c>
      <c r="E165" s="7" t="n">
        <v>0.0311</v>
      </c>
      <c r="F165" s="8" t="inlineStr">
        <is>
          <t>Low</t>
        </is>
      </c>
      <c r="G165" s="8" t="inlineStr">
        <is>
          <t>Low</t>
        </is>
      </c>
      <c r="H165">
        <f>IF(F165=G165,"YES","NO")</f>
        <v/>
      </c>
    </row>
    <row r="166">
      <c r="A166" s="6" t="inlineStr">
        <is>
          <t>IMAGETEC, LP</t>
        </is>
      </c>
      <c r="B166" s="7" t="n">
        <v>99</v>
      </c>
      <c r="C166" s="7" t="n">
        <v>1</v>
      </c>
      <c r="D166" s="7" t="n">
        <v>0.0101</v>
      </c>
      <c r="E166" s="7" t="n">
        <v>0.0018</v>
      </c>
      <c r="F166" s="8" t="inlineStr">
        <is>
          <t>Low</t>
        </is>
      </c>
      <c r="G166" s="8" t="inlineStr">
        <is>
          <t>Low</t>
        </is>
      </c>
      <c r="H166">
        <f>IF(F166=G166,"YES","NO")</f>
        <v/>
      </c>
    </row>
    <row r="167">
      <c r="A167" s="6" t="inlineStr">
        <is>
          <t>INFORMATION NETWORK SYSTEMS</t>
        </is>
      </c>
      <c r="B167" s="7" t="n">
        <v>47</v>
      </c>
      <c r="C167" s="7" t="n">
        <v>0</v>
      </c>
      <c r="D167" s="7" t="n">
        <v>0</v>
      </c>
      <c r="E167" s="7" t="n">
        <v>0</v>
      </c>
      <c r="F167" s="8" t="inlineStr">
        <is>
          <t>Low</t>
        </is>
      </c>
      <c r="G167" s="8" t="inlineStr">
        <is>
          <t>Low</t>
        </is>
      </c>
      <c r="H167">
        <f>IF(F167=G167,"YES","NO")</f>
        <v/>
      </c>
    </row>
    <row r="168">
      <c r="A168" s="6" t="inlineStr">
        <is>
          <t>INTEGRATED COPY SOLUTIONS, INC.</t>
        </is>
      </c>
      <c r="B168" s="7" t="n">
        <v>9</v>
      </c>
      <c r="C168" s="7" t="n">
        <v>0</v>
      </c>
      <c r="D168" s="7" t="n">
        <v>0</v>
      </c>
      <c r="E168" s="7" t="n">
        <v>0</v>
      </c>
      <c r="F168" s="8" t="inlineStr">
        <is>
          <t>Low</t>
        </is>
      </c>
      <c r="G168" s="8" t="inlineStr">
        <is>
          <t>Low</t>
        </is>
      </c>
      <c r="H168">
        <f>IF(F168=G168,"YES","NO")</f>
        <v/>
      </c>
    </row>
    <row r="169">
      <c r="A169" s="6" t="inlineStr">
        <is>
          <t>INTEGRATED DOCUMENT TECHNOLOGIES, INC.</t>
        </is>
      </c>
      <c r="B169" s="7" t="n">
        <v>5</v>
      </c>
      <c r="C169" s="7" t="n">
        <v>0</v>
      </c>
      <c r="D169" s="7" t="n">
        <v>0</v>
      </c>
      <c r="E169" s="7" t="n">
        <v>0</v>
      </c>
      <c r="F169" s="8" t="inlineStr">
        <is>
          <t>Low</t>
        </is>
      </c>
      <c r="G169" s="8" t="inlineStr">
        <is>
          <t>Low</t>
        </is>
      </c>
      <c r="H169">
        <f>IF(F169=G169,"YES","NO")</f>
        <v/>
      </c>
    </row>
    <row r="170">
      <c r="A170" s="6" t="inlineStr">
        <is>
          <t>INTERNATIONAL COPY MACHINE</t>
        </is>
      </c>
      <c r="B170" s="7" t="n">
        <v>162</v>
      </c>
      <c r="C170" s="7" t="n">
        <v>12</v>
      </c>
      <c r="D170" s="7" t="n">
        <v>0.0741</v>
      </c>
      <c r="E170" s="7" t="n">
        <v>0.0429</v>
      </c>
      <c r="F170" s="8" t="inlineStr">
        <is>
          <t>Low</t>
        </is>
      </c>
      <c r="G170" s="8" t="inlineStr">
        <is>
          <t>Low</t>
        </is>
      </c>
      <c r="H170">
        <f>IF(F170=G170,"YES","NO")</f>
        <v/>
      </c>
    </row>
    <row r="171">
      <c r="A171" s="6" t="inlineStr">
        <is>
          <t>ISLAND OFFICE SOLUTIONS</t>
        </is>
      </c>
      <c r="B171" s="7" t="n">
        <v>10</v>
      </c>
      <c r="C171" s="7" t="n">
        <v>0</v>
      </c>
      <c r="D171" s="7" t="n">
        <v>0</v>
      </c>
      <c r="E171" s="7" t="n">
        <v>0</v>
      </c>
      <c r="F171" s="8" t="inlineStr">
        <is>
          <t>Low</t>
        </is>
      </c>
      <c r="G171" s="8" t="inlineStr">
        <is>
          <t>Low</t>
        </is>
      </c>
      <c r="H171">
        <f>IF(F171=G171,"YES","NO")</f>
        <v/>
      </c>
    </row>
    <row r="172">
      <c r="A172" s="6" t="inlineStr">
        <is>
          <t>J.T. RAY COMPANY, INC.</t>
        </is>
      </c>
      <c r="B172" s="7" t="n">
        <v>595</v>
      </c>
      <c r="C172" s="7" t="n">
        <v>74</v>
      </c>
      <c r="D172" s="7" t="n">
        <v>0.1244</v>
      </c>
      <c r="E172" s="7" t="n">
        <v>0.1002</v>
      </c>
      <c r="F172" s="8" t="inlineStr">
        <is>
          <t>Low</t>
        </is>
      </c>
      <c r="G172" s="8" t="inlineStr">
        <is>
          <t>Low</t>
        </is>
      </c>
      <c r="H172">
        <f>IF(F172=G172,"YES","NO")</f>
        <v/>
      </c>
    </row>
    <row r="173">
      <c r="A173" s="6" t="inlineStr">
        <is>
          <t>JARRETT'S BUSINESS MACHINES, INC.</t>
        </is>
      </c>
      <c r="B173" s="7" t="n">
        <v>103</v>
      </c>
      <c r="C173" s="7" t="n">
        <v>1</v>
      </c>
      <c r="D173" s="7" t="n">
        <v>0.0097</v>
      </c>
      <c r="E173" s="7" t="n">
        <v>0.0017</v>
      </c>
      <c r="F173" s="8" t="inlineStr">
        <is>
          <t>Low</t>
        </is>
      </c>
      <c r="G173" s="8" t="inlineStr">
        <is>
          <t>Low</t>
        </is>
      </c>
      <c r="H173">
        <f>IF(F173=G173,"YES","NO")</f>
        <v/>
      </c>
    </row>
    <row r="174">
      <c r="A174" s="6" t="inlineStr">
        <is>
          <t>KEMPS OFFICE CITY, INC.</t>
        </is>
      </c>
      <c r="B174" s="7" t="n">
        <v>150</v>
      </c>
      <c r="C174" s="7" t="n">
        <v>2</v>
      </c>
      <c r="D174" s="7" t="n">
        <v>0.0133</v>
      </c>
      <c r="E174" s="7" t="n">
        <v>0.0037</v>
      </c>
      <c r="F174" s="8" t="inlineStr">
        <is>
          <t>Low</t>
        </is>
      </c>
      <c r="G174" s="8" t="inlineStr">
        <is>
          <t>Low</t>
        </is>
      </c>
      <c r="H174">
        <f>IF(F174=G174,"YES","NO")</f>
        <v/>
      </c>
    </row>
    <row r="175">
      <c r="A175" s="6" t="inlineStr">
        <is>
          <t>KOMAX BUSINESS SYSTEMS</t>
        </is>
      </c>
      <c r="B175" s="7" t="n">
        <v>1055</v>
      </c>
      <c r="C175" s="7" t="n">
        <v>81</v>
      </c>
      <c r="D175" s="7" t="n">
        <v>0.07679999999999999</v>
      </c>
      <c r="E175" s="7" t="n">
        <v>0.0622</v>
      </c>
      <c r="F175" s="8" t="inlineStr">
        <is>
          <t>Low</t>
        </is>
      </c>
      <c r="G175" s="8" t="inlineStr">
        <is>
          <t>Low</t>
        </is>
      </c>
      <c r="H175">
        <f>IF(F175=G175,"YES","NO")</f>
        <v/>
      </c>
    </row>
    <row r="176">
      <c r="A176" s="6" t="inlineStr">
        <is>
          <t>LAKE COUNTRY OFFICE SOLUTIONS</t>
        </is>
      </c>
      <c r="B176" s="7" t="n">
        <v>27</v>
      </c>
      <c r="C176" s="7" t="n">
        <v>1</v>
      </c>
      <c r="D176" s="7" t="n">
        <v>0.037</v>
      </c>
      <c r="E176" s="7" t="n">
        <v>0.0066</v>
      </c>
      <c r="F176" s="8" t="inlineStr">
        <is>
          <t>Low</t>
        </is>
      </c>
      <c r="G176" s="8" t="inlineStr">
        <is>
          <t>Low</t>
        </is>
      </c>
      <c r="H176">
        <f>IF(F176=G176,"YES","NO")</f>
        <v/>
      </c>
    </row>
    <row r="177">
      <c r="A177" s="6" t="inlineStr">
        <is>
          <t>LOFFLER BUSINESS SYSTEMS, LLC</t>
        </is>
      </c>
      <c r="B177" s="7" t="n">
        <v>699</v>
      </c>
      <c r="C177" s="7" t="n">
        <v>11</v>
      </c>
      <c r="D177" s="7" t="n">
        <v>0.0157</v>
      </c>
      <c r="E177" s="7" t="n">
        <v>0.008800000000000001</v>
      </c>
      <c r="F177" s="8" t="inlineStr">
        <is>
          <t>Low</t>
        </is>
      </c>
      <c r="G177" s="8" t="inlineStr">
        <is>
          <t>Low</t>
        </is>
      </c>
      <c r="H177">
        <f>IF(F177=G177,"YES","NO")</f>
        <v/>
      </c>
    </row>
    <row r="178">
      <c r="A178" s="6" t="inlineStr">
        <is>
          <t>MAC COPY, LLC</t>
        </is>
      </c>
      <c r="B178" s="7" t="n">
        <v>51</v>
      </c>
      <c r="C178" s="7" t="n">
        <v>0</v>
      </c>
      <c r="D178" s="7" t="n">
        <v>0</v>
      </c>
      <c r="E178" s="7" t="n">
        <v>0</v>
      </c>
      <c r="F178" s="8" t="inlineStr">
        <is>
          <t>Low</t>
        </is>
      </c>
      <c r="G178" s="8" t="inlineStr">
        <is>
          <t>Low</t>
        </is>
      </c>
      <c r="H178">
        <f>IF(F178=G178,"YES","NO")</f>
        <v/>
      </c>
    </row>
    <row r="179">
      <c r="A179" s="6" t="inlineStr">
        <is>
          <t>MARTIN GROUP DRIVEN BY PEOPLE, INC.</t>
        </is>
      </c>
      <c r="B179" s="7" t="n">
        <v>44</v>
      </c>
      <c r="C179" s="7" t="n">
        <v>2</v>
      </c>
      <c r="D179" s="7" t="n">
        <v>0.0455</v>
      </c>
      <c r="E179" s="7" t="n">
        <v>0.0126</v>
      </c>
      <c r="F179" s="8" t="inlineStr">
        <is>
          <t>Low</t>
        </is>
      </c>
      <c r="G179" s="8" t="inlineStr">
        <is>
          <t>Low</t>
        </is>
      </c>
      <c r="H179">
        <f>IF(F179=G179,"YES","NO")</f>
        <v/>
      </c>
    </row>
    <row r="180">
      <c r="A180" s="6" t="inlineStr">
        <is>
          <t>MCNAIR BUSINESS MACHINES</t>
        </is>
      </c>
      <c r="B180" s="7" t="n">
        <v>49</v>
      </c>
      <c r="C180" s="7" t="n">
        <v>5</v>
      </c>
      <c r="D180" s="7" t="n">
        <v>0.102</v>
      </c>
      <c r="E180" s="7" t="n">
        <v>0.0444</v>
      </c>
      <c r="F180" s="8" t="inlineStr">
        <is>
          <t>Low</t>
        </is>
      </c>
      <c r="G180" s="8" t="inlineStr">
        <is>
          <t>Low</t>
        </is>
      </c>
      <c r="H180">
        <f>IF(F180=G180,"YES","NO")</f>
        <v/>
      </c>
    </row>
    <row r="181">
      <c r="A181" s="6" t="inlineStr">
        <is>
          <t>MIDDLE GEORGIA BUSINESS PRODUCTS, INC.</t>
        </is>
      </c>
      <c r="B181" s="7" t="n">
        <v>2</v>
      </c>
      <c r="C181" s="7" t="n">
        <v>0</v>
      </c>
      <c r="D181" s="7" t="n">
        <v>0</v>
      </c>
      <c r="E181" s="7" t="n">
        <v>0</v>
      </c>
      <c r="F181" s="8" t="inlineStr">
        <is>
          <t>Low</t>
        </is>
      </c>
      <c r="G181" s="8" t="inlineStr">
        <is>
          <t>Low</t>
        </is>
      </c>
      <c r="H181">
        <f>IF(F181=G181,"YES","NO")</f>
        <v/>
      </c>
    </row>
    <row r="182">
      <c r="A182" s="6" t="inlineStr">
        <is>
          <t>MILNER DOCUMENT PRODUCTS, INC.</t>
        </is>
      </c>
      <c r="B182" s="7" t="n">
        <v>657</v>
      </c>
      <c r="C182" s="7" t="n">
        <v>33</v>
      </c>
      <c r="D182" s="7" t="n">
        <v>0.0502</v>
      </c>
      <c r="E182" s="7" t="n">
        <v>0.036</v>
      </c>
      <c r="F182" s="8" t="inlineStr">
        <is>
          <t>Low</t>
        </is>
      </c>
      <c r="G182" s="8" t="inlineStr">
        <is>
          <t>Low</t>
        </is>
      </c>
      <c r="H182">
        <f>IF(F182=G182,"YES","NO")</f>
        <v/>
      </c>
    </row>
    <row r="183">
      <c r="A183" s="6" t="inlineStr">
        <is>
          <t>MONK OFFICE TECHNOLOGIES</t>
        </is>
      </c>
      <c r="B183" s="7" t="n">
        <v>24</v>
      </c>
      <c r="C183" s="7" t="n">
        <v>2</v>
      </c>
      <c r="D183" s="7" t="n">
        <v>0.0833</v>
      </c>
      <c r="E183" s="7" t="n">
        <v>0.0232</v>
      </c>
      <c r="F183" s="8" t="inlineStr">
        <is>
          <t>Low</t>
        </is>
      </c>
      <c r="G183" s="8" t="inlineStr">
        <is>
          <t>Low</t>
        </is>
      </c>
      <c r="H183">
        <f>IF(F183=G183,"YES","NO")</f>
        <v/>
      </c>
    </row>
    <row r="184">
      <c r="A184" s="6" t="inlineStr">
        <is>
          <t>Manitoba</t>
        </is>
      </c>
      <c r="B184" s="7" t="n">
        <v>2</v>
      </c>
      <c r="C184" s="7" t="n">
        <v>0</v>
      </c>
      <c r="D184" s="7" t="n">
        <v>0</v>
      </c>
      <c r="E184" s="7" t="n">
        <v>0</v>
      </c>
      <c r="F184" s="8" t="inlineStr">
        <is>
          <t>Low</t>
        </is>
      </c>
      <c r="G184" s="8" t="inlineStr">
        <is>
          <t>Low</t>
        </is>
      </c>
      <c r="H184">
        <f>IF(F184=G184,"YES","NO")</f>
        <v/>
      </c>
    </row>
    <row r="185">
      <c r="A185" s="6" t="inlineStr">
        <is>
          <t>NEW ENGLAND COPY SPECIALISTS, INC.</t>
        </is>
      </c>
      <c r="B185" s="7" t="n">
        <v>3</v>
      </c>
      <c r="C185" s="7" t="n">
        <v>0</v>
      </c>
      <c r="D185" s="7" t="n">
        <v>0</v>
      </c>
      <c r="E185" s="7" t="n">
        <v>0</v>
      </c>
      <c r="F185" s="8" t="inlineStr">
        <is>
          <t>Low</t>
        </is>
      </c>
      <c r="G185" s="8" t="inlineStr">
        <is>
          <t>Medium</t>
        </is>
      </c>
      <c r="H185">
        <f>IF(F185=G185,"YES","NO")</f>
        <v/>
      </c>
    </row>
    <row r="186">
      <c r="A186" s="6" t="inlineStr">
        <is>
          <t>NOORDYK BUSINESS EQUIPMENT, LLC</t>
        </is>
      </c>
      <c r="B186" s="7" t="n">
        <v>393</v>
      </c>
      <c r="C186" s="7" t="n">
        <v>8</v>
      </c>
      <c r="D186" s="7" t="n">
        <v>0.0204</v>
      </c>
      <c r="E186" s="7" t="n">
        <v>0.0103</v>
      </c>
      <c r="F186" s="8" t="inlineStr">
        <is>
          <t>Low</t>
        </is>
      </c>
      <c r="G186" s="8" t="inlineStr">
        <is>
          <t>Low</t>
        </is>
      </c>
      <c r="H186">
        <f>IF(F186=G186,"YES","NO")</f>
        <v/>
      </c>
    </row>
    <row r="187">
      <c r="A187" s="6" t="inlineStr">
        <is>
          <t>NORTHCO PRODUCTS, INC.</t>
        </is>
      </c>
      <c r="B187" s="7" t="n">
        <v>10</v>
      </c>
      <c r="C187" s="7" t="n">
        <v>0</v>
      </c>
      <c r="D187" s="7" t="n">
        <v>0</v>
      </c>
      <c r="E187" s="7" t="n">
        <v>0</v>
      </c>
      <c r="F187" s="8" t="inlineStr">
        <is>
          <t>Low</t>
        </is>
      </c>
      <c r="G187" s="8" t="inlineStr">
        <is>
          <t>Low</t>
        </is>
      </c>
      <c r="H187">
        <f>IF(F187=G187,"YES","NO")</f>
        <v/>
      </c>
    </row>
    <row r="188">
      <c r="A188" s="6" t="inlineStr">
        <is>
          <t>NY Metro</t>
        </is>
      </c>
      <c r="B188" s="7" t="n">
        <v>4</v>
      </c>
      <c r="C188" s="7" t="n">
        <v>1</v>
      </c>
      <c r="D188" s="7" t="n">
        <v>0.25</v>
      </c>
      <c r="E188" s="7" t="n">
        <v>0.0456</v>
      </c>
      <c r="F188" s="8" t="inlineStr">
        <is>
          <t>Low</t>
        </is>
      </c>
      <c r="G188" s="8" t="inlineStr">
        <is>
          <t>Medium</t>
        </is>
      </c>
      <c r="H188">
        <f>IF(F188=G188,"YES","NO")</f>
        <v/>
      </c>
    </row>
    <row r="189">
      <c r="A189" s="6" t="inlineStr">
        <is>
          <t>Nola</t>
        </is>
      </c>
      <c r="B189" s="7" t="n">
        <v>38</v>
      </c>
      <c r="C189" s="7" t="n">
        <v>7</v>
      </c>
      <c r="D189" s="7" t="n">
        <v>0.1842</v>
      </c>
      <c r="E189" s="7" t="n">
        <v>0.0922</v>
      </c>
      <c r="F189" s="8" t="inlineStr">
        <is>
          <t>Low</t>
        </is>
      </c>
      <c r="G189" s="8" t="inlineStr">
        <is>
          <t>Low</t>
        </is>
      </c>
      <c r="H189">
        <f>IF(F189=G189,"YES","NO")</f>
        <v/>
      </c>
    </row>
    <row r="190">
      <c r="A190" s="6" t="inlineStr">
        <is>
          <t>Northeast</t>
        </is>
      </c>
      <c r="B190" s="7" t="n">
        <v>44</v>
      </c>
      <c r="C190" s="7" t="n">
        <v>6</v>
      </c>
      <c r="D190" s="7" t="n">
        <v>0.1364</v>
      </c>
      <c r="E190" s="7" t="n">
        <v>0.064</v>
      </c>
      <c r="F190" s="8" t="inlineStr">
        <is>
          <t>Low</t>
        </is>
      </c>
      <c r="G190" s="8" t="inlineStr">
        <is>
          <t>Low</t>
        </is>
      </c>
      <c r="H190">
        <f>IF(F190=G190,"YES","NO")</f>
        <v/>
      </c>
    </row>
    <row r="191">
      <c r="A191" s="6" t="inlineStr">
        <is>
          <t>O/A NEXTGEN AUTOMATION</t>
        </is>
      </c>
      <c r="B191" s="7" t="n">
        <v>46</v>
      </c>
      <c r="C191" s="7" t="n">
        <v>0</v>
      </c>
      <c r="D191" s="7" t="n">
        <v>0</v>
      </c>
      <c r="E191" s="7" t="n">
        <v>0</v>
      </c>
      <c r="F191" s="8" t="inlineStr">
        <is>
          <t>Low</t>
        </is>
      </c>
      <c r="G191" s="8" t="inlineStr">
        <is>
          <t>Low</t>
        </is>
      </c>
      <c r="H191">
        <f>IF(F191=G191,"YES","NO")</f>
        <v/>
      </c>
    </row>
    <row r="192">
      <c r="A192" s="6" t="inlineStr">
        <is>
          <t>O/C BUSINESS SYSTEMS</t>
        </is>
      </c>
      <c r="B192" s="7" t="n">
        <v>1</v>
      </c>
      <c r="C192" s="7" t="n">
        <v>0</v>
      </c>
      <c r="D192" s="7" t="n">
        <v>0</v>
      </c>
      <c r="E192" s="7" t="n">
        <v>0</v>
      </c>
      <c r="F192" s="8" t="inlineStr">
        <is>
          <t>Low</t>
        </is>
      </c>
      <c r="G192" s="8" t="inlineStr">
        <is>
          <t>Low</t>
        </is>
      </c>
      <c r="H192">
        <f>IF(F192=G192,"YES","NO")</f>
        <v/>
      </c>
    </row>
    <row r="193">
      <c r="A193" s="6" t="inlineStr">
        <is>
          <t>Ontario</t>
        </is>
      </c>
      <c r="B193" s="7" t="n">
        <v>6</v>
      </c>
      <c r="C193" s="7" t="n">
        <v>0</v>
      </c>
      <c r="D193" s="7" t="n">
        <v>0</v>
      </c>
      <c r="E193" s="7" t="n">
        <v>0</v>
      </c>
      <c r="F193" s="8" t="inlineStr">
        <is>
          <t>Low</t>
        </is>
      </c>
      <c r="G193" s="8" t="inlineStr">
        <is>
          <t>Low</t>
        </is>
      </c>
      <c r="H193">
        <f>IF(F193=G193,"YES","NO")</f>
        <v/>
      </c>
    </row>
    <row r="194">
      <c r="A194" s="6" t="inlineStr">
        <is>
          <t>PALADIN MANAGED SOLUTIONS, LLC</t>
        </is>
      </c>
      <c r="B194" s="7" t="n">
        <v>59</v>
      </c>
      <c r="C194" s="7" t="n">
        <v>1</v>
      </c>
      <c r="D194" s="7" t="n">
        <v>0.0169</v>
      </c>
      <c r="E194" s="7" t="n">
        <v>0.003</v>
      </c>
      <c r="F194" s="8" t="inlineStr">
        <is>
          <t>Low</t>
        </is>
      </c>
      <c r="G194" s="8" t="inlineStr">
        <is>
          <t>Low</t>
        </is>
      </c>
      <c r="H194">
        <f>IF(F194=G194,"YES","NO")</f>
        <v/>
      </c>
    </row>
    <row r="195">
      <c r="A195" s="6" t="inlineStr">
        <is>
          <t>PERRY PRO TECH, INC.</t>
        </is>
      </c>
      <c r="B195" s="7" t="n">
        <v>7797</v>
      </c>
      <c r="C195" s="7" t="n">
        <v>217</v>
      </c>
      <c r="D195" s="7" t="n">
        <v>0.0278</v>
      </c>
      <c r="E195" s="7" t="n">
        <v>0.0244</v>
      </c>
      <c r="F195" s="8" t="inlineStr">
        <is>
          <t>Low</t>
        </is>
      </c>
      <c r="G195" s="8" t="inlineStr">
        <is>
          <t>Low</t>
        </is>
      </c>
      <c r="H195">
        <f>IF(F195=G195,"YES","NO")</f>
        <v/>
      </c>
    </row>
    <row r="196">
      <c r="A196" s="6" t="inlineStr">
        <is>
          <t>PETERSON QUALITY OFFICE, INC.</t>
        </is>
      </c>
      <c r="B196" s="7" t="n">
        <v>4</v>
      </c>
      <c r="C196" s="7" t="n">
        <v>1</v>
      </c>
      <c r="D196" s="7" t="n">
        <v>0.25</v>
      </c>
      <c r="E196" s="7" t="n">
        <v>0.0456</v>
      </c>
      <c r="F196" s="8" t="inlineStr">
        <is>
          <t>Low</t>
        </is>
      </c>
      <c r="G196" s="8" t="inlineStr">
        <is>
          <t>Medium</t>
        </is>
      </c>
      <c r="H196">
        <f>IF(F196=G196,"YES","NO")</f>
        <v/>
      </c>
    </row>
    <row r="197">
      <c r="A197" s="6" t="inlineStr">
        <is>
          <t>PLUS, INC.</t>
        </is>
      </c>
      <c r="B197" s="7" t="n">
        <v>535</v>
      </c>
      <c r="C197" s="7" t="n">
        <v>34</v>
      </c>
      <c r="D197" s="7" t="n">
        <v>0.0636</v>
      </c>
      <c r="E197" s="7" t="n">
        <v>0.0458</v>
      </c>
      <c r="F197" s="8" t="inlineStr">
        <is>
          <t>Low</t>
        </is>
      </c>
      <c r="G197" s="8" t="inlineStr">
        <is>
          <t>Low</t>
        </is>
      </c>
      <c r="H197">
        <f>IF(F197=G197,"YES","NO")</f>
        <v/>
      </c>
    </row>
    <row r="198">
      <c r="A198" s="6" t="inlineStr">
        <is>
          <t>POLLOCK OFFICE MACHINE COMPANY, INC.</t>
        </is>
      </c>
      <c r="B198" s="7" t="n">
        <v>2393</v>
      </c>
      <c r="C198" s="7" t="n">
        <v>83</v>
      </c>
      <c r="D198" s="7" t="n">
        <v>0.0347</v>
      </c>
      <c r="E198" s="7" t="n">
        <v>0.0281</v>
      </c>
      <c r="F198" s="8" t="inlineStr">
        <is>
          <t>Low</t>
        </is>
      </c>
      <c r="G198" s="8" t="inlineStr">
        <is>
          <t>Low</t>
        </is>
      </c>
      <c r="H198">
        <f>IF(F198=G198,"YES","NO")</f>
        <v/>
      </c>
    </row>
    <row r="199">
      <c r="A199" s="6" t="inlineStr">
        <is>
          <t>PRECISION DUPLICATING SOLUTIONS, INC.</t>
        </is>
      </c>
      <c r="B199" s="7" t="n">
        <v>212</v>
      </c>
      <c r="C199" s="7" t="n">
        <v>22</v>
      </c>
      <c r="D199" s="7" t="n">
        <v>0.1038</v>
      </c>
      <c r="E199" s="7" t="n">
        <v>0.06950000000000001</v>
      </c>
      <c r="F199" s="8" t="inlineStr">
        <is>
          <t>Low</t>
        </is>
      </c>
      <c r="G199" s="8" t="inlineStr">
        <is>
          <t>Low</t>
        </is>
      </c>
      <c r="H199">
        <f>IF(F199=G199,"YES","NO")</f>
        <v/>
      </c>
    </row>
    <row r="200">
      <c r="A200" s="6" t="inlineStr">
        <is>
          <t>PREFERRED BUSINESS SYSTEMS, INC.</t>
        </is>
      </c>
      <c r="B200" s="7" t="n">
        <v>115</v>
      </c>
      <c r="C200" s="7" t="n">
        <v>4</v>
      </c>
      <c r="D200" s="7" t="n">
        <v>0.0348</v>
      </c>
      <c r="E200" s="7" t="n">
        <v>0.0136</v>
      </c>
      <c r="F200" s="8" t="inlineStr">
        <is>
          <t>Low</t>
        </is>
      </c>
      <c r="G200" s="8" t="inlineStr">
        <is>
          <t>Low</t>
        </is>
      </c>
      <c r="H200">
        <f>IF(F200=G200,"YES","NO")</f>
        <v/>
      </c>
    </row>
    <row r="201">
      <c r="A201" s="6" t="inlineStr">
        <is>
          <t>PREMIUM DIGITAL OFFICE SOLUTIONS</t>
        </is>
      </c>
      <c r="B201" s="7" t="n">
        <v>121</v>
      </c>
      <c r="C201" s="7" t="n">
        <v>9</v>
      </c>
      <c r="D201" s="7" t="n">
        <v>0.07439999999999999</v>
      </c>
      <c r="E201" s="7" t="n">
        <v>0.0396</v>
      </c>
      <c r="F201" s="8" t="inlineStr">
        <is>
          <t>Low</t>
        </is>
      </c>
      <c r="G201" s="8" t="inlineStr">
        <is>
          <t>Low</t>
        </is>
      </c>
      <c r="H201">
        <f>IF(F201=G201,"YES","NO")</f>
        <v/>
      </c>
    </row>
    <row r="202">
      <c r="A202" s="6" t="inlineStr">
        <is>
          <t>PROCOPY, INC.</t>
        </is>
      </c>
      <c r="B202" s="7" t="n">
        <v>1</v>
      </c>
      <c r="C202" s="7" t="n">
        <v>0</v>
      </c>
      <c r="D202" s="7" t="n">
        <v>0</v>
      </c>
      <c r="E202" s="7" t="n">
        <v>0</v>
      </c>
      <c r="F202" s="8" t="inlineStr">
        <is>
          <t>Low</t>
        </is>
      </c>
      <c r="G202" s="8" t="inlineStr">
        <is>
          <t>Low</t>
        </is>
      </c>
      <c r="H202">
        <f>IF(F202=G202,"YES","NO")</f>
        <v/>
      </c>
    </row>
    <row r="203">
      <c r="A203" s="6" t="inlineStr">
        <is>
          <t>PROFESSIONAL DOCUMENT PRODUCTS, LLC</t>
        </is>
      </c>
      <c r="B203" s="7" t="n">
        <v>48</v>
      </c>
      <c r="C203" s="7" t="n">
        <v>8</v>
      </c>
      <c r="D203" s="7" t="n">
        <v>0.1667</v>
      </c>
      <c r="E203" s="7" t="n">
        <v>0.08699999999999999</v>
      </c>
      <c r="F203" s="8" t="inlineStr">
        <is>
          <t>Low</t>
        </is>
      </c>
      <c r="G203" s="8" t="inlineStr">
        <is>
          <t>Low</t>
        </is>
      </c>
      <c r="H203">
        <f>IF(F203=G203,"YES","NO")</f>
        <v/>
      </c>
    </row>
    <row r="204">
      <c r="A204" s="6" t="inlineStr">
        <is>
          <t>Quebec</t>
        </is>
      </c>
      <c r="B204" s="7" t="n">
        <v>7</v>
      </c>
      <c r="C204" s="7" t="n">
        <v>0</v>
      </c>
      <c r="D204" s="7" t="n">
        <v>0</v>
      </c>
      <c r="E204" s="7" t="n">
        <v>0</v>
      </c>
      <c r="F204" s="8" t="inlineStr">
        <is>
          <t>Low</t>
        </is>
      </c>
      <c r="G204" s="8" t="inlineStr">
        <is>
          <t>Low</t>
        </is>
      </c>
      <c r="H204">
        <f>IF(F204=G204,"YES","NO")</f>
        <v/>
      </c>
    </row>
    <row r="205">
      <c r="A205" s="6" t="inlineStr">
        <is>
          <t>RM OFFICE SOLUTIONS, LTD.</t>
        </is>
      </c>
      <c r="B205" s="7" t="n">
        <v>9</v>
      </c>
      <c r="C205" s="7" t="n">
        <v>0</v>
      </c>
      <c r="D205" s="7" t="n">
        <v>0</v>
      </c>
      <c r="E205" s="7" t="n">
        <v>0</v>
      </c>
      <c r="F205" s="8" t="inlineStr">
        <is>
          <t>Low</t>
        </is>
      </c>
      <c r="G205" s="8" t="inlineStr">
        <is>
          <t>Low</t>
        </is>
      </c>
      <c r="H205">
        <f>IF(F205=G205,"YES","NO")</f>
        <v/>
      </c>
    </row>
    <row r="206">
      <c r="A206" s="6" t="inlineStr">
        <is>
          <t>ROYAL OFFICE EQUIPMENT CO.</t>
        </is>
      </c>
      <c r="B206" s="7" t="n">
        <v>461</v>
      </c>
      <c r="C206" s="7" t="n">
        <v>37</v>
      </c>
      <c r="D206" s="7" t="n">
        <v>0.0803</v>
      </c>
      <c r="E206" s="7" t="n">
        <v>0.0588</v>
      </c>
      <c r="F206" s="8" t="inlineStr">
        <is>
          <t>Low</t>
        </is>
      </c>
      <c r="G206" s="8" t="inlineStr">
        <is>
          <t>Low</t>
        </is>
      </c>
      <c r="H206">
        <f>IF(F206=G206,"YES","NO")</f>
        <v/>
      </c>
    </row>
    <row r="207">
      <c r="A207" s="6" t="inlineStr">
        <is>
          <t>SAYES OFFICE SUPPLY, LLC</t>
        </is>
      </c>
      <c r="B207" s="7" t="n">
        <v>3</v>
      </c>
      <c r="C207" s="7" t="n">
        <v>1</v>
      </c>
      <c r="D207" s="7" t="n">
        <v>0.3333</v>
      </c>
      <c r="E207" s="7" t="n">
        <v>0.0615</v>
      </c>
      <c r="F207" s="8" t="inlineStr">
        <is>
          <t>Low</t>
        </is>
      </c>
      <c r="G207" s="8" t="inlineStr">
        <is>
          <t>Low</t>
        </is>
      </c>
      <c r="H207">
        <f>IF(F207=G207,"YES","NO")</f>
        <v/>
      </c>
    </row>
    <row r="208">
      <c r="A208" s="6" t="inlineStr">
        <is>
          <t>SCOTT BAILY ENTERPRISES, INC.</t>
        </is>
      </c>
      <c r="B208" s="7" t="n">
        <v>176</v>
      </c>
      <c r="C208" s="7" t="n">
        <v>1</v>
      </c>
      <c r="D208" s="7" t="n">
        <v>0.0057</v>
      </c>
      <c r="E208" s="7" t="n">
        <v>0.001</v>
      </c>
      <c r="F208" s="8" t="inlineStr">
        <is>
          <t>Low</t>
        </is>
      </c>
      <c r="G208" s="8" t="inlineStr">
        <is>
          <t>Low</t>
        </is>
      </c>
      <c r="H208">
        <f>IF(F208=G208,"YES","NO")</f>
        <v/>
      </c>
    </row>
    <row r="209">
      <c r="A209" s="6" t="inlineStr">
        <is>
          <t>SHEARER BUSINESS PRODUCTS</t>
        </is>
      </c>
      <c r="B209" s="7" t="n">
        <v>140</v>
      </c>
      <c r="C209" s="7" t="n">
        <v>7</v>
      </c>
      <c r="D209" s="7" t="n">
        <v>0.05</v>
      </c>
      <c r="E209" s="7" t="n">
        <v>0.0244</v>
      </c>
      <c r="F209" s="8" t="inlineStr">
        <is>
          <t>Low</t>
        </is>
      </c>
      <c r="G209" s="8" t="inlineStr">
        <is>
          <t>Low</t>
        </is>
      </c>
      <c r="H209">
        <f>IF(F209=G209,"YES","NO")</f>
        <v/>
      </c>
    </row>
    <row r="210">
      <c r="A210" s="6" t="inlineStr">
        <is>
          <t>SOUTHERN OFFICE MACHINES CO., INC.</t>
        </is>
      </c>
      <c r="B210" s="7" t="n">
        <v>72</v>
      </c>
      <c r="C210" s="7" t="n">
        <v>0</v>
      </c>
      <c r="D210" s="7" t="n">
        <v>0</v>
      </c>
      <c r="E210" s="7" t="n">
        <v>0</v>
      </c>
      <c r="F210" s="8" t="inlineStr">
        <is>
          <t>Low</t>
        </is>
      </c>
      <c r="G210" s="8" t="inlineStr">
        <is>
          <t>Low</t>
        </is>
      </c>
      <c r="H210">
        <f>IF(F210=G210,"YES","NO")</f>
        <v/>
      </c>
    </row>
    <row r="211">
      <c r="A211" s="6" t="inlineStr">
        <is>
          <t>SPRIGGS, INC.</t>
        </is>
      </c>
      <c r="B211" s="7" t="n">
        <v>28</v>
      </c>
      <c r="C211" s="7" t="n">
        <v>1</v>
      </c>
      <c r="D211" s="7" t="n">
        <v>0.0357</v>
      </c>
      <c r="E211" s="7" t="n">
        <v>0.0063</v>
      </c>
      <c r="F211" s="8" t="inlineStr">
        <is>
          <t>Low</t>
        </is>
      </c>
      <c r="G211" s="8" t="inlineStr">
        <is>
          <t>Low</t>
        </is>
      </c>
      <c r="H211">
        <f>IF(F211=G211,"YES","NO")</f>
        <v/>
      </c>
    </row>
    <row r="212">
      <c r="A212" s="6" t="inlineStr">
        <is>
          <t>STANFIELD PRINTING COMPANY, INC.</t>
        </is>
      </c>
      <c r="B212" s="7" t="n">
        <v>61</v>
      </c>
      <c r="C212" s="7" t="n">
        <v>0</v>
      </c>
      <c r="D212" s="7" t="n">
        <v>0</v>
      </c>
      <c r="E212" s="7" t="n">
        <v>0</v>
      </c>
      <c r="F212" s="8" t="inlineStr">
        <is>
          <t>Low</t>
        </is>
      </c>
      <c r="G212" s="8" t="inlineStr">
        <is>
          <t>Low</t>
        </is>
      </c>
      <c r="H212">
        <f>IF(F212=G212,"YES","NO")</f>
        <v/>
      </c>
    </row>
    <row r="213">
      <c r="A213" s="6" t="inlineStr">
        <is>
          <t>STEAMROLLER COPIES, INC.</t>
        </is>
      </c>
      <c r="B213" s="7" t="n">
        <v>1</v>
      </c>
      <c r="C213" s="7" t="n">
        <v>0</v>
      </c>
      <c r="D213" s="7" t="n">
        <v>0</v>
      </c>
      <c r="E213" s="7" t="n">
        <v>0</v>
      </c>
      <c r="F213" s="8" t="inlineStr">
        <is>
          <t>Low</t>
        </is>
      </c>
      <c r="G213" s="8" t="inlineStr">
        <is>
          <t>Low</t>
        </is>
      </c>
      <c r="H213">
        <f>IF(F213=G213,"YES","NO")</f>
        <v/>
      </c>
    </row>
    <row r="214">
      <c r="A214" s="6" t="inlineStr">
        <is>
          <t>Southeast Sls</t>
        </is>
      </c>
      <c r="B214" s="7" t="n">
        <v>1</v>
      </c>
      <c r="C214" s="7" t="n">
        <v>0</v>
      </c>
      <c r="D214" s="7" t="n">
        <v>0</v>
      </c>
      <c r="E214" s="7" t="n">
        <v>0</v>
      </c>
      <c r="F214" s="8" t="inlineStr">
        <is>
          <t>Low</t>
        </is>
      </c>
      <c r="G214" s="8" t="inlineStr">
        <is>
          <t>Low</t>
        </is>
      </c>
      <c r="H214">
        <f>IF(F214=G214,"YES","NO")</f>
        <v/>
      </c>
    </row>
    <row r="215">
      <c r="A215" s="6" t="inlineStr">
        <is>
          <t>TA SEELEY OFFICE SYSTEMS</t>
        </is>
      </c>
      <c r="B215" s="7" t="n">
        <v>441</v>
      </c>
      <c r="C215" s="7" t="n">
        <v>4</v>
      </c>
      <c r="D215" s="7" t="n">
        <v>0.0091</v>
      </c>
      <c r="E215" s="7" t="n">
        <v>0.0035</v>
      </c>
      <c r="F215" s="8" t="inlineStr">
        <is>
          <t>Low</t>
        </is>
      </c>
      <c r="G215" s="8" t="inlineStr">
        <is>
          <t>Low</t>
        </is>
      </c>
      <c r="H215">
        <f>IF(F215=G215,"YES","NO")</f>
        <v/>
      </c>
    </row>
    <row r="216">
      <c r="A216" s="6" t="inlineStr">
        <is>
          <t>THE LANG COMPANY</t>
        </is>
      </c>
      <c r="B216" s="7" t="n">
        <v>237</v>
      </c>
      <c r="C216" s="7" t="n">
        <v>12</v>
      </c>
      <c r="D216" s="7" t="n">
        <v>0.0506</v>
      </c>
      <c r="E216" s="7" t="n">
        <v>0.0292</v>
      </c>
      <c r="F216" s="8" t="inlineStr">
        <is>
          <t>Low</t>
        </is>
      </c>
      <c r="G216" s="8" t="inlineStr">
        <is>
          <t>Low</t>
        </is>
      </c>
      <c r="H216">
        <f>IF(F216=G216,"YES","NO")</f>
        <v/>
      </c>
    </row>
    <row r="217">
      <c r="A217" s="6" t="inlineStr">
        <is>
          <t>THE OFFICE DOCTOR</t>
        </is>
      </c>
      <c r="B217" s="7" t="n">
        <v>23</v>
      </c>
      <c r="C217" s="7" t="n">
        <v>0</v>
      </c>
      <c r="D217" s="7" t="n">
        <v>0</v>
      </c>
      <c r="E217" s="7" t="n">
        <v>0</v>
      </c>
      <c r="F217" s="8" t="inlineStr">
        <is>
          <t>Low</t>
        </is>
      </c>
      <c r="G217" s="8" t="inlineStr">
        <is>
          <t>Low</t>
        </is>
      </c>
      <c r="H217">
        <f>IF(F217=G217,"YES","NO")</f>
        <v/>
      </c>
    </row>
    <row r="218">
      <c r="A218" s="6" t="inlineStr">
        <is>
          <t>THE SWENSON GROUP, INC.</t>
        </is>
      </c>
      <c r="B218" s="7" t="n">
        <v>468</v>
      </c>
      <c r="C218" s="7" t="n">
        <v>8</v>
      </c>
      <c r="D218" s="7" t="n">
        <v>0.0171</v>
      </c>
      <c r="E218" s="7" t="n">
        <v>0.008699999999999999</v>
      </c>
      <c r="F218" s="8" t="inlineStr">
        <is>
          <t>Low</t>
        </is>
      </c>
      <c r="G218" s="8" t="inlineStr">
        <is>
          <t>Low</t>
        </is>
      </c>
      <c r="H218">
        <f>IF(F218=G218,"YES","NO")</f>
        <v/>
      </c>
    </row>
    <row r="219">
      <c r="A219" s="6" t="inlineStr">
        <is>
          <t>TRI-CITY BUSINESS MACHINES COMPANY</t>
        </is>
      </c>
      <c r="B219" s="7" t="n">
        <v>219</v>
      </c>
      <c r="C219" s="7" t="n">
        <v>6</v>
      </c>
      <c r="D219" s="7" t="n">
        <v>0.0274</v>
      </c>
      <c r="E219" s="7" t="n">
        <v>0.0126</v>
      </c>
      <c r="F219" s="8" t="inlineStr">
        <is>
          <t>Low</t>
        </is>
      </c>
      <c r="G219" s="8" t="inlineStr">
        <is>
          <t>Low</t>
        </is>
      </c>
      <c r="H219">
        <f>IF(F219=G219,"YES","NO")</f>
        <v/>
      </c>
    </row>
    <row r="220">
      <c r="A220" s="6" t="inlineStr">
        <is>
          <t>TRI-COPY OFFICE EQUIPMENT, INC.</t>
        </is>
      </c>
      <c r="B220" s="7" t="n">
        <v>221</v>
      </c>
      <c r="C220" s="7" t="n">
        <v>8</v>
      </c>
      <c r="D220" s="7" t="n">
        <v>0.0362</v>
      </c>
      <c r="E220" s="7" t="n">
        <v>0.0185</v>
      </c>
      <c r="F220" s="8" t="inlineStr">
        <is>
          <t>Low</t>
        </is>
      </c>
      <c r="G220" s="8" t="inlineStr">
        <is>
          <t>Low</t>
        </is>
      </c>
      <c r="H220">
        <f>IF(F220=G220,"YES","NO")</f>
        <v/>
      </c>
    </row>
    <row r="221">
      <c r="A221" s="6" t="inlineStr">
        <is>
          <t>Texas</t>
        </is>
      </c>
      <c r="B221" s="7" t="n">
        <v>15</v>
      </c>
      <c r="C221" s="7" t="n">
        <v>1</v>
      </c>
      <c r="D221" s="7" t="n">
        <v>0.0667</v>
      </c>
      <c r="E221" s="7" t="n">
        <v>0.0119</v>
      </c>
      <c r="F221" s="8" t="inlineStr">
        <is>
          <t>Low</t>
        </is>
      </c>
      <c r="G221" s="8" t="inlineStr">
        <is>
          <t>Medium</t>
        </is>
      </c>
      <c r="H221">
        <f>IF(F221=G221,"YES","NO")</f>
        <v/>
      </c>
    </row>
    <row r="222">
      <c r="A222" s="6" t="inlineStr">
        <is>
          <t>UBEO WEST, LLC</t>
        </is>
      </c>
      <c r="B222" s="7" t="n">
        <v>118</v>
      </c>
      <c r="C222" s="7" t="n">
        <v>13</v>
      </c>
      <c r="D222" s="7" t="n">
        <v>0.1102</v>
      </c>
      <c r="E222" s="7" t="n">
        <v>0.0655</v>
      </c>
      <c r="F222" s="8" t="inlineStr">
        <is>
          <t>Low</t>
        </is>
      </c>
      <c r="G222" s="8" t="inlineStr">
        <is>
          <t>Low</t>
        </is>
      </c>
      <c r="H222">
        <f>IF(F222=G222,"YES","NO")</f>
        <v/>
      </c>
    </row>
    <row r="223">
      <c r="A223" s="6" t="inlineStr">
        <is>
          <t>UNITED OFFICE SYSTEMS</t>
        </is>
      </c>
      <c r="B223" s="7" t="n">
        <v>294</v>
      </c>
      <c r="C223" s="7" t="n">
        <v>1</v>
      </c>
      <c r="D223" s="7" t="n">
        <v>0.0034</v>
      </c>
      <c r="E223" s="7" t="n">
        <v>0.0005999999999999999</v>
      </c>
      <c r="F223" s="8" t="inlineStr">
        <is>
          <t>Low</t>
        </is>
      </c>
      <c r="G223" s="8" t="inlineStr">
        <is>
          <t>Low</t>
        </is>
      </c>
      <c r="H223">
        <f>IF(F223=G223,"YES","NO")</f>
        <v/>
      </c>
    </row>
    <row r="224">
      <c r="A224" s="6" t="inlineStr">
        <is>
          <t>UPPER CANADA OFFICE SYSTEMS</t>
        </is>
      </c>
      <c r="B224" s="7" t="n">
        <v>5</v>
      </c>
      <c r="C224" s="7" t="n">
        <v>0</v>
      </c>
      <c r="D224" s="7" t="n">
        <v>0</v>
      </c>
      <c r="E224" s="7" t="n">
        <v>0</v>
      </c>
      <c r="F224" s="8" t="inlineStr">
        <is>
          <t>Low</t>
        </is>
      </c>
      <c r="G224" s="8" t="inlineStr">
        <is>
          <t>Low</t>
        </is>
      </c>
      <c r="H224">
        <f>IF(F224=G224,"YES","NO")</f>
        <v/>
      </c>
    </row>
    <row r="225">
      <c r="A225" s="6" t="inlineStr">
        <is>
          <t>URM TECHNOLOGIES, INC.</t>
        </is>
      </c>
      <c r="B225" s="7" t="n">
        <v>3</v>
      </c>
      <c r="C225" s="7" t="n">
        <v>0</v>
      </c>
      <c r="D225" s="7" t="n">
        <v>0</v>
      </c>
      <c r="E225" s="7" t="n">
        <v>0</v>
      </c>
      <c r="F225" s="8" t="inlineStr">
        <is>
          <t>Low</t>
        </is>
      </c>
      <c r="G225" s="8" t="inlineStr">
        <is>
          <t>High</t>
        </is>
      </c>
      <c r="H225">
        <f>IF(F225=G225,"YES","NO")</f>
        <v/>
      </c>
    </row>
    <row r="226">
      <c r="A226" s="6" t="inlineStr">
        <is>
          <t>ZONE 3 BUSINESS SOLUTIONS, INC.</t>
        </is>
      </c>
      <c r="B226" s="7" t="n">
        <v>41</v>
      </c>
      <c r="C226" s="7" t="n">
        <v>0</v>
      </c>
      <c r="D226" s="7" t="n">
        <v>0</v>
      </c>
      <c r="E226" s="7" t="n">
        <v>0</v>
      </c>
      <c r="F226" s="8" t="inlineStr">
        <is>
          <t>Low</t>
        </is>
      </c>
      <c r="G226" s="8" t="inlineStr">
        <is>
          <t>Low</t>
        </is>
      </c>
      <c r="H226">
        <f>IF(F226=G226,"YES","NO")</f>
        <v/>
      </c>
    </row>
    <row r="227">
      <c r="A227" s="6" t="inlineStr">
        <is>
          <t>DBA DIGITAL PRINT SOLUTIONS</t>
        </is>
      </c>
      <c r="B227" s="7" t="n">
        <v>17</v>
      </c>
      <c r="C227" s="7" t="n">
        <v>4</v>
      </c>
      <c r="D227" s="7" t="n">
        <v>0.2353</v>
      </c>
      <c r="E227" s="7" t="n">
        <v>0.0955</v>
      </c>
      <c r="F227" s="8" t="inlineStr">
        <is>
          <t>Medium</t>
        </is>
      </c>
      <c r="G227" s="8" t="inlineStr">
        <is>
          <t>Medium</t>
        </is>
      </c>
      <c r="H227">
        <f>IF(F227=G227,"YES","NO")</f>
        <v/>
      </c>
    </row>
    <row r="228">
      <c r="A228" s="6" t="inlineStr">
        <is>
          <t>MARCO TECHNOLOGIES, LLC</t>
        </is>
      </c>
      <c r="B228" s="7" t="n">
        <v>71</v>
      </c>
      <c r="C228" s="7" t="n">
        <v>13</v>
      </c>
      <c r="D228" s="7" t="n">
        <v>0.1831</v>
      </c>
      <c r="E228" s="7" t="n">
        <v>0.1102</v>
      </c>
      <c r="F228" s="8" t="inlineStr">
        <is>
          <t>Medium</t>
        </is>
      </c>
      <c r="G228" s="8" t="inlineStr">
        <is>
          <t>High</t>
        </is>
      </c>
      <c r="H228">
        <f>IF(F228=G228,"YES","NO")</f>
        <v/>
      </c>
    </row>
    <row r="229">
      <c r="A229" s="6" t="inlineStr">
        <is>
          <t>OFFICECORP, INC.</t>
        </is>
      </c>
      <c r="B229" s="7" t="n">
        <v>10</v>
      </c>
      <c r="C229" s="7" t="n">
        <v>3</v>
      </c>
      <c r="D229" s="7" t="n">
        <v>0.3</v>
      </c>
      <c r="E229" s="7" t="n">
        <v>0.1078</v>
      </c>
      <c r="F229" s="8" t="inlineStr">
        <is>
          <t>Medium</t>
        </is>
      </c>
      <c r="G229" s="8" t="inlineStr">
        <is>
          <t>Medium</t>
        </is>
      </c>
      <c r="H229">
        <f>IF(F229=G229,"YES","NO")</f>
        <v/>
      </c>
    </row>
  </sheetData>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showDropDown="0" showInputMessage="0" showErrorMessage="0" allowBlank="0"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6" customWidth="1" min="2" max="2"/>
    <col width="12" customWidth="1" min="3" max="3"/>
    <col width="12" customWidth="1" min="4" max="4"/>
    <col width="12" customWidth="1" min="5" max="5"/>
  </cols>
  <sheetData>
    <row r="1">
      <c r="A1" s="3" t="inlineStr">
        <is>
          <t>Comparison Summary - Dealers (recalculates live)</t>
        </is>
      </c>
    </row>
    <row r="3">
      <c r="A3" s="9" t="inlineStr">
        <is>
          <t>Total</t>
        </is>
      </c>
      <c r="B3">
        <f>COUNTA('Dealers'!$F$5:$F$229)</f>
        <v/>
      </c>
    </row>
    <row r="4">
      <c r="A4" s="9" t="inlineStr">
        <is>
          <t>Exact agreement (count)</t>
        </is>
      </c>
      <c r="B4">
        <f>SUMPRODUCT(--('Dealers'!$F$5:$F$229='Dealers'!$G$5:$G$229))</f>
        <v/>
      </c>
    </row>
    <row r="5">
      <c r="A5" s="9" t="inlineStr">
        <is>
          <t>Exact agreement (%)</t>
        </is>
      </c>
      <c r="B5" s="10">
        <f>B4/B3</f>
        <v/>
      </c>
    </row>
    <row r="7">
      <c r="A7" s="9" t="inlineStr">
        <is>
          <t>Agreement matrix (rows = Step 4, cols = Step 5)</t>
        </is>
      </c>
    </row>
    <row r="8">
      <c r="B8" s="11" t="inlineStr">
        <is>
          <t>High</t>
        </is>
      </c>
      <c r="C8" s="11" t="inlineStr">
        <is>
          <t>Medium</t>
        </is>
      </c>
      <c r="D8" s="11" t="inlineStr">
        <is>
          <t>Low</t>
        </is>
      </c>
    </row>
    <row r="9">
      <c r="A9" s="11" t="inlineStr">
        <is>
          <t>High</t>
        </is>
      </c>
      <c r="B9" s="12">
        <f>SUMPRODUCT(--('Dealers'!$F$5:$F$229="High"),--('Dealers'!$G$5:$G$229="High"))</f>
        <v/>
      </c>
      <c r="C9" s="12">
        <f>SUMPRODUCT(--('Dealers'!$F$5:$F$229="High"),--('Dealers'!$G$5:$G$229="Medium"))</f>
        <v/>
      </c>
      <c r="D9" s="12">
        <f>SUMPRODUCT(--('Dealers'!$F$5:$F$229="High"),--('Dealers'!$G$5:$G$229="Low"))</f>
        <v/>
      </c>
      <c r="E9">
        <f>SUM(B9:D9)</f>
        <v/>
      </c>
    </row>
    <row r="10">
      <c r="A10" s="11" t="inlineStr">
        <is>
          <t>Medium</t>
        </is>
      </c>
      <c r="B10" s="12">
        <f>SUMPRODUCT(--('Dealers'!$F$5:$F$229="Medium"),--('Dealers'!$G$5:$G$229="High"))</f>
        <v/>
      </c>
      <c r="C10" s="12">
        <f>SUMPRODUCT(--('Dealers'!$F$5:$F$229="Medium"),--('Dealers'!$G$5:$G$229="Medium"))</f>
        <v/>
      </c>
      <c r="D10" s="12">
        <f>SUMPRODUCT(--('Dealers'!$F$5:$F$229="Medium"),--('Dealers'!$G$5:$G$229="Low"))</f>
        <v/>
      </c>
      <c r="E10">
        <f>SUM(B10:D10)</f>
        <v/>
      </c>
    </row>
    <row r="11">
      <c r="A11" s="11" t="inlineStr">
        <is>
          <t>Low</t>
        </is>
      </c>
      <c r="B11" s="12">
        <f>SUMPRODUCT(--('Dealers'!$F$5:$F$229="Low"),--('Dealers'!$G$5:$G$229="High"))</f>
        <v/>
      </c>
      <c r="C11" s="12">
        <f>SUMPRODUCT(--('Dealers'!$F$5:$F$229="Low"),--('Dealers'!$G$5:$G$229="Medium"))</f>
        <v/>
      </c>
      <c r="D11" s="12">
        <f>SUMPRODUCT(--('Dealers'!$F$5:$F$229="Low"),--('Dealers'!$G$5:$G$229="Low"))</f>
        <v/>
      </c>
      <c r="E11">
        <f>SUM(B11:D11)</f>
        <v/>
      </c>
    </row>
    <row r="12">
      <c r="B12">
        <f>SUM(B9:B11)</f>
        <v/>
      </c>
      <c r="C12">
        <f>SUM(C9:C11)</f>
        <v/>
      </c>
      <c r="D12">
        <f>SUM(D9:D11)</f>
        <v/>
      </c>
    </row>
    <row r="14">
      <c r="A14" s="9" t="inlineStr">
        <is>
          <t>Cohen's kappa (agreement beyond chance)</t>
        </is>
      </c>
    </row>
    <row r="15">
      <c r="A15" s="9" t="inlineStr">
        <is>
          <t>po (observed)</t>
        </is>
      </c>
      <c r="B15">
        <f>B5</f>
        <v/>
      </c>
    </row>
    <row r="16">
      <c r="A16" s="9" t="inlineStr">
        <is>
          <t>pe (expected)</t>
        </is>
      </c>
      <c r="B16">
        <f>(E9*B12+E10*C12+E11*D12)/(B3*B3)</f>
        <v/>
      </c>
    </row>
    <row r="17">
      <c r="A17" s="9" t="inlineStr">
        <is>
          <t>kappa</t>
        </is>
      </c>
      <c r="B17" s="13">
        <f>(B15-B16)/(1-B16)</f>
        <v/>
      </c>
    </row>
    <row r="18">
      <c r="A18" s="9" t="inlineStr">
        <is>
          <t>Interpretation</t>
        </is>
      </c>
      <c r="B18">
        <f>IF(B17&lt;0,"worse than chance",IF(B17&lt;=0.2,"slight",IF(B17&lt;=0.4,"fair",IF(B17&lt;=0.6,"moderate",IF(B17&lt;=0.8,"substantial","almost perfect")))))</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s>
  <sheetData>
    <row r="1">
      <c r="A1" s="14" t="inlineStr">
        <is>
          <t>Disagreements - Dealers (review priority)</t>
        </is>
      </c>
    </row>
    <row r="3">
      <c r="A3" s="5" t="inlineStr">
        <is>
          <t>DealerName</t>
        </is>
      </c>
      <c r="B3" s="5" t="inlineStr">
        <is>
          <t>claim_count</t>
        </is>
      </c>
      <c r="C3" s="5" t="inlineStr">
        <is>
          <t>high_count</t>
        </is>
      </c>
      <c r="D3" s="5" t="inlineStr">
        <is>
          <t>raw_high_rate</t>
        </is>
      </c>
      <c r="E3" s="5" t="inlineStr">
        <is>
          <t>wilson_lower</t>
        </is>
      </c>
      <c r="F3" s="5" t="inlineStr">
        <is>
          <t>step4_level</t>
        </is>
      </c>
      <c r="G3" s="5" t="inlineStr">
        <is>
          <t>step5_level</t>
        </is>
      </c>
    </row>
    <row r="4">
      <c r="A4" s="6" t="inlineStr">
        <is>
          <t>Commercial Print</t>
        </is>
      </c>
      <c r="B4" s="7" t="n">
        <v>2</v>
      </c>
      <c r="C4" s="7" t="n">
        <v>2</v>
      </c>
      <c r="D4" s="7" t="n">
        <v>1</v>
      </c>
      <c r="E4" s="7" t="n">
        <v>0.3424</v>
      </c>
      <c r="F4" s="7" t="inlineStr">
        <is>
          <t>High</t>
        </is>
      </c>
      <c r="G4" s="7" t="inlineStr">
        <is>
          <t>Medium</t>
        </is>
      </c>
    </row>
    <row r="5">
      <c r="A5" s="6" t="inlineStr">
        <is>
          <t>DBA PROSOURCE</t>
        </is>
      </c>
      <c r="B5" s="7" t="n">
        <v>4039</v>
      </c>
      <c r="C5" s="7" t="n">
        <v>535</v>
      </c>
      <c r="D5" s="7" t="n">
        <v>0.1325</v>
      </c>
      <c r="E5" s="7" t="n">
        <v>0.1224</v>
      </c>
      <c r="F5" s="7" t="inlineStr">
        <is>
          <t>High</t>
        </is>
      </c>
      <c r="G5" s="7" t="inlineStr">
        <is>
          <t>Low</t>
        </is>
      </c>
    </row>
    <row r="6">
      <c r="A6" s="6" t="inlineStr">
        <is>
          <t>DBA WILSON OFFICE SOLUTIONS</t>
        </is>
      </c>
      <c r="B6" s="7" t="n">
        <v>5</v>
      </c>
      <c r="C6" s="7" t="n">
        <v>2</v>
      </c>
      <c r="D6" s="7" t="n">
        <v>0.4</v>
      </c>
      <c r="E6" s="7" t="n">
        <v>0.1176</v>
      </c>
      <c r="F6" s="7" t="inlineStr">
        <is>
          <t>High</t>
        </is>
      </c>
      <c r="G6" s="7" t="inlineStr">
        <is>
          <t>Low</t>
        </is>
      </c>
    </row>
    <row r="7">
      <c r="A7" s="6" t="inlineStr">
        <is>
          <t>EXECUTIVE COLOR SYSTEMS, INC.</t>
        </is>
      </c>
      <c r="B7" s="7" t="n">
        <v>845</v>
      </c>
      <c r="C7" s="7" t="n">
        <v>148</v>
      </c>
      <c r="D7" s="7" t="n">
        <v>0.1751</v>
      </c>
      <c r="E7" s="7" t="n">
        <v>0.151</v>
      </c>
      <c r="F7" s="7" t="inlineStr">
        <is>
          <t>High</t>
        </is>
      </c>
      <c r="G7" s="7" t="inlineStr">
        <is>
          <t>Low</t>
        </is>
      </c>
    </row>
    <row r="8">
      <c r="A8" s="6" t="inlineStr">
        <is>
          <t>INTEGRATED DIGITAL SOLUTIONS, INC.</t>
        </is>
      </c>
      <c r="B8" s="7" t="n">
        <v>8</v>
      </c>
      <c r="C8" s="7" t="n">
        <v>3</v>
      </c>
      <c r="D8" s="7" t="n">
        <v>0.375</v>
      </c>
      <c r="E8" s="7" t="n">
        <v>0.1368</v>
      </c>
      <c r="F8" s="7" t="inlineStr">
        <is>
          <t>High</t>
        </is>
      </c>
      <c r="G8" s="7" t="inlineStr">
        <is>
          <t>Low</t>
        </is>
      </c>
    </row>
    <row r="9">
      <c r="A9" s="6" t="inlineStr">
        <is>
          <t>Mid-Atlantic</t>
        </is>
      </c>
      <c r="B9" s="7" t="n">
        <v>37</v>
      </c>
      <c r="C9" s="7" t="n">
        <v>10</v>
      </c>
      <c r="D9" s="7" t="n">
        <v>0.2703</v>
      </c>
      <c r="E9" s="7" t="n">
        <v>0.154</v>
      </c>
      <c r="F9" s="7" t="inlineStr">
        <is>
          <t>High</t>
        </is>
      </c>
      <c r="G9" s="7" t="inlineStr">
        <is>
          <t>Low</t>
        </is>
      </c>
    </row>
    <row r="10">
      <c r="A10" s="6" t="inlineStr">
        <is>
          <t>Mid-South</t>
        </is>
      </c>
      <c r="B10" s="7" t="n">
        <v>9</v>
      </c>
      <c r="C10" s="7" t="n">
        <v>3</v>
      </c>
      <c r="D10" s="7" t="n">
        <v>0.3333</v>
      </c>
      <c r="E10" s="7" t="n">
        <v>0.1206</v>
      </c>
      <c r="F10" s="7" t="inlineStr">
        <is>
          <t>High</t>
        </is>
      </c>
      <c r="G10" s="7" t="inlineStr">
        <is>
          <t>Medium</t>
        </is>
      </c>
    </row>
    <row r="11">
      <c r="A11" s="6" t="inlineStr">
        <is>
          <t>NATIONAL OFFICE PRODUCTS &amp; PRINTING, INC.</t>
        </is>
      </c>
      <c r="B11" s="7" t="n">
        <v>132</v>
      </c>
      <c r="C11" s="7" t="n">
        <v>27</v>
      </c>
      <c r="D11" s="7" t="n">
        <v>0.2045</v>
      </c>
      <c r="E11" s="7" t="n">
        <v>0.1446</v>
      </c>
      <c r="F11" s="7" t="inlineStr">
        <is>
          <t>High</t>
        </is>
      </c>
      <c r="G11" s="7" t="inlineStr">
        <is>
          <t>Low</t>
        </is>
      </c>
    </row>
    <row r="12">
      <c r="A12" s="6" t="inlineStr">
        <is>
          <t>NORTHERN BUSINESS MACHINES NH, INC.</t>
        </is>
      </c>
      <c r="B12" s="7" t="n">
        <v>5</v>
      </c>
      <c r="C12" s="7" t="n">
        <v>2</v>
      </c>
      <c r="D12" s="7" t="n">
        <v>0.4</v>
      </c>
      <c r="E12" s="7" t="n">
        <v>0.1176</v>
      </c>
      <c r="F12" s="7" t="inlineStr">
        <is>
          <t>High</t>
        </is>
      </c>
      <c r="G12" s="7" t="inlineStr">
        <is>
          <t>Low</t>
        </is>
      </c>
    </row>
    <row r="13">
      <c r="A13" s="6" t="inlineStr">
        <is>
          <t>PANAMA BUSINESS MACHINES, INC.</t>
        </is>
      </c>
      <c r="B13" s="7" t="n">
        <v>29</v>
      </c>
      <c r="C13" s="7" t="n">
        <v>7</v>
      </c>
      <c r="D13" s="7" t="n">
        <v>0.2414</v>
      </c>
      <c r="E13" s="7" t="n">
        <v>0.1222</v>
      </c>
      <c r="F13" s="7" t="inlineStr">
        <is>
          <t>High</t>
        </is>
      </c>
      <c r="G13" s="7" t="inlineStr">
        <is>
          <t>Low</t>
        </is>
      </c>
    </row>
    <row r="14">
      <c r="A14" s="6" t="inlineStr">
        <is>
          <t>PROFESSIONAL BUSINESS SYSTEMS, INC.</t>
        </is>
      </c>
      <c r="B14" s="7" t="n">
        <v>7</v>
      </c>
      <c r="C14" s="7" t="n">
        <v>4</v>
      </c>
      <c r="D14" s="7" t="n">
        <v>0.5714</v>
      </c>
      <c r="E14" s="7" t="n">
        <v>0.2505</v>
      </c>
      <c r="F14" s="7" t="inlineStr">
        <is>
          <t>High</t>
        </is>
      </c>
      <c r="G14" s="7" t="inlineStr">
        <is>
          <t>Medium</t>
        </is>
      </c>
    </row>
    <row r="15">
      <c r="A15" s="6" t="inlineStr">
        <is>
          <t>RECOGNITION SYSTEMS, INC.</t>
        </is>
      </c>
      <c r="B15" s="7" t="n">
        <v>15</v>
      </c>
      <c r="C15" s="7" t="n">
        <v>5</v>
      </c>
      <c r="D15" s="7" t="n">
        <v>0.3333</v>
      </c>
      <c r="E15" s="7" t="n">
        <v>0.1518</v>
      </c>
      <c r="F15" s="7" t="inlineStr">
        <is>
          <t>High</t>
        </is>
      </c>
      <c r="G15" s="7" t="inlineStr">
        <is>
          <t>Medium</t>
        </is>
      </c>
    </row>
    <row r="16">
      <c r="A16" s="6" t="inlineStr">
        <is>
          <t>So Cal / Lv</t>
        </is>
      </c>
      <c r="B16" s="7" t="n">
        <v>19</v>
      </c>
      <c r="C16" s="7" t="n">
        <v>6</v>
      </c>
      <c r="D16" s="7" t="n">
        <v>0.3158</v>
      </c>
      <c r="E16" s="7" t="n">
        <v>0.1536</v>
      </c>
      <c r="F16" s="7" t="inlineStr">
        <is>
          <t>High</t>
        </is>
      </c>
      <c r="G16" s="7" t="inlineStr">
        <is>
          <t>Low</t>
        </is>
      </c>
    </row>
    <row r="17">
      <c r="A17" s="6" t="inlineStr">
        <is>
          <t>UBEO, LLC</t>
        </is>
      </c>
      <c r="B17" s="7" t="n">
        <v>1309</v>
      </c>
      <c r="C17" s="7" t="n">
        <v>188</v>
      </c>
      <c r="D17" s="7" t="n">
        <v>0.1436</v>
      </c>
      <c r="E17" s="7" t="n">
        <v>0.1257</v>
      </c>
      <c r="F17" s="7" t="inlineStr">
        <is>
          <t>High</t>
        </is>
      </c>
      <c r="G17" s="7" t="inlineStr">
        <is>
          <t>Low</t>
        </is>
      </c>
    </row>
    <row r="18">
      <c r="A18" s="6" t="inlineStr">
        <is>
          <t>ABM OFFICE SOLUTIONS, INC.</t>
        </is>
      </c>
      <c r="B18" s="7" t="n">
        <v>29</v>
      </c>
      <c r="C18" s="7" t="n">
        <v>4</v>
      </c>
      <c r="D18" s="7" t="n">
        <v>0.1379</v>
      </c>
      <c r="E18" s="7" t="n">
        <v>0.055</v>
      </c>
      <c r="F18" s="7" t="inlineStr">
        <is>
          <t>Low</t>
        </is>
      </c>
      <c r="G18" s="7" t="inlineStr">
        <is>
          <t>Medium</t>
        </is>
      </c>
    </row>
    <row r="19">
      <c r="A19" s="6" t="inlineStr">
        <is>
          <t>BUSINESS OFFICE SYSTEMS</t>
        </is>
      </c>
      <c r="B19" s="7" t="n">
        <v>72</v>
      </c>
      <c r="C19" s="7" t="n">
        <v>9</v>
      </c>
      <c r="D19" s="7" t="n">
        <v>0.125</v>
      </c>
      <c r="E19" s="7" t="n">
        <v>0.0672</v>
      </c>
      <c r="F19" s="7" t="inlineStr">
        <is>
          <t>Low</t>
        </is>
      </c>
      <c r="G19" s="7" t="inlineStr">
        <is>
          <t>High</t>
        </is>
      </c>
    </row>
    <row r="20">
      <c r="A20" s="6" t="inlineStr">
        <is>
          <t>CUNNINGHAM BUSINESS SYSTEMS, LLC</t>
        </is>
      </c>
      <c r="B20" s="7" t="n">
        <v>5</v>
      </c>
      <c r="C20" s="7" t="n">
        <v>0</v>
      </c>
      <c r="D20" s="7" t="n">
        <v>0</v>
      </c>
      <c r="E20" s="7" t="n">
        <v>0</v>
      </c>
      <c r="F20" s="7" t="inlineStr">
        <is>
          <t>Low</t>
        </is>
      </c>
      <c r="G20" s="7" t="inlineStr">
        <is>
          <t>High</t>
        </is>
      </c>
    </row>
    <row r="21">
      <c r="A21" s="6" t="inlineStr">
        <is>
          <t>Corporate</t>
        </is>
      </c>
      <c r="B21" s="7" t="n">
        <v>8</v>
      </c>
      <c r="C21" s="7" t="n">
        <v>0</v>
      </c>
      <c r="D21" s="7" t="n">
        <v>0</v>
      </c>
      <c r="E21" s="7" t="n">
        <v>0</v>
      </c>
      <c r="F21" s="7" t="inlineStr">
        <is>
          <t>Low</t>
        </is>
      </c>
      <c r="G21" s="7" t="inlineStr">
        <is>
          <t>High</t>
        </is>
      </c>
    </row>
    <row r="22">
      <c r="A22" s="6" t="inlineStr">
        <is>
          <t>DBA AXION BUSINESS TECHNOLOGIES</t>
        </is>
      </c>
      <c r="B22" s="7" t="n">
        <v>86</v>
      </c>
      <c r="C22" s="7" t="n">
        <v>10</v>
      </c>
      <c r="D22" s="7" t="n">
        <v>0.1163</v>
      </c>
      <c r="E22" s="7" t="n">
        <v>0.0644</v>
      </c>
      <c r="F22" s="7" t="inlineStr">
        <is>
          <t>Low</t>
        </is>
      </c>
      <c r="G22" s="7" t="inlineStr">
        <is>
          <t>High</t>
        </is>
      </c>
    </row>
    <row r="23">
      <c r="A23" s="6" t="inlineStr">
        <is>
          <t>DBA EASTERN MANAGED PRINT NETWORK</t>
        </is>
      </c>
      <c r="B23" s="7" t="n">
        <v>3</v>
      </c>
      <c r="C23" s="7" t="n">
        <v>1</v>
      </c>
      <c r="D23" s="7" t="n">
        <v>0.3333</v>
      </c>
      <c r="E23" s="7" t="n">
        <v>0.0615</v>
      </c>
      <c r="F23" s="7" t="inlineStr">
        <is>
          <t>Low</t>
        </is>
      </c>
      <c r="G23" s="7" t="inlineStr">
        <is>
          <t>Medium</t>
        </is>
      </c>
    </row>
    <row r="24">
      <c r="A24" s="6" t="inlineStr">
        <is>
          <t>DOCUMENT SOLUTIONS, LLC</t>
        </is>
      </c>
      <c r="B24" s="7" t="n">
        <v>288</v>
      </c>
      <c r="C24" s="7" t="n">
        <v>23</v>
      </c>
      <c r="D24" s="7" t="n">
        <v>0.0799</v>
      </c>
      <c r="E24" s="7" t="n">
        <v>0.0538</v>
      </c>
      <c r="F24" s="7" t="inlineStr">
        <is>
          <t>Low</t>
        </is>
      </c>
      <c r="G24" s="7" t="inlineStr">
        <is>
          <t>High</t>
        </is>
      </c>
    </row>
    <row r="25">
      <c r="A25" s="6" t="inlineStr">
        <is>
          <t>Dapack</t>
        </is>
      </c>
      <c r="B25" s="7" t="n">
        <v>18</v>
      </c>
      <c r="C25" s="7" t="n">
        <v>3</v>
      </c>
      <c r="D25" s="7" t="n">
        <v>0.1667</v>
      </c>
      <c r="E25" s="7" t="n">
        <v>0.0584</v>
      </c>
      <c r="F25" s="7" t="inlineStr">
        <is>
          <t>Low</t>
        </is>
      </c>
      <c r="G25" s="7" t="inlineStr">
        <is>
          <t>High</t>
        </is>
      </c>
    </row>
    <row r="26">
      <c r="A26" s="6" t="inlineStr">
        <is>
          <t>Field Employees - BUS</t>
        </is>
      </c>
      <c r="B26" s="7" t="n">
        <v>21</v>
      </c>
      <c r="C26" s="7" t="n">
        <v>4</v>
      </c>
      <c r="D26" s="7" t="n">
        <v>0.1905</v>
      </c>
      <c r="E26" s="7" t="n">
        <v>0.0767</v>
      </c>
      <c r="F26" s="7" t="inlineStr">
        <is>
          <t>Low</t>
        </is>
      </c>
      <c r="G26" s="7" t="inlineStr">
        <is>
          <t>Medium</t>
        </is>
      </c>
    </row>
    <row r="27">
      <c r="A27" s="6" t="inlineStr">
        <is>
          <t>Florida</t>
        </is>
      </c>
      <c r="B27" s="7" t="n">
        <v>16</v>
      </c>
      <c r="C27" s="7" t="n">
        <v>3</v>
      </c>
      <c r="D27" s="7" t="n">
        <v>0.1875</v>
      </c>
      <c r="E27" s="7" t="n">
        <v>0.0659</v>
      </c>
      <c r="F27" s="7" t="inlineStr">
        <is>
          <t>Low</t>
        </is>
      </c>
      <c r="G27" s="7" t="inlineStr">
        <is>
          <t>Medium</t>
        </is>
      </c>
    </row>
    <row r="28">
      <c r="A28" s="6" t="inlineStr">
        <is>
          <t>Great Plains</t>
        </is>
      </c>
      <c r="B28" s="7" t="n">
        <v>17</v>
      </c>
      <c r="C28" s="7" t="n">
        <v>0</v>
      </c>
      <c r="D28" s="7" t="n">
        <v>0</v>
      </c>
      <c r="E28" s="7" t="n">
        <v>0</v>
      </c>
      <c r="F28" s="7" t="inlineStr">
        <is>
          <t>Low</t>
        </is>
      </c>
      <c r="G28" s="7" t="inlineStr">
        <is>
          <t>High</t>
        </is>
      </c>
    </row>
    <row r="29">
      <c r="A29" s="6" t="inlineStr">
        <is>
          <t>NEW ENGLAND COPY SPECIALISTS, INC.</t>
        </is>
      </c>
      <c r="B29" s="7" t="n">
        <v>3</v>
      </c>
      <c r="C29" s="7" t="n">
        <v>0</v>
      </c>
      <c r="D29" s="7" t="n">
        <v>0</v>
      </c>
      <c r="E29" s="7" t="n">
        <v>0</v>
      </c>
      <c r="F29" s="7" t="inlineStr">
        <is>
          <t>Low</t>
        </is>
      </c>
      <c r="G29" s="7" t="inlineStr">
        <is>
          <t>Medium</t>
        </is>
      </c>
    </row>
    <row r="30">
      <c r="A30" s="6" t="inlineStr">
        <is>
          <t>NY Metro</t>
        </is>
      </c>
      <c r="B30" s="7" t="n">
        <v>4</v>
      </c>
      <c r="C30" s="7" t="n">
        <v>1</v>
      </c>
      <c r="D30" s="7" t="n">
        <v>0.25</v>
      </c>
      <c r="E30" s="7" t="n">
        <v>0.0456</v>
      </c>
      <c r="F30" s="7" t="inlineStr">
        <is>
          <t>Low</t>
        </is>
      </c>
      <c r="G30" s="7" t="inlineStr">
        <is>
          <t>Medium</t>
        </is>
      </c>
    </row>
    <row r="31">
      <c r="A31" s="6" t="inlineStr">
        <is>
          <t>PETERSON QUALITY OFFICE, INC.</t>
        </is>
      </c>
      <c r="B31" s="7" t="n">
        <v>4</v>
      </c>
      <c r="C31" s="7" t="n">
        <v>1</v>
      </c>
      <c r="D31" s="7" t="n">
        <v>0.25</v>
      </c>
      <c r="E31" s="7" t="n">
        <v>0.0456</v>
      </c>
      <c r="F31" s="7" t="inlineStr">
        <is>
          <t>Low</t>
        </is>
      </c>
      <c r="G31" s="7" t="inlineStr">
        <is>
          <t>Medium</t>
        </is>
      </c>
    </row>
    <row r="32">
      <c r="A32" s="6" t="inlineStr">
        <is>
          <t>Texas</t>
        </is>
      </c>
      <c r="B32" s="7" t="n">
        <v>15</v>
      </c>
      <c r="C32" s="7" t="n">
        <v>1</v>
      </c>
      <c r="D32" s="7" t="n">
        <v>0.0667</v>
      </c>
      <c r="E32" s="7" t="n">
        <v>0.0119</v>
      </c>
      <c r="F32" s="7" t="inlineStr">
        <is>
          <t>Low</t>
        </is>
      </c>
      <c r="G32" s="7" t="inlineStr">
        <is>
          <t>Medium</t>
        </is>
      </c>
    </row>
    <row r="33">
      <c r="A33" s="6" t="inlineStr">
        <is>
          <t>URM TECHNOLOGIES, INC.</t>
        </is>
      </c>
      <c r="B33" s="7" t="n">
        <v>3</v>
      </c>
      <c r="C33" s="7" t="n">
        <v>0</v>
      </c>
      <c r="D33" s="7" t="n">
        <v>0</v>
      </c>
      <c r="E33" s="7" t="n">
        <v>0</v>
      </c>
      <c r="F33" s="7" t="inlineStr">
        <is>
          <t>Low</t>
        </is>
      </c>
      <c r="G33" s="7" t="inlineStr">
        <is>
          <t>High</t>
        </is>
      </c>
    </row>
    <row r="34">
      <c r="A34" s="6" t="inlineStr">
        <is>
          <t>MARCO TECHNOLOGIES, LLC</t>
        </is>
      </c>
      <c r="B34" s="7" t="n">
        <v>71</v>
      </c>
      <c r="C34" s="7" t="n">
        <v>13</v>
      </c>
      <c r="D34" s="7" t="n">
        <v>0.1831</v>
      </c>
      <c r="E34" s="7" t="n">
        <v>0.1102</v>
      </c>
      <c r="F34" s="7" t="inlineStr">
        <is>
          <t>Medium</t>
        </is>
      </c>
      <c r="G34" s="7" t="inlineStr">
        <is>
          <t>High</t>
        </is>
      </c>
    </row>
  </sheetData>
  <autoFilter ref="A3:G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2026-09-11T16:58:26Z</dcterms:created>
  <dcterms:modified xsi:type="dcterms:W3CDTF">2026-09-11T16:58:27Z</dcterms:modified>
</cp:coreProperties>
</file>