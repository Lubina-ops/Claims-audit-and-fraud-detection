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lubina.zaidi/Documents/Claims audit and fraud detection/Final_KM_Claim_anomaly_&amp;_fraud_detection_models_analysis/data/"/>
    </mc:Choice>
  </mc:AlternateContent>
  <xr:revisionPtr revIDLastSave="0" documentId="8_{963D7DD3-7FE6-5548-B0C9-B7F798387C7E}" xr6:coauthVersionLast="47" xr6:coauthVersionMax="47" xr10:uidLastSave="{00000000-0000-0000-0000-000000000000}"/>
  <bookViews>
    <workbookView xWindow="0" yWindow="660" windowWidth="30240" windowHeight="17820" xr2:uid="{00000000-000D-0000-FFFF-FFFF00000000}"/>
  </bookViews>
  <sheets>
    <sheet name="Read me" sheetId="1" r:id="rId1"/>
    <sheet name="Claimants" sheetId="2" r:id="rId2"/>
    <sheet name="Summary (Claimants)" sheetId="3" r:id="rId3"/>
    <sheet name="Disagree (Claimants)" sheetId="4" r:id="rId4"/>
    <sheet name="Dealers" sheetId="5" r:id="rId5"/>
    <sheet name="Summary (Dealers)" sheetId="6" r:id="rId6"/>
    <sheet name="Disagree (Dealers)" sheetId="7" r:id="rId7"/>
  </sheets>
  <definedNames>
    <definedName name="_xlnm._FilterDatabase" localSheetId="3" hidden="1">'Disagree (Claimants)'!$A$3:$G$129</definedName>
    <definedName name="_xlnm._FilterDatabase" localSheetId="6" hidden="1">'Disagree (Dealers)'!$A$3:$G$20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3" l="1"/>
  <c r="D11" i="6"/>
  <c r="C11" i="6"/>
  <c r="B11" i="6"/>
  <c r="E11" i="6" s="1"/>
  <c r="D10" i="6"/>
  <c r="C10" i="6"/>
  <c r="B10" i="6"/>
  <c r="E10" i="6" s="1"/>
  <c r="D9" i="6"/>
  <c r="D12" i="6" s="1"/>
  <c r="C9" i="6"/>
  <c r="C12" i="6" s="1"/>
  <c r="B9" i="6"/>
  <c r="B4" i="6"/>
  <c r="B5" i="6" s="1"/>
  <c r="B15" i="6" s="1"/>
  <c r="B3" i="6"/>
  <c r="H229" i="5"/>
  <c r="H228" i="5"/>
  <c r="H227" i="5"/>
  <c r="H226" i="5"/>
  <c r="H225" i="5"/>
  <c r="H224" i="5"/>
  <c r="H223" i="5"/>
  <c r="H222" i="5"/>
  <c r="H221" i="5"/>
  <c r="H220" i="5"/>
  <c r="H219" i="5"/>
  <c r="H218" i="5"/>
  <c r="H217" i="5"/>
  <c r="H216" i="5"/>
  <c r="H215" i="5"/>
  <c r="H214" i="5"/>
  <c r="H213" i="5"/>
  <c r="H212" i="5"/>
  <c r="H211" i="5"/>
  <c r="H210" i="5"/>
  <c r="H209" i="5"/>
  <c r="H208" i="5"/>
  <c r="H207" i="5"/>
  <c r="H206" i="5"/>
  <c r="H205" i="5"/>
  <c r="H204" i="5"/>
  <c r="H203" i="5"/>
  <c r="H202" i="5"/>
  <c r="H201" i="5"/>
  <c r="H200" i="5"/>
  <c r="H199" i="5"/>
  <c r="H198" i="5"/>
  <c r="H197" i="5"/>
  <c r="H196" i="5"/>
  <c r="H195" i="5"/>
  <c r="H194" i="5"/>
  <c r="H193" i="5"/>
  <c r="H192" i="5"/>
  <c r="H191" i="5"/>
  <c r="H190" i="5"/>
  <c r="H189" i="5"/>
  <c r="H188" i="5"/>
  <c r="H187" i="5"/>
  <c r="H186" i="5"/>
  <c r="H185" i="5"/>
  <c r="H184" i="5"/>
  <c r="H183" i="5"/>
  <c r="H182" i="5"/>
  <c r="H181" i="5"/>
  <c r="H180" i="5"/>
  <c r="H179" i="5"/>
  <c r="H178" i="5"/>
  <c r="H177" i="5"/>
  <c r="H176" i="5"/>
  <c r="H175" i="5"/>
  <c r="H174" i="5"/>
  <c r="H173" i="5"/>
  <c r="H172" i="5"/>
  <c r="H171" i="5"/>
  <c r="H170" i="5"/>
  <c r="H169" i="5"/>
  <c r="H168" i="5"/>
  <c r="H167" i="5"/>
  <c r="H166" i="5"/>
  <c r="H165" i="5"/>
  <c r="H164" i="5"/>
  <c r="H163" i="5"/>
  <c r="H162" i="5"/>
  <c r="H161" i="5"/>
  <c r="H160" i="5"/>
  <c r="H159" i="5"/>
  <c r="H158" i="5"/>
  <c r="H157" i="5"/>
  <c r="H156" i="5"/>
  <c r="H155" i="5"/>
  <c r="H154" i="5"/>
  <c r="H153" i="5"/>
  <c r="H152" i="5"/>
  <c r="H151" i="5"/>
  <c r="H150" i="5"/>
  <c r="H149" i="5"/>
  <c r="H148" i="5"/>
  <c r="H147" i="5"/>
  <c r="H146" i="5"/>
  <c r="H145" i="5"/>
  <c r="H144" i="5"/>
  <c r="H143" i="5"/>
  <c r="H142" i="5"/>
  <c r="H141" i="5"/>
  <c r="H140" i="5"/>
  <c r="H139" i="5"/>
  <c r="H138" i="5"/>
  <c r="H137" i="5"/>
  <c r="H136" i="5"/>
  <c r="H135" i="5"/>
  <c r="H134" i="5"/>
  <c r="H133" i="5"/>
  <c r="H132" i="5"/>
  <c r="H131" i="5"/>
  <c r="H130" i="5"/>
  <c r="H129" i="5"/>
  <c r="H128" i="5"/>
  <c r="H127" i="5"/>
  <c r="H126" i="5"/>
  <c r="H125" i="5"/>
  <c r="H124" i="5"/>
  <c r="H123" i="5"/>
  <c r="H122" i="5"/>
  <c r="H121" i="5"/>
  <c r="H120" i="5"/>
  <c r="H119" i="5"/>
  <c r="H118" i="5"/>
  <c r="H117" i="5"/>
  <c r="H116" i="5"/>
  <c r="H115" i="5"/>
  <c r="H114" i="5"/>
  <c r="H113" i="5"/>
  <c r="H112" i="5"/>
  <c r="H111" i="5"/>
  <c r="H110" i="5"/>
  <c r="H109" i="5"/>
  <c r="H108" i="5"/>
  <c r="H107" i="5"/>
  <c r="H106" i="5"/>
  <c r="H105" i="5"/>
  <c r="H104" i="5"/>
  <c r="H103" i="5"/>
  <c r="H102" i="5"/>
  <c r="H101" i="5"/>
  <c r="H100" i="5"/>
  <c r="H99" i="5"/>
  <c r="H98" i="5"/>
  <c r="H97" i="5"/>
  <c r="H96" i="5"/>
  <c r="H95" i="5"/>
  <c r="H94" i="5"/>
  <c r="H93" i="5"/>
  <c r="H92" i="5"/>
  <c r="H91" i="5"/>
  <c r="H90" i="5"/>
  <c r="H89" i="5"/>
  <c r="H88" i="5"/>
  <c r="H87" i="5"/>
  <c r="H86" i="5"/>
  <c r="H85" i="5"/>
  <c r="H84" i="5"/>
  <c r="H83" i="5"/>
  <c r="H82" i="5"/>
  <c r="H81" i="5"/>
  <c r="H80" i="5"/>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6" i="5"/>
  <c r="H5" i="5"/>
  <c r="D11" i="3"/>
  <c r="C11" i="3"/>
  <c r="B11" i="3"/>
  <c r="E11" i="3" s="1"/>
  <c r="D10" i="3"/>
  <c r="C10" i="3"/>
  <c r="B10" i="3"/>
  <c r="E10" i="3" s="1"/>
  <c r="D9" i="3"/>
  <c r="D12" i="3" s="1"/>
  <c r="C9" i="3"/>
  <c r="C12" i="3" s="1"/>
  <c r="B9" i="3"/>
  <c r="B4" i="3"/>
  <c r="B5" i="3" s="1"/>
  <c r="B15" i="3" s="1"/>
  <c r="B3" i="3"/>
  <c r="H1994" i="2"/>
  <c r="H1993" i="2"/>
  <c r="H1992" i="2"/>
  <c r="H1991" i="2"/>
  <c r="H1990" i="2"/>
  <c r="H1989" i="2"/>
  <c r="H1988" i="2"/>
  <c r="H1987" i="2"/>
  <c r="H1986" i="2"/>
  <c r="H1985" i="2"/>
  <c r="H1984" i="2"/>
  <c r="H1983" i="2"/>
  <c r="H1982" i="2"/>
  <c r="H1981" i="2"/>
  <c r="H1980" i="2"/>
  <c r="H1979" i="2"/>
  <c r="H1978" i="2"/>
  <c r="H1977" i="2"/>
  <c r="H1976" i="2"/>
  <c r="H1975" i="2"/>
  <c r="H1974" i="2"/>
  <c r="H1973" i="2"/>
  <c r="H1972" i="2"/>
  <c r="H1971" i="2"/>
  <c r="H1970" i="2"/>
  <c r="H1969" i="2"/>
  <c r="H1968" i="2"/>
  <c r="H1967" i="2"/>
  <c r="H1966" i="2"/>
  <c r="H1965" i="2"/>
  <c r="H1964" i="2"/>
  <c r="H1963" i="2"/>
  <c r="H1962" i="2"/>
  <c r="H1961" i="2"/>
  <c r="H1960" i="2"/>
  <c r="H1959" i="2"/>
  <c r="H1958" i="2"/>
  <c r="H1957" i="2"/>
  <c r="H1956" i="2"/>
  <c r="H1955" i="2"/>
  <c r="H1954" i="2"/>
  <c r="H1953" i="2"/>
  <c r="H1952" i="2"/>
  <c r="H1951" i="2"/>
  <c r="H1950" i="2"/>
  <c r="H1949" i="2"/>
  <c r="H1948" i="2"/>
  <c r="H1947" i="2"/>
  <c r="H1946" i="2"/>
  <c r="H1945" i="2"/>
  <c r="H1944" i="2"/>
  <c r="H1943" i="2"/>
  <c r="H1942" i="2"/>
  <c r="H1941" i="2"/>
  <c r="H1940" i="2"/>
  <c r="H1939" i="2"/>
  <c r="H1938" i="2"/>
  <c r="H1937" i="2"/>
  <c r="H1936" i="2"/>
  <c r="H1935" i="2"/>
  <c r="H1934" i="2"/>
  <c r="H1933" i="2"/>
  <c r="H1932" i="2"/>
  <c r="H1931" i="2"/>
  <c r="H1930" i="2"/>
  <c r="H1929" i="2"/>
  <c r="H1928" i="2"/>
  <c r="H1927" i="2"/>
  <c r="H1926" i="2"/>
  <c r="H1925" i="2"/>
  <c r="H1924" i="2"/>
  <c r="H1923" i="2"/>
  <c r="H1922" i="2"/>
  <c r="H1921" i="2"/>
  <c r="H1920" i="2"/>
  <c r="H1919" i="2"/>
  <c r="H1918" i="2"/>
  <c r="H1917" i="2"/>
  <c r="H1916" i="2"/>
  <c r="H1915" i="2"/>
  <c r="H1914" i="2"/>
  <c r="H1913" i="2"/>
  <c r="H1912" i="2"/>
  <c r="H1911" i="2"/>
  <c r="H1910" i="2"/>
  <c r="H1909" i="2"/>
  <c r="H1908" i="2"/>
  <c r="H1907" i="2"/>
  <c r="H1906" i="2"/>
  <c r="H1905" i="2"/>
  <c r="H1904" i="2"/>
  <c r="H1903" i="2"/>
  <c r="H1902" i="2"/>
  <c r="H1901" i="2"/>
  <c r="H1900" i="2"/>
  <c r="H1899" i="2"/>
  <c r="H1898" i="2"/>
  <c r="H1897" i="2"/>
  <c r="H1896" i="2"/>
  <c r="H1895" i="2"/>
  <c r="H1894" i="2"/>
  <c r="H1893" i="2"/>
  <c r="H1892" i="2"/>
  <c r="H1891" i="2"/>
  <c r="H1890" i="2"/>
  <c r="H1889" i="2"/>
  <c r="H1888" i="2"/>
  <c r="H1887" i="2"/>
  <c r="H1886" i="2"/>
  <c r="H1885" i="2"/>
  <c r="H1884" i="2"/>
  <c r="H1883" i="2"/>
  <c r="H1882" i="2"/>
  <c r="H1881" i="2"/>
  <c r="H1880" i="2"/>
  <c r="H1879" i="2"/>
  <c r="H1878" i="2"/>
  <c r="H1877" i="2"/>
  <c r="H1876" i="2"/>
  <c r="H1875" i="2"/>
  <c r="H1874" i="2"/>
  <c r="H1873" i="2"/>
  <c r="H1872" i="2"/>
  <c r="H1871" i="2"/>
  <c r="H1870" i="2"/>
  <c r="H1869" i="2"/>
  <c r="H1868" i="2"/>
  <c r="H1867" i="2"/>
  <c r="H1866" i="2"/>
  <c r="H1865" i="2"/>
  <c r="H1864" i="2"/>
  <c r="H1863" i="2"/>
  <c r="H1862" i="2"/>
  <c r="H1861" i="2"/>
  <c r="H1860" i="2"/>
  <c r="H1859" i="2"/>
  <c r="H1858" i="2"/>
  <c r="H1857" i="2"/>
  <c r="H1856" i="2"/>
  <c r="H1855" i="2"/>
  <c r="H1854" i="2"/>
  <c r="H1853" i="2"/>
  <c r="H1852" i="2"/>
  <c r="H1851" i="2"/>
  <c r="H1850" i="2"/>
  <c r="H1849" i="2"/>
  <c r="H1848" i="2"/>
  <c r="H1847" i="2"/>
  <c r="H1846" i="2"/>
  <c r="H1845" i="2"/>
  <c r="H1844" i="2"/>
  <c r="H1843" i="2"/>
  <c r="H1842" i="2"/>
  <c r="H1841" i="2"/>
  <c r="H1840" i="2"/>
  <c r="H1839" i="2"/>
  <c r="H1838" i="2"/>
  <c r="H1837" i="2"/>
  <c r="H1836" i="2"/>
  <c r="H1835" i="2"/>
  <c r="H1834" i="2"/>
  <c r="H1833" i="2"/>
  <c r="H1832" i="2"/>
  <c r="H1831" i="2"/>
  <c r="H1830" i="2"/>
  <c r="H1829" i="2"/>
  <c r="H1828" i="2"/>
  <c r="H1827" i="2"/>
  <c r="H1826" i="2"/>
  <c r="H1825" i="2"/>
  <c r="H1824" i="2"/>
  <c r="H1823" i="2"/>
  <c r="H1822" i="2"/>
  <c r="H1821" i="2"/>
  <c r="H1820" i="2"/>
  <c r="H1819" i="2"/>
  <c r="H1818" i="2"/>
  <c r="H1817" i="2"/>
  <c r="H1816" i="2"/>
  <c r="H1815" i="2"/>
  <c r="H1814" i="2"/>
  <c r="H1813" i="2"/>
  <c r="H1812" i="2"/>
  <c r="H1811" i="2"/>
  <c r="H1810" i="2"/>
  <c r="H1809" i="2"/>
  <c r="H1808" i="2"/>
  <c r="H1807" i="2"/>
  <c r="H1806" i="2"/>
  <c r="H1805" i="2"/>
  <c r="H1804" i="2"/>
  <c r="H1803" i="2"/>
  <c r="H1802" i="2"/>
  <c r="H1801" i="2"/>
  <c r="H1800" i="2"/>
  <c r="H1799" i="2"/>
  <c r="H1798" i="2"/>
  <c r="H1797" i="2"/>
  <c r="H1796" i="2"/>
  <c r="H1795" i="2"/>
  <c r="H1794" i="2"/>
  <c r="H1793" i="2"/>
  <c r="H1792" i="2"/>
  <c r="H1791" i="2"/>
  <c r="H1790" i="2"/>
  <c r="H1789" i="2"/>
  <c r="H1788" i="2"/>
  <c r="H1787" i="2"/>
  <c r="H1786" i="2"/>
  <c r="H1785" i="2"/>
  <c r="H1784" i="2"/>
  <c r="H1783" i="2"/>
  <c r="H1782" i="2"/>
  <c r="H1781" i="2"/>
  <c r="H1780" i="2"/>
  <c r="H1779" i="2"/>
  <c r="H1778" i="2"/>
  <c r="H1777" i="2"/>
  <c r="H1776" i="2"/>
  <c r="H1775" i="2"/>
  <c r="H1774" i="2"/>
  <c r="H1773" i="2"/>
  <c r="H1772" i="2"/>
  <c r="H1771" i="2"/>
  <c r="H1770" i="2"/>
  <c r="H1769" i="2"/>
  <c r="H1768" i="2"/>
  <c r="H1767" i="2"/>
  <c r="H1766" i="2"/>
  <c r="H1765" i="2"/>
  <c r="H1764" i="2"/>
  <c r="H1763" i="2"/>
  <c r="H1762" i="2"/>
  <c r="H1761" i="2"/>
  <c r="H1760" i="2"/>
  <c r="H1759" i="2"/>
  <c r="H1758" i="2"/>
  <c r="H1757" i="2"/>
  <c r="H1756" i="2"/>
  <c r="H1755" i="2"/>
  <c r="H1754" i="2"/>
  <c r="H1753" i="2"/>
  <c r="H1752" i="2"/>
  <c r="H1751" i="2"/>
  <c r="H1750" i="2"/>
  <c r="H1749" i="2"/>
  <c r="H1748" i="2"/>
  <c r="H1747" i="2"/>
  <c r="H1746" i="2"/>
  <c r="H1745" i="2"/>
  <c r="H1744" i="2"/>
  <c r="H1743" i="2"/>
  <c r="H1742" i="2"/>
  <c r="H1741" i="2"/>
  <c r="H1740" i="2"/>
  <c r="H1739" i="2"/>
  <c r="H1738" i="2"/>
  <c r="H1737" i="2"/>
  <c r="H1736" i="2"/>
  <c r="H1735" i="2"/>
  <c r="H1734" i="2"/>
  <c r="H1733" i="2"/>
  <c r="H1732" i="2"/>
  <c r="H1731" i="2"/>
  <c r="H1730" i="2"/>
  <c r="H1729" i="2"/>
  <c r="H1728" i="2"/>
  <c r="H1727" i="2"/>
  <c r="H1726" i="2"/>
  <c r="H1725" i="2"/>
  <c r="H1724" i="2"/>
  <c r="H1723" i="2"/>
  <c r="H1722" i="2"/>
  <c r="H1721" i="2"/>
  <c r="H1720" i="2"/>
  <c r="H1719" i="2"/>
  <c r="H1718" i="2"/>
  <c r="H1717" i="2"/>
  <c r="H1716" i="2"/>
  <c r="H1715" i="2"/>
  <c r="H1714" i="2"/>
  <c r="H1713" i="2"/>
  <c r="H1712" i="2"/>
  <c r="H1711" i="2"/>
  <c r="H1710" i="2"/>
  <c r="H1709" i="2"/>
  <c r="H1708" i="2"/>
  <c r="H1707" i="2"/>
  <c r="H1706" i="2"/>
  <c r="H1705" i="2"/>
  <c r="H1704" i="2"/>
  <c r="H1703" i="2"/>
  <c r="H1702" i="2"/>
  <c r="H1701" i="2"/>
  <c r="H1700" i="2"/>
  <c r="H1699" i="2"/>
  <c r="H1698" i="2"/>
  <c r="H1697" i="2"/>
  <c r="H1696" i="2"/>
  <c r="H1695" i="2"/>
  <c r="H1694" i="2"/>
  <c r="H1693" i="2"/>
  <c r="H1692" i="2"/>
  <c r="H1691" i="2"/>
  <c r="H1690" i="2"/>
  <c r="H1689" i="2"/>
  <c r="H1688" i="2"/>
  <c r="H1687" i="2"/>
  <c r="H1686" i="2"/>
  <c r="H1685" i="2"/>
  <c r="H1684" i="2"/>
  <c r="H1683" i="2"/>
  <c r="H1682" i="2"/>
  <c r="H1681" i="2"/>
  <c r="H1680" i="2"/>
  <c r="H1679" i="2"/>
  <c r="H1678" i="2"/>
  <c r="H1677" i="2"/>
  <c r="H1676" i="2"/>
  <c r="H1675" i="2"/>
  <c r="H1674" i="2"/>
  <c r="H1673" i="2"/>
  <c r="H1672" i="2"/>
  <c r="H1671" i="2"/>
  <c r="H1670" i="2"/>
  <c r="H1669" i="2"/>
  <c r="H1668" i="2"/>
  <c r="H1667" i="2"/>
  <c r="H1666" i="2"/>
  <c r="H1665" i="2"/>
  <c r="H1664" i="2"/>
  <c r="H1663" i="2"/>
  <c r="H1662" i="2"/>
  <c r="H1661" i="2"/>
  <c r="H1660" i="2"/>
  <c r="H1659" i="2"/>
  <c r="H1658" i="2"/>
  <c r="H1657" i="2"/>
  <c r="H1656" i="2"/>
  <c r="H1655" i="2"/>
  <c r="H1654" i="2"/>
  <c r="H1653" i="2"/>
  <c r="H1652" i="2"/>
  <c r="H1651" i="2"/>
  <c r="H1650" i="2"/>
  <c r="H1649" i="2"/>
  <c r="H1648" i="2"/>
  <c r="H1647" i="2"/>
  <c r="H1646" i="2"/>
  <c r="H1645" i="2"/>
  <c r="H1644" i="2"/>
  <c r="H1643" i="2"/>
  <c r="H1642" i="2"/>
  <c r="H1641" i="2"/>
  <c r="H1640" i="2"/>
  <c r="H1639" i="2"/>
  <c r="H1638" i="2"/>
  <c r="H1637" i="2"/>
  <c r="H1636" i="2"/>
  <c r="H1635" i="2"/>
  <c r="H1634" i="2"/>
  <c r="H1633" i="2"/>
  <c r="H1632" i="2"/>
  <c r="H1631" i="2"/>
  <c r="H1630" i="2"/>
  <c r="H1629" i="2"/>
  <c r="H1628" i="2"/>
  <c r="H1627" i="2"/>
  <c r="H1626" i="2"/>
  <c r="H1625" i="2"/>
  <c r="H1624" i="2"/>
  <c r="H1623" i="2"/>
  <c r="H1622" i="2"/>
  <c r="H1621" i="2"/>
  <c r="H1620" i="2"/>
  <c r="H1619" i="2"/>
  <c r="H1618" i="2"/>
  <c r="H1617" i="2"/>
  <c r="H1616" i="2"/>
  <c r="H1615" i="2"/>
  <c r="H1614" i="2"/>
  <c r="H1613" i="2"/>
  <c r="H1612" i="2"/>
  <c r="H1611" i="2"/>
  <c r="H1610" i="2"/>
  <c r="H1609" i="2"/>
  <c r="H1608" i="2"/>
  <c r="H1607" i="2"/>
  <c r="H1606" i="2"/>
  <c r="H1605" i="2"/>
  <c r="H1604" i="2"/>
  <c r="H1603" i="2"/>
  <c r="H1602" i="2"/>
  <c r="H1601" i="2"/>
  <c r="H1600" i="2"/>
  <c r="H1599" i="2"/>
  <c r="H1598" i="2"/>
  <c r="H1597" i="2"/>
  <c r="H1596" i="2"/>
  <c r="H1595" i="2"/>
  <c r="H1594" i="2"/>
  <c r="H1593" i="2"/>
  <c r="H1592" i="2"/>
  <c r="H1591" i="2"/>
  <c r="H1590" i="2"/>
  <c r="H1589" i="2"/>
  <c r="H1588" i="2"/>
  <c r="H1587" i="2"/>
  <c r="H1586" i="2"/>
  <c r="H1585" i="2"/>
  <c r="H1584" i="2"/>
  <c r="H1583" i="2"/>
  <c r="H1582" i="2"/>
  <c r="H1581" i="2"/>
  <c r="H1580" i="2"/>
  <c r="H1579" i="2"/>
  <c r="H1578" i="2"/>
  <c r="H1577" i="2"/>
  <c r="H1576" i="2"/>
  <c r="H1575" i="2"/>
  <c r="H1574" i="2"/>
  <c r="H1573" i="2"/>
  <c r="H1572" i="2"/>
  <c r="H1571" i="2"/>
  <c r="H1570" i="2"/>
  <c r="H1569" i="2"/>
  <c r="H1568" i="2"/>
  <c r="H1567" i="2"/>
  <c r="H1566" i="2"/>
  <c r="H1565" i="2"/>
  <c r="H1564" i="2"/>
  <c r="H1563" i="2"/>
  <c r="H1562" i="2"/>
  <c r="H1561" i="2"/>
  <c r="H1560" i="2"/>
  <c r="H1559" i="2"/>
  <c r="H1558" i="2"/>
  <c r="H1557" i="2"/>
  <c r="H1556" i="2"/>
  <c r="H1555" i="2"/>
  <c r="H1554" i="2"/>
  <c r="H1553" i="2"/>
  <c r="H1552" i="2"/>
  <c r="H1551" i="2"/>
  <c r="H1550" i="2"/>
  <c r="H1549" i="2"/>
  <c r="H1548" i="2"/>
  <c r="H1547" i="2"/>
  <c r="H1546" i="2"/>
  <c r="H1545" i="2"/>
  <c r="H1544" i="2"/>
  <c r="H1543" i="2"/>
  <c r="H1542" i="2"/>
  <c r="H1541" i="2"/>
  <c r="H1540" i="2"/>
  <c r="H1539" i="2"/>
  <c r="H1538" i="2"/>
  <c r="H1537" i="2"/>
  <c r="H1536" i="2"/>
  <c r="H1535" i="2"/>
  <c r="H1534" i="2"/>
  <c r="H1533" i="2"/>
  <c r="H1532" i="2"/>
  <c r="H1531" i="2"/>
  <c r="H1530" i="2"/>
  <c r="H1529" i="2"/>
  <c r="H1528" i="2"/>
  <c r="H1527" i="2"/>
  <c r="H1526" i="2"/>
  <c r="H1525" i="2"/>
  <c r="H1524" i="2"/>
  <c r="H1523" i="2"/>
  <c r="H1522" i="2"/>
  <c r="H1521" i="2"/>
  <c r="H1520" i="2"/>
  <c r="H1519" i="2"/>
  <c r="H1518" i="2"/>
  <c r="H1517" i="2"/>
  <c r="H1516" i="2"/>
  <c r="H1515" i="2"/>
  <c r="H1514" i="2"/>
  <c r="H1513" i="2"/>
  <c r="H1512" i="2"/>
  <c r="H1511" i="2"/>
  <c r="H1510" i="2"/>
  <c r="H1509" i="2"/>
  <c r="H1508" i="2"/>
  <c r="H1507" i="2"/>
  <c r="H1506" i="2"/>
  <c r="H1505" i="2"/>
  <c r="H1504" i="2"/>
  <c r="H1503" i="2"/>
  <c r="H1502" i="2"/>
  <c r="H1501" i="2"/>
  <c r="H1500" i="2"/>
  <c r="H1499" i="2"/>
  <c r="H1498" i="2"/>
  <c r="H1497" i="2"/>
  <c r="H1496" i="2"/>
  <c r="H1495" i="2"/>
  <c r="H1494" i="2"/>
  <c r="H1493" i="2"/>
  <c r="H1492" i="2"/>
  <c r="H1491" i="2"/>
  <c r="H1490" i="2"/>
  <c r="H1489" i="2"/>
  <c r="H1488" i="2"/>
  <c r="H1487" i="2"/>
  <c r="H1486" i="2"/>
  <c r="H1485" i="2"/>
  <c r="H1484" i="2"/>
  <c r="H1483" i="2"/>
  <c r="H1482" i="2"/>
  <c r="H1481" i="2"/>
  <c r="H1480" i="2"/>
  <c r="H1479" i="2"/>
  <c r="H1478" i="2"/>
  <c r="H1477" i="2"/>
  <c r="H1476" i="2"/>
  <c r="H1475" i="2"/>
  <c r="H1474" i="2"/>
  <c r="H1473" i="2"/>
  <c r="H1472" i="2"/>
  <c r="H1471" i="2"/>
  <c r="H1470" i="2"/>
  <c r="H1469" i="2"/>
  <c r="H1468" i="2"/>
  <c r="H1467" i="2"/>
  <c r="H1466" i="2"/>
  <c r="H1465" i="2"/>
  <c r="H1464" i="2"/>
  <c r="H1463" i="2"/>
  <c r="H1462" i="2"/>
  <c r="H1461" i="2"/>
  <c r="H1460" i="2"/>
  <c r="H1459" i="2"/>
  <c r="H1458" i="2"/>
  <c r="H1457" i="2"/>
  <c r="H1456" i="2"/>
  <c r="H1455" i="2"/>
  <c r="H1454" i="2"/>
  <c r="H1453" i="2"/>
  <c r="H1452" i="2"/>
  <c r="H1451" i="2"/>
  <c r="H1450" i="2"/>
  <c r="H1449" i="2"/>
  <c r="H1448" i="2"/>
  <c r="H1447" i="2"/>
  <c r="H1446" i="2"/>
  <c r="H1445" i="2"/>
  <c r="H1444" i="2"/>
  <c r="H1443" i="2"/>
  <c r="H1442" i="2"/>
  <c r="H1441" i="2"/>
  <c r="H1440" i="2"/>
  <c r="H1439" i="2"/>
  <c r="H1438" i="2"/>
  <c r="H1437" i="2"/>
  <c r="H1436" i="2"/>
  <c r="H1435" i="2"/>
  <c r="H1434" i="2"/>
  <c r="H1433" i="2"/>
  <c r="H1432" i="2"/>
  <c r="H1431" i="2"/>
  <c r="H1430" i="2"/>
  <c r="H1429" i="2"/>
  <c r="H1428" i="2"/>
  <c r="H1427" i="2"/>
  <c r="H1426" i="2"/>
  <c r="H1425" i="2"/>
  <c r="H1424" i="2"/>
  <c r="H1423" i="2"/>
  <c r="H1422" i="2"/>
  <c r="H1421" i="2"/>
  <c r="H1420" i="2"/>
  <c r="H1419" i="2"/>
  <c r="H1418" i="2"/>
  <c r="H1417" i="2"/>
  <c r="H1416" i="2"/>
  <c r="H1415" i="2"/>
  <c r="H1414" i="2"/>
  <c r="H1413" i="2"/>
  <c r="H1412" i="2"/>
  <c r="H1411" i="2"/>
  <c r="H1410" i="2"/>
  <c r="H1409" i="2"/>
  <c r="H1408" i="2"/>
  <c r="H1407" i="2"/>
  <c r="H1406" i="2"/>
  <c r="H1405" i="2"/>
  <c r="H1404" i="2"/>
  <c r="H1403" i="2"/>
  <c r="H1402" i="2"/>
  <c r="H1401" i="2"/>
  <c r="H1400" i="2"/>
  <c r="H1399" i="2"/>
  <c r="H1398" i="2"/>
  <c r="H1397" i="2"/>
  <c r="H1396" i="2"/>
  <c r="H1395" i="2"/>
  <c r="H1394" i="2"/>
  <c r="H1393" i="2"/>
  <c r="H1392" i="2"/>
  <c r="H1391" i="2"/>
  <c r="H1390" i="2"/>
  <c r="H1389" i="2"/>
  <c r="H1388" i="2"/>
  <c r="H1387" i="2"/>
  <c r="H1386" i="2"/>
  <c r="H1385" i="2"/>
  <c r="H1384" i="2"/>
  <c r="H1383" i="2"/>
  <c r="H1382" i="2"/>
  <c r="H1381" i="2"/>
  <c r="H1380" i="2"/>
  <c r="H1379" i="2"/>
  <c r="H1378" i="2"/>
  <c r="H1377" i="2"/>
  <c r="H1376" i="2"/>
  <c r="H1375" i="2"/>
  <c r="H1374" i="2"/>
  <c r="H1373" i="2"/>
  <c r="H1372" i="2"/>
  <c r="H1371" i="2"/>
  <c r="H1370" i="2"/>
  <c r="H1369" i="2"/>
  <c r="H1368" i="2"/>
  <c r="H1367" i="2"/>
  <c r="H1366" i="2"/>
  <c r="H1365" i="2"/>
  <c r="H1364" i="2"/>
  <c r="H1363" i="2"/>
  <c r="H1362" i="2"/>
  <c r="H1361" i="2"/>
  <c r="H1360" i="2"/>
  <c r="H1359" i="2"/>
  <c r="H1358" i="2"/>
  <c r="H1357" i="2"/>
  <c r="H1356" i="2"/>
  <c r="H1355" i="2"/>
  <c r="H1354" i="2"/>
  <c r="H1353" i="2"/>
  <c r="H1352" i="2"/>
  <c r="H1351" i="2"/>
  <c r="H1350" i="2"/>
  <c r="H1349" i="2"/>
  <c r="H1348" i="2"/>
  <c r="H1347" i="2"/>
  <c r="H1346" i="2"/>
  <c r="H1345" i="2"/>
  <c r="H1344" i="2"/>
  <c r="H1343" i="2"/>
  <c r="H1342" i="2"/>
  <c r="H1341" i="2"/>
  <c r="H1340" i="2"/>
  <c r="H1339" i="2"/>
  <c r="H1338" i="2"/>
  <c r="H1337" i="2"/>
  <c r="H1336" i="2"/>
  <c r="H1335" i="2"/>
  <c r="H1334" i="2"/>
  <c r="H1333" i="2"/>
  <c r="H1332" i="2"/>
  <c r="H1331" i="2"/>
  <c r="H1330" i="2"/>
  <c r="H1329" i="2"/>
  <c r="H1328" i="2"/>
  <c r="H1327" i="2"/>
  <c r="H1326" i="2"/>
  <c r="H1325" i="2"/>
  <c r="H1324" i="2"/>
  <c r="H1323" i="2"/>
  <c r="H1322" i="2"/>
  <c r="H1321" i="2"/>
  <c r="H1320" i="2"/>
  <c r="H1319" i="2"/>
  <c r="H1318" i="2"/>
  <c r="H1317" i="2"/>
  <c r="H1316" i="2"/>
  <c r="H1315" i="2"/>
  <c r="H1314" i="2"/>
  <c r="H1313" i="2"/>
  <c r="H1312" i="2"/>
  <c r="H1311" i="2"/>
  <c r="H1310" i="2"/>
  <c r="H1309" i="2"/>
  <c r="H1308" i="2"/>
  <c r="H1307" i="2"/>
  <c r="H1306" i="2"/>
  <c r="H1305" i="2"/>
  <c r="H1304" i="2"/>
  <c r="H1303" i="2"/>
  <c r="H1302" i="2"/>
  <c r="H1301" i="2"/>
  <c r="H1300" i="2"/>
  <c r="H1299" i="2"/>
  <c r="H1298" i="2"/>
  <c r="H1297" i="2"/>
  <c r="H1296" i="2"/>
  <c r="H1295" i="2"/>
  <c r="H1294" i="2"/>
  <c r="H1293" i="2"/>
  <c r="H1292" i="2"/>
  <c r="H1291" i="2"/>
  <c r="H1290" i="2"/>
  <c r="H1289" i="2"/>
  <c r="H1288" i="2"/>
  <c r="H1287" i="2"/>
  <c r="H1286" i="2"/>
  <c r="H1285" i="2"/>
  <c r="H1284" i="2"/>
  <c r="H1283" i="2"/>
  <c r="H1282" i="2"/>
  <c r="H1281" i="2"/>
  <c r="H1280" i="2"/>
  <c r="H1279" i="2"/>
  <c r="H1278" i="2"/>
  <c r="H1277" i="2"/>
  <c r="H1276" i="2"/>
  <c r="H1275" i="2"/>
  <c r="H1274" i="2"/>
  <c r="H1273" i="2"/>
  <c r="H1272" i="2"/>
  <c r="H1271" i="2"/>
  <c r="H1270" i="2"/>
  <c r="H1269" i="2"/>
  <c r="H1268" i="2"/>
  <c r="H1267" i="2"/>
  <c r="H1266" i="2"/>
  <c r="H1265" i="2"/>
  <c r="H1264" i="2"/>
  <c r="H1263" i="2"/>
  <c r="H1262" i="2"/>
  <c r="H1261" i="2"/>
  <c r="H1260" i="2"/>
  <c r="H1259" i="2"/>
  <c r="H1258" i="2"/>
  <c r="H1257" i="2"/>
  <c r="H1256" i="2"/>
  <c r="H1255" i="2"/>
  <c r="H1254" i="2"/>
  <c r="H1253" i="2"/>
  <c r="H1252" i="2"/>
  <c r="H1251" i="2"/>
  <c r="H1250" i="2"/>
  <c r="H1249" i="2"/>
  <c r="H1248" i="2"/>
  <c r="H1247" i="2"/>
  <c r="H1246" i="2"/>
  <c r="H1245" i="2"/>
  <c r="H1244" i="2"/>
  <c r="H1243" i="2"/>
  <c r="H1242" i="2"/>
  <c r="H1241" i="2"/>
  <c r="H1240" i="2"/>
  <c r="H1239" i="2"/>
  <c r="H1238" i="2"/>
  <c r="H1237" i="2"/>
  <c r="H1236" i="2"/>
  <c r="H1235" i="2"/>
  <c r="H1234" i="2"/>
  <c r="H1233" i="2"/>
  <c r="H1232" i="2"/>
  <c r="H1231" i="2"/>
  <c r="H1230" i="2"/>
  <c r="H1229" i="2"/>
  <c r="H1228" i="2"/>
  <c r="H1227" i="2"/>
  <c r="H1226" i="2"/>
  <c r="H1225" i="2"/>
  <c r="H1224" i="2"/>
  <c r="H1223" i="2"/>
  <c r="H1222" i="2"/>
  <c r="H1221" i="2"/>
  <c r="H1220" i="2"/>
  <c r="H1219" i="2"/>
  <c r="H1218" i="2"/>
  <c r="H1217" i="2"/>
  <c r="H1216" i="2"/>
  <c r="H1215" i="2"/>
  <c r="H1214" i="2"/>
  <c r="H1213" i="2"/>
  <c r="H1212" i="2"/>
  <c r="H1211" i="2"/>
  <c r="H1210" i="2"/>
  <c r="H1209" i="2"/>
  <c r="H1208" i="2"/>
  <c r="H1207" i="2"/>
  <c r="H1206" i="2"/>
  <c r="H1205" i="2"/>
  <c r="H1204" i="2"/>
  <c r="H1203" i="2"/>
  <c r="H1202" i="2"/>
  <c r="H1201" i="2"/>
  <c r="H1200" i="2"/>
  <c r="H1199" i="2"/>
  <c r="H1198" i="2"/>
  <c r="H1197" i="2"/>
  <c r="H1196" i="2"/>
  <c r="H1195" i="2"/>
  <c r="H1194" i="2"/>
  <c r="H1193" i="2"/>
  <c r="H1192" i="2"/>
  <c r="H1191" i="2"/>
  <c r="H1190" i="2"/>
  <c r="H1189" i="2"/>
  <c r="H1188" i="2"/>
  <c r="H1187" i="2"/>
  <c r="H1186" i="2"/>
  <c r="H1185" i="2"/>
  <c r="H1184" i="2"/>
  <c r="H1183" i="2"/>
  <c r="H1182" i="2"/>
  <c r="H1181" i="2"/>
  <c r="H1180" i="2"/>
  <c r="H1179" i="2"/>
  <c r="H1178" i="2"/>
  <c r="H1177" i="2"/>
  <c r="H1176" i="2"/>
  <c r="H1175" i="2"/>
  <c r="H1174" i="2"/>
  <c r="H1173" i="2"/>
  <c r="H1172" i="2"/>
  <c r="H1171" i="2"/>
  <c r="H1170" i="2"/>
  <c r="H1169" i="2"/>
  <c r="H1168" i="2"/>
  <c r="H1167" i="2"/>
  <c r="H1166" i="2"/>
  <c r="H1165" i="2"/>
  <c r="H1164" i="2"/>
  <c r="H1163" i="2"/>
  <c r="H1162" i="2"/>
  <c r="H1161" i="2"/>
  <c r="H1160" i="2"/>
  <c r="H1159" i="2"/>
  <c r="H1158" i="2"/>
  <c r="H1157" i="2"/>
  <c r="H1156" i="2"/>
  <c r="H1155" i="2"/>
  <c r="H1154" i="2"/>
  <c r="H1153" i="2"/>
  <c r="H1152" i="2"/>
  <c r="H1151" i="2"/>
  <c r="H1150" i="2"/>
  <c r="H1149" i="2"/>
  <c r="H1148" i="2"/>
  <c r="H1147" i="2"/>
  <c r="H1146" i="2"/>
  <c r="H1145" i="2"/>
  <c r="H1144" i="2"/>
  <c r="H1143" i="2"/>
  <c r="H1142" i="2"/>
  <c r="H1141" i="2"/>
  <c r="H1140" i="2"/>
  <c r="H1139" i="2"/>
  <c r="H1138" i="2"/>
  <c r="H1137" i="2"/>
  <c r="H1136" i="2"/>
  <c r="H1135" i="2"/>
  <c r="H1134" i="2"/>
  <c r="H1133" i="2"/>
  <c r="H1132" i="2"/>
  <c r="H1131" i="2"/>
  <c r="H1130" i="2"/>
  <c r="H1129" i="2"/>
  <c r="H1128" i="2"/>
  <c r="H1127" i="2"/>
  <c r="H1126" i="2"/>
  <c r="H1125" i="2"/>
  <c r="H1124" i="2"/>
  <c r="H1123" i="2"/>
  <c r="H1122" i="2"/>
  <c r="H1121" i="2"/>
  <c r="H1120" i="2"/>
  <c r="H1119" i="2"/>
  <c r="H1118" i="2"/>
  <c r="H1117" i="2"/>
  <c r="H1116" i="2"/>
  <c r="H1115" i="2"/>
  <c r="H1114" i="2"/>
  <c r="H1113" i="2"/>
  <c r="H1112" i="2"/>
  <c r="H1111" i="2"/>
  <c r="H1110" i="2"/>
  <c r="H1109" i="2"/>
  <c r="H1108" i="2"/>
  <c r="H1107" i="2"/>
  <c r="H1106" i="2"/>
  <c r="H1105" i="2"/>
  <c r="H1104" i="2"/>
  <c r="H1103" i="2"/>
  <c r="H1102" i="2"/>
  <c r="H1101" i="2"/>
  <c r="H1100" i="2"/>
  <c r="H1099" i="2"/>
  <c r="H1098" i="2"/>
  <c r="H1097" i="2"/>
  <c r="H1096" i="2"/>
  <c r="H1095" i="2"/>
  <c r="H1094" i="2"/>
  <c r="H1093" i="2"/>
  <c r="H1092" i="2"/>
  <c r="H1091" i="2"/>
  <c r="H1090" i="2"/>
  <c r="H1089" i="2"/>
  <c r="H1088" i="2"/>
  <c r="H1087" i="2"/>
  <c r="H1086" i="2"/>
  <c r="H1085" i="2"/>
  <c r="H1084" i="2"/>
  <c r="H1083" i="2"/>
  <c r="H1082" i="2"/>
  <c r="H1081" i="2"/>
  <c r="H1080" i="2"/>
  <c r="H1079" i="2"/>
  <c r="H1078" i="2"/>
  <c r="H1077" i="2"/>
  <c r="H1076" i="2"/>
  <c r="H1075" i="2"/>
  <c r="H1074" i="2"/>
  <c r="H1073" i="2"/>
  <c r="H1072" i="2"/>
  <c r="H1071" i="2"/>
  <c r="H1070" i="2"/>
  <c r="H1069" i="2"/>
  <c r="H1068" i="2"/>
  <c r="H1067" i="2"/>
  <c r="H1066" i="2"/>
  <c r="H1065" i="2"/>
  <c r="H1064" i="2"/>
  <c r="H1063" i="2"/>
  <c r="H1062" i="2"/>
  <c r="H1061" i="2"/>
  <c r="H1060" i="2"/>
  <c r="H1059" i="2"/>
  <c r="H1058" i="2"/>
  <c r="H1057" i="2"/>
  <c r="H1056" i="2"/>
  <c r="H1055" i="2"/>
  <c r="H1054" i="2"/>
  <c r="H1053" i="2"/>
  <c r="H1052" i="2"/>
  <c r="H1051" i="2"/>
  <c r="H1050" i="2"/>
  <c r="H1049" i="2"/>
  <c r="H1048" i="2"/>
  <c r="H1047" i="2"/>
  <c r="H1046" i="2"/>
  <c r="H1045" i="2"/>
  <c r="H1044" i="2"/>
  <c r="H1043" i="2"/>
  <c r="H1042" i="2"/>
  <c r="H1041" i="2"/>
  <c r="H1040" i="2"/>
  <c r="H1039" i="2"/>
  <c r="H1038" i="2"/>
  <c r="H1037" i="2"/>
  <c r="H1036" i="2"/>
  <c r="H1035" i="2"/>
  <c r="H1034" i="2"/>
  <c r="H1033" i="2"/>
  <c r="H1032" i="2"/>
  <c r="H1031" i="2"/>
  <c r="H1030" i="2"/>
  <c r="H1029" i="2"/>
  <c r="H1028" i="2"/>
  <c r="H1027" i="2"/>
  <c r="H1026" i="2"/>
  <c r="H1025" i="2"/>
  <c r="H1024" i="2"/>
  <c r="H1023" i="2"/>
  <c r="H1022" i="2"/>
  <c r="H1021" i="2"/>
  <c r="H1020" i="2"/>
  <c r="H1019" i="2"/>
  <c r="H1018" i="2"/>
  <c r="H1017" i="2"/>
  <c r="H1016" i="2"/>
  <c r="H1015" i="2"/>
  <c r="H1014" i="2"/>
  <c r="H1013" i="2"/>
  <c r="H1012" i="2"/>
  <c r="H1011" i="2"/>
  <c r="H1010" i="2"/>
  <c r="H1009" i="2"/>
  <c r="H1008" i="2"/>
  <c r="H1007" i="2"/>
  <c r="H1006" i="2"/>
  <c r="H1005" i="2"/>
  <c r="H1004" i="2"/>
  <c r="H1003" i="2"/>
  <c r="H1002" i="2"/>
  <c r="H1001" i="2"/>
  <c r="H1000" i="2"/>
  <c r="H999" i="2"/>
  <c r="H998" i="2"/>
  <c r="H997" i="2"/>
  <c r="H996" i="2"/>
  <c r="H995" i="2"/>
  <c r="H994" i="2"/>
  <c r="H993" i="2"/>
  <c r="H992" i="2"/>
  <c r="H991" i="2"/>
  <c r="H990" i="2"/>
  <c r="H989" i="2"/>
  <c r="H988" i="2"/>
  <c r="H987" i="2"/>
  <c r="H986" i="2"/>
  <c r="H985" i="2"/>
  <c r="H984" i="2"/>
  <c r="H983" i="2"/>
  <c r="H982" i="2"/>
  <c r="H981" i="2"/>
  <c r="H980" i="2"/>
  <c r="H979" i="2"/>
  <c r="H978" i="2"/>
  <c r="H977" i="2"/>
  <c r="H976" i="2"/>
  <c r="H975" i="2"/>
  <c r="H974" i="2"/>
  <c r="H973" i="2"/>
  <c r="H972" i="2"/>
  <c r="H971" i="2"/>
  <c r="H970" i="2"/>
  <c r="H969" i="2"/>
  <c r="H968" i="2"/>
  <c r="H967" i="2"/>
  <c r="H966" i="2"/>
  <c r="H965" i="2"/>
  <c r="H964" i="2"/>
  <c r="H963" i="2"/>
  <c r="H962" i="2"/>
  <c r="H961" i="2"/>
  <c r="H960" i="2"/>
  <c r="H959" i="2"/>
  <c r="H958" i="2"/>
  <c r="H957" i="2"/>
  <c r="H956" i="2"/>
  <c r="H955" i="2"/>
  <c r="H954" i="2"/>
  <c r="H953" i="2"/>
  <c r="H952" i="2"/>
  <c r="H951" i="2"/>
  <c r="H950" i="2"/>
  <c r="H949" i="2"/>
  <c r="H948" i="2"/>
  <c r="H947" i="2"/>
  <c r="H946" i="2"/>
  <c r="H945" i="2"/>
  <c r="H944" i="2"/>
  <c r="H943" i="2"/>
  <c r="H942" i="2"/>
  <c r="H941" i="2"/>
  <c r="H940" i="2"/>
  <c r="H939" i="2"/>
  <c r="H938" i="2"/>
  <c r="H937" i="2"/>
  <c r="H936" i="2"/>
  <c r="H935" i="2"/>
  <c r="H934" i="2"/>
  <c r="H933" i="2"/>
  <c r="H932" i="2"/>
  <c r="H931" i="2"/>
  <c r="H930" i="2"/>
  <c r="H929" i="2"/>
  <c r="H928" i="2"/>
  <c r="H927" i="2"/>
  <c r="H926" i="2"/>
  <c r="H925" i="2"/>
  <c r="H924" i="2"/>
  <c r="H923" i="2"/>
  <c r="H922" i="2"/>
  <c r="H921" i="2"/>
  <c r="H920" i="2"/>
  <c r="H919" i="2"/>
  <c r="H918" i="2"/>
  <c r="H917" i="2"/>
  <c r="H916" i="2"/>
  <c r="H915" i="2"/>
  <c r="H914" i="2"/>
  <c r="H913" i="2"/>
  <c r="H912" i="2"/>
  <c r="H911" i="2"/>
  <c r="H910" i="2"/>
  <c r="H909" i="2"/>
  <c r="H908" i="2"/>
  <c r="H907" i="2"/>
  <c r="H906" i="2"/>
  <c r="H905" i="2"/>
  <c r="H904" i="2"/>
  <c r="H903" i="2"/>
  <c r="H902" i="2"/>
  <c r="H901" i="2"/>
  <c r="H900" i="2"/>
  <c r="H899" i="2"/>
  <c r="H898" i="2"/>
  <c r="H897" i="2"/>
  <c r="H896" i="2"/>
  <c r="H895" i="2"/>
  <c r="H894" i="2"/>
  <c r="H893" i="2"/>
  <c r="H892" i="2"/>
  <c r="H891" i="2"/>
  <c r="H890" i="2"/>
  <c r="H889" i="2"/>
  <c r="H888" i="2"/>
  <c r="H887" i="2"/>
  <c r="H886" i="2"/>
  <c r="H885" i="2"/>
  <c r="H884" i="2"/>
  <c r="H883" i="2"/>
  <c r="H882" i="2"/>
  <c r="H881" i="2"/>
  <c r="H880" i="2"/>
  <c r="H879" i="2"/>
  <c r="H878" i="2"/>
  <c r="H877" i="2"/>
  <c r="H876" i="2"/>
  <c r="H875" i="2"/>
  <c r="H874" i="2"/>
  <c r="H873" i="2"/>
  <c r="H872" i="2"/>
  <c r="H871" i="2"/>
  <c r="H870" i="2"/>
  <c r="H869" i="2"/>
  <c r="H868" i="2"/>
  <c r="H867" i="2"/>
  <c r="H866" i="2"/>
  <c r="H865" i="2"/>
  <c r="H864" i="2"/>
  <c r="H863" i="2"/>
  <c r="H862" i="2"/>
  <c r="H861" i="2"/>
  <c r="H860" i="2"/>
  <c r="H859" i="2"/>
  <c r="H858" i="2"/>
  <c r="H857" i="2"/>
  <c r="H856" i="2"/>
  <c r="H855" i="2"/>
  <c r="H854" i="2"/>
  <c r="H853" i="2"/>
  <c r="H852" i="2"/>
  <c r="H851" i="2"/>
  <c r="H850" i="2"/>
  <c r="H849" i="2"/>
  <c r="H848" i="2"/>
  <c r="H847" i="2"/>
  <c r="H846" i="2"/>
  <c r="H845" i="2"/>
  <c r="H844" i="2"/>
  <c r="H843" i="2"/>
  <c r="H842" i="2"/>
  <c r="H841" i="2"/>
  <c r="H840" i="2"/>
  <c r="H839" i="2"/>
  <c r="H838" i="2"/>
  <c r="H837" i="2"/>
  <c r="H836" i="2"/>
  <c r="H835" i="2"/>
  <c r="H834" i="2"/>
  <c r="H833" i="2"/>
  <c r="H832" i="2"/>
  <c r="H831" i="2"/>
  <c r="H830" i="2"/>
  <c r="H829" i="2"/>
  <c r="H828" i="2"/>
  <c r="H827" i="2"/>
  <c r="H826" i="2"/>
  <c r="H825" i="2"/>
  <c r="H824" i="2"/>
  <c r="H823" i="2"/>
  <c r="H822" i="2"/>
  <c r="H821" i="2"/>
  <c r="H820" i="2"/>
  <c r="H819" i="2"/>
  <c r="H818" i="2"/>
  <c r="H817" i="2"/>
  <c r="H816" i="2"/>
  <c r="H815" i="2"/>
  <c r="H814" i="2"/>
  <c r="H813" i="2"/>
  <c r="H812" i="2"/>
  <c r="H811" i="2"/>
  <c r="H810" i="2"/>
  <c r="H809" i="2"/>
  <c r="H808" i="2"/>
  <c r="H807" i="2"/>
  <c r="H806" i="2"/>
  <c r="H805" i="2"/>
  <c r="H804" i="2"/>
  <c r="H803" i="2"/>
  <c r="H802" i="2"/>
  <c r="H801" i="2"/>
  <c r="H800" i="2"/>
  <c r="H799" i="2"/>
  <c r="H798" i="2"/>
  <c r="H797" i="2"/>
  <c r="H796" i="2"/>
  <c r="H795" i="2"/>
  <c r="H794" i="2"/>
  <c r="H793" i="2"/>
  <c r="H792" i="2"/>
  <c r="H791" i="2"/>
  <c r="H790" i="2"/>
  <c r="H789" i="2"/>
  <c r="H788" i="2"/>
  <c r="H787" i="2"/>
  <c r="H786" i="2"/>
  <c r="H785" i="2"/>
  <c r="H784" i="2"/>
  <c r="H783" i="2"/>
  <c r="H782" i="2"/>
  <c r="H781" i="2"/>
  <c r="H780" i="2"/>
  <c r="H779" i="2"/>
  <c r="H778" i="2"/>
  <c r="H777" i="2"/>
  <c r="H776" i="2"/>
  <c r="H775" i="2"/>
  <c r="H774" i="2"/>
  <c r="H773" i="2"/>
  <c r="H772" i="2"/>
  <c r="H771" i="2"/>
  <c r="H770" i="2"/>
  <c r="H769" i="2"/>
  <c r="H768" i="2"/>
  <c r="H767" i="2"/>
  <c r="H766" i="2"/>
  <c r="H765" i="2"/>
  <c r="H764" i="2"/>
  <c r="H763" i="2"/>
  <c r="H762" i="2"/>
  <c r="H761" i="2"/>
  <c r="H760" i="2"/>
  <c r="H759" i="2"/>
  <c r="H758" i="2"/>
  <c r="H757" i="2"/>
  <c r="H756" i="2"/>
  <c r="H755" i="2"/>
  <c r="H754" i="2"/>
  <c r="H753" i="2"/>
  <c r="H752" i="2"/>
  <c r="H751" i="2"/>
  <c r="H750" i="2"/>
  <c r="H749" i="2"/>
  <c r="H748" i="2"/>
  <c r="H747" i="2"/>
  <c r="H746" i="2"/>
  <c r="H745" i="2"/>
  <c r="H744" i="2"/>
  <c r="H743" i="2"/>
  <c r="H742" i="2"/>
  <c r="H741" i="2"/>
  <c r="H740" i="2"/>
  <c r="H739" i="2"/>
  <c r="H738" i="2"/>
  <c r="H737" i="2"/>
  <c r="H736" i="2"/>
  <c r="H735" i="2"/>
  <c r="H734" i="2"/>
  <c r="H733" i="2"/>
  <c r="H732" i="2"/>
  <c r="H731" i="2"/>
  <c r="H730" i="2"/>
  <c r="H729" i="2"/>
  <c r="H728" i="2"/>
  <c r="H727" i="2"/>
  <c r="H726" i="2"/>
  <c r="H725" i="2"/>
  <c r="H724" i="2"/>
  <c r="H723" i="2"/>
  <c r="H722" i="2"/>
  <c r="H721" i="2"/>
  <c r="H720" i="2"/>
  <c r="H719" i="2"/>
  <c r="H718" i="2"/>
  <c r="H717" i="2"/>
  <c r="H716" i="2"/>
  <c r="H715" i="2"/>
  <c r="H714" i="2"/>
  <c r="H713" i="2"/>
  <c r="H712" i="2"/>
  <c r="H711" i="2"/>
  <c r="H710" i="2"/>
  <c r="H709" i="2"/>
  <c r="H708" i="2"/>
  <c r="H707" i="2"/>
  <c r="H706" i="2"/>
  <c r="H705" i="2"/>
  <c r="H704" i="2"/>
  <c r="H703" i="2"/>
  <c r="H702" i="2"/>
  <c r="H701" i="2"/>
  <c r="H700" i="2"/>
  <c r="H699" i="2"/>
  <c r="H698" i="2"/>
  <c r="H697" i="2"/>
  <c r="H696" i="2"/>
  <c r="H695" i="2"/>
  <c r="H694" i="2"/>
  <c r="H693" i="2"/>
  <c r="H692" i="2"/>
  <c r="H691" i="2"/>
  <c r="H690" i="2"/>
  <c r="H689" i="2"/>
  <c r="H688" i="2"/>
  <c r="H687" i="2"/>
  <c r="H686" i="2"/>
  <c r="H685" i="2"/>
  <c r="H684" i="2"/>
  <c r="H683" i="2"/>
  <c r="H682" i="2"/>
  <c r="H681" i="2"/>
  <c r="H680" i="2"/>
  <c r="H679" i="2"/>
  <c r="H678" i="2"/>
  <c r="H677" i="2"/>
  <c r="H676" i="2"/>
  <c r="H675" i="2"/>
  <c r="H674" i="2"/>
  <c r="H673" i="2"/>
  <c r="H672" i="2"/>
  <c r="H671" i="2"/>
  <c r="H670" i="2"/>
  <c r="H669" i="2"/>
  <c r="H668" i="2"/>
  <c r="H667" i="2"/>
  <c r="H666" i="2"/>
  <c r="H665" i="2"/>
  <c r="H664" i="2"/>
  <c r="H663" i="2"/>
  <c r="H662" i="2"/>
  <c r="H661" i="2"/>
  <c r="H660" i="2"/>
  <c r="H659" i="2"/>
  <c r="H658" i="2"/>
  <c r="H657" i="2"/>
  <c r="H656" i="2"/>
  <c r="H655" i="2"/>
  <c r="H654" i="2"/>
  <c r="H653" i="2"/>
  <c r="H652" i="2"/>
  <c r="H651" i="2"/>
  <c r="H650" i="2"/>
  <c r="H649" i="2"/>
  <c r="H648" i="2"/>
  <c r="H647" i="2"/>
  <c r="H646" i="2"/>
  <c r="H645" i="2"/>
  <c r="H644" i="2"/>
  <c r="H643" i="2"/>
  <c r="H642" i="2"/>
  <c r="H641" i="2"/>
  <c r="H640" i="2"/>
  <c r="H639" i="2"/>
  <c r="H638" i="2"/>
  <c r="H637" i="2"/>
  <c r="H636" i="2"/>
  <c r="H635" i="2"/>
  <c r="H634" i="2"/>
  <c r="H633" i="2"/>
  <c r="H632" i="2"/>
  <c r="H631" i="2"/>
  <c r="H630" i="2"/>
  <c r="H629" i="2"/>
  <c r="H628" i="2"/>
  <c r="H627" i="2"/>
  <c r="H626" i="2"/>
  <c r="H625" i="2"/>
  <c r="H624" i="2"/>
  <c r="H623" i="2"/>
  <c r="H622" i="2"/>
  <c r="H621" i="2"/>
  <c r="H620" i="2"/>
  <c r="H619" i="2"/>
  <c r="H618" i="2"/>
  <c r="H617" i="2"/>
  <c r="H616" i="2"/>
  <c r="H615" i="2"/>
  <c r="H614" i="2"/>
  <c r="H613" i="2"/>
  <c r="H612" i="2"/>
  <c r="H611" i="2"/>
  <c r="H610" i="2"/>
  <c r="H609" i="2"/>
  <c r="H608" i="2"/>
  <c r="H607" i="2"/>
  <c r="H606" i="2"/>
  <c r="H605" i="2"/>
  <c r="H604" i="2"/>
  <c r="H603" i="2"/>
  <c r="H602" i="2"/>
  <c r="H601" i="2"/>
  <c r="H600" i="2"/>
  <c r="H599" i="2"/>
  <c r="H598" i="2"/>
  <c r="H597" i="2"/>
  <c r="H596" i="2"/>
  <c r="H595" i="2"/>
  <c r="H594" i="2"/>
  <c r="H593" i="2"/>
  <c r="H592" i="2"/>
  <c r="H591" i="2"/>
  <c r="H590" i="2"/>
  <c r="H589" i="2"/>
  <c r="H588" i="2"/>
  <c r="H587" i="2"/>
  <c r="H586" i="2"/>
  <c r="H585" i="2"/>
  <c r="H584" i="2"/>
  <c r="H583" i="2"/>
  <c r="H582" i="2"/>
  <c r="H581" i="2"/>
  <c r="H580" i="2"/>
  <c r="H579" i="2"/>
  <c r="H578" i="2"/>
  <c r="H577" i="2"/>
  <c r="H576" i="2"/>
  <c r="H575" i="2"/>
  <c r="H574" i="2"/>
  <c r="H573" i="2"/>
  <c r="H572" i="2"/>
  <c r="H571" i="2"/>
  <c r="H570" i="2"/>
  <c r="H569" i="2"/>
  <c r="H568" i="2"/>
  <c r="H567" i="2"/>
  <c r="H566" i="2"/>
  <c r="H565" i="2"/>
  <c r="H564" i="2"/>
  <c r="H563" i="2"/>
  <c r="H562" i="2"/>
  <c r="H561" i="2"/>
  <c r="H560" i="2"/>
  <c r="H559" i="2"/>
  <c r="H558" i="2"/>
  <c r="H557" i="2"/>
  <c r="H556" i="2"/>
  <c r="H555" i="2"/>
  <c r="H554" i="2"/>
  <c r="H553" i="2"/>
  <c r="H552" i="2"/>
  <c r="H551" i="2"/>
  <c r="H550" i="2"/>
  <c r="H549" i="2"/>
  <c r="H548" i="2"/>
  <c r="H547" i="2"/>
  <c r="H546" i="2"/>
  <c r="H545" i="2"/>
  <c r="H544" i="2"/>
  <c r="H543" i="2"/>
  <c r="H542" i="2"/>
  <c r="H541" i="2"/>
  <c r="H540" i="2"/>
  <c r="H539" i="2"/>
  <c r="H538" i="2"/>
  <c r="H537" i="2"/>
  <c r="H536" i="2"/>
  <c r="H535" i="2"/>
  <c r="H534" i="2"/>
  <c r="H533" i="2"/>
  <c r="H532" i="2"/>
  <c r="H531" i="2"/>
  <c r="H530" i="2"/>
  <c r="H529" i="2"/>
  <c r="H528" i="2"/>
  <c r="H527" i="2"/>
  <c r="H526" i="2"/>
  <c r="H525" i="2"/>
  <c r="H524" i="2"/>
  <c r="H523" i="2"/>
  <c r="H522" i="2"/>
  <c r="H521" i="2"/>
  <c r="H520" i="2"/>
  <c r="H519" i="2"/>
  <c r="H518" i="2"/>
  <c r="H517" i="2"/>
  <c r="H516" i="2"/>
  <c r="H515" i="2"/>
  <c r="H514" i="2"/>
  <c r="H513" i="2"/>
  <c r="H512" i="2"/>
  <c r="H511" i="2"/>
  <c r="H510" i="2"/>
  <c r="H509" i="2"/>
  <c r="H508" i="2"/>
  <c r="H507" i="2"/>
  <c r="H506" i="2"/>
  <c r="H505" i="2"/>
  <c r="H504" i="2"/>
  <c r="H503" i="2"/>
  <c r="H502" i="2"/>
  <c r="H501" i="2"/>
  <c r="H500" i="2"/>
  <c r="H499" i="2"/>
  <c r="H498" i="2"/>
  <c r="H497" i="2"/>
  <c r="H496" i="2"/>
  <c r="H495" i="2"/>
  <c r="H494" i="2"/>
  <c r="H493" i="2"/>
  <c r="H492" i="2"/>
  <c r="H491" i="2"/>
  <c r="H490" i="2"/>
  <c r="H489" i="2"/>
  <c r="H488" i="2"/>
  <c r="H487" i="2"/>
  <c r="H486" i="2"/>
  <c r="H485" i="2"/>
  <c r="H484" i="2"/>
  <c r="H483" i="2"/>
  <c r="H482" i="2"/>
  <c r="H481" i="2"/>
  <c r="H480" i="2"/>
  <c r="H479" i="2"/>
  <c r="H478" i="2"/>
  <c r="H477" i="2"/>
  <c r="H476" i="2"/>
  <c r="H475" i="2"/>
  <c r="H474" i="2"/>
  <c r="H473" i="2"/>
  <c r="H472" i="2"/>
  <c r="H471" i="2"/>
  <c r="H470" i="2"/>
  <c r="H469" i="2"/>
  <c r="H468" i="2"/>
  <c r="H467" i="2"/>
  <c r="H466" i="2"/>
  <c r="H465" i="2"/>
  <c r="H464" i="2"/>
  <c r="H463" i="2"/>
  <c r="H462" i="2"/>
  <c r="H461" i="2"/>
  <c r="H460" i="2"/>
  <c r="H459" i="2"/>
  <c r="H458" i="2"/>
  <c r="H457" i="2"/>
  <c r="H456" i="2"/>
  <c r="H455" i="2"/>
  <c r="H454" i="2"/>
  <c r="H453" i="2"/>
  <c r="H452" i="2"/>
  <c r="H451" i="2"/>
  <c r="H450" i="2"/>
  <c r="H449" i="2"/>
  <c r="H448" i="2"/>
  <c r="H447" i="2"/>
  <c r="H446" i="2"/>
  <c r="H445" i="2"/>
  <c r="H444" i="2"/>
  <c r="H443" i="2"/>
  <c r="H442" i="2"/>
  <c r="H441" i="2"/>
  <c r="H440" i="2"/>
  <c r="H439" i="2"/>
  <c r="H438" i="2"/>
  <c r="H437" i="2"/>
  <c r="H436" i="2"/>
  <c r="H435" i="2"/>
  <c r="H434" i="2"/>
  <c r="H433" i="2"/>
  <c r="H432" i="2"/>
  <c r="H431" i="2"/>
  <c r="H430" i="2"/>
  <c r="H429" i="2"/>
  <c r="H428" i="2"/>
  <c r="H427" i="2"/>
  <c r="H426" i="2"/>
  <c r="H425" i="2"/>
  <c r="H424" i="2"/>
  <c r="H423" i="2"/>
  <c r="H422" i="2"/>
  <c r="H421" i="2"/>
  <c r="H420" i="2"/>
  <c r="H419" i="2"/>
  <c r="H418" i="2"/>
  <c r="H417" i="2"/>
  <c r="H416" i="2"/>
  <c r="H415" i="2"/>
  <c r="H414" i="2"/>
  <c r="H413" i="2"/>
  <c r="H412" i="2"/>
  <c r="H411" i="2"/>
  <c r="H410" i="2"/>
  <c r="H409" i="2"/>
  <c r="H408" i="2"/>
  <c r="H407" i="2"/>
  <c r="H406" i="2"/>
  <c r="H405" i="2"/>
  <c r="H404" i="2"/>
  <c r="H403" i="2"/>
  <c r="H402" i="2"/>
  <c r="H401" i="2"/>
  <c r="H400" i="2"/>
  <c r="H399" i="2"/>
  <c r="H398" i="2"/>
  <c r="H397" i="2"/>
  <c r="H396" i="2"/>
  <c r="H395" i="2"/>
  <c r="H394" i="2"/>
  <c r="H393" i="2"/>
  <c r="H392" i="2"/>
  <c r="H391" i="2"/>
  <c r="H390" i="2"/>
  <c r="H389" i="2"/>
  <c r="H388" i="2"/>
  <c r="H387" i="2"/>
  <c r="H386" i="2"/>
  <c r="H385" i="2"/>
  <c r="H384" i="2"/>
  <c r="H383" i="2"/>
  <c r="H382" i="2"/>
  <c r="H381" i="2"/>
  <c r="H380" i="2"/>
  <c r="H379" i="2"/>
  <c r="H378" i="2"/>
  <c r="H377" i="2"/>
  <c r="H376" i="2"/>
  <c r="H375" i="2"/>
  <c r="H374" i="2"/>
  <c r="H373" i="2"/>
  <c r="H372" i="2"/>
  <c r="H371" i="2"/>
  <c r="H370" i="2"/>
  <c r="H369" i="2"/>
  <c r="H368" i="2"/>
  <c r="H367" i="2"/>
  <c r="H366" i="2"/>
  <c r="H365" i="2"/>
  <c r="H364" i="2"/>
  <c r="H363" i="2"/>
  <c r="H362" i="2"/>
  <c r="H361" i="2"/>
  <c r="H360" i="2"/>
  <c r="H359" i="2"/>
  <c r="H358" i="2"/>
  <c r="H357" i="2"/>
  <c r="H356" i="2"/>
  <c r="H355" i="2"/>
  <c r="H354" i="2"/>
  <c r="H353" i="2"/>
  <c r="H352" i="2"/>
  <c r="H351" i="2"/>
  <c r="H350" i="2"/>
  <c r="H349" i="2"/>
  <c r="H348" i="2"/>
  <c r="H347" i="2"/>
  <c r="H346" i="2"/>
  <c r="H345" i="2"/>
  <c r="H344" i="2"/>
  <c r="H343" i="2"/>
  <c r="H342" i="2"/>
  <c r="H341" i="2"/>
  <c r="H340" i="2"/>
  <c r="H339" i="2"/>
  <c r="H338" i="2"/>
  <c r="H337" i="2"/>
  <c r="H336" i="2"/>
  <c r="H335" i="2"/>
  <c r="H334" i="2"/>
  <c r="H333" i="2"/>
  <c r="H332" i="2"/>
  <c r="H331" i="2"/>
  <c r="H330" i="2"/>
  <c r="H329" i="2"/>
  <c r="H328" i="2"/>
  <c r="H327" i="2"/>
  <c r="H326" i="2"/>
  <c r="H325" i="2"/>
  <c r="H324" i="2"/>
  <c r="H323" i="2"/>
  <c r="H322" i="2"/>
  <c r="H321" i="2"/>
  <c r="H320" i="2"/>
  <c r="H319" i="2"/>
  <c r="H318" i="2"/>
  <c r="H317" i="2"/>
  <c r="H316" i="2"/>
  <c r="H315" i="2"/>
  <c r="H314" i="2"/>
  <c r="H313" i="2"/>
  <c r="H312" i="2"/>
  <c r="H311" i="2"/>
  <c r="H310" i="2"/>
  <c r="H309" i="2"/>
  <c r="H308" i="2"/>
  <c r="H307" i="2"/>
  <c r="H306" i="2"/>
  <c r="H305" i="2"/>
  <c r="H304" i="2"/>
  <c r="H303" i="2"/>
  <c r="H302" i="2"/>
  <c r="H301" i="2"/>
  <c r="H300" i="2"/>
  <c r="H299" i="2"/>
  <c r="H298" i="2"/>
  <c r="H297" i="2"/>
  <c r="H296" i="2"/>
  <c r="H295" i="2"/>
  <c r="H294" i="2"/>
  <c r="H293" i="2"/>
  <c r="H292" i="2"/>
  <c r="H291" i="2"/>
  <c r="H290" i="2"/>
  <c r="H289" i="2"/>
  <c r="H288" i="2"/>
  <c r="H287" i="2"/>
  <c r="H286" i="2"/>
  <c r="H285" i="2"/>
  <c r="H284" i="2"/>
  <c r="H283" i="2"/>
  <c r="H282" i="2"/>
  <c r="H281" i="2"/>
  <c r="H280" i="2"/>
  <c r="H279" i="2"/>
  <c r="H278" i="2"/>
  <c r="H277" i="2"/>
  <c r="H276" i="2"/>
  <c r="H275" i="2"/>
  <c r="H274" i="2"/>
  <c r="H273" i="2"/>
  <c r="H272" i="2"/>
  <c r="H271" i="2"/>
  <c r="H270" i="2"/>
  <c r="H269" i="2"/>
  <c r="H268" i="2"/>
  <c r="H267" i="2"/>
  <c r="H266" i="2"/>
  <c r="H265" i="2"/>
  <c r="H264" i="2"/>
  <c r="H263" i="2"/>
  <c r="H262" i="2"/>
  <c r="H261" i="2"/>
  <c r="H260" i="2"/>
  <c r="H259" i="2"/>
  <c r="H258" i="2"/>
  <c r="H257" i="2"/>
  <c r="H256" i="2"/>
  <c r="H255" i="2"/>
  <c r="H254" i="2"/>
  <c r="H253" i="2"/>
  <c r="H252" i="2"/>
  <c r="H251" i="2"/>
  <c r="H250" i="2"/>
  <c r="H249" i="2"/>
  <c r="H248" i="2"/>
  <c r="H247" i="2"/>
  <c r="H246" i="2"/>
  <c r="H245" i="2"/>
  <c r="H244" i="2"/>
  <c r="H243" i="2"/>
  <c r="H242" i="2"/>
  <c r="H241" i="2"/>
  <c r="H240" i="2"/>
  <c r="H239" i="2"/>
  <c r="H238" i="2"/>
  <c r="H237" i="2"/>
  <c r="H236" i="2"/>
  <c r="H235" i="2"/>
  <c r="H234" i="2"/>
  <c r="H233" i="2"/>
  <c r="H232" i="2"/>
  <c r="H231" i="2"/>
  <c r="H230" i="2"/>
  <c r="H229" i="2"/>
  <c r="H228" i="2"/>
  <c r="H227" i="2"/>
  <c r="H226" i="2"/>
  <c r="H225" i="2"/>
  <c r="H224" i="2"/>
  <c r="H223" i="2"/>
  <c r="H222" i="2"/>
  <c r="H221" i="2"/>
  <c r="H220" i="2"/>
  <c r="H219" i="2"/>
  <c r="H218" i="2"/>
  <c r="H217" i="2"/>
  <c r="H216" i="2"/>
  <c r="H215" i="2"/>
  <c r="H214" i="2"/>
  <c r="H213" i="2"/>
  <c r="H212" i="2"/>
  <c r="H211" i="2"/>
  <c r="H210" i="2"/>
  <c r="H209" i="2"/>
  <c r="H208" i="2"/>
  <c r="H207" i="2"/>
  <c r="H206" i="2"/>
  <c r="H205" i="2"/>
  <c r="H204" i="2"/>
  <c r="H203" i="2"/>
  <c r="H202" i="2"/>
  <c r="H201" i="2"/>
  <c r="H200" i="2"/>
  <c r="H199" i="2"/>
  <c r="H198" i="2"/>
  <c r="H197" i="2"/>
  <c r="H196" i="2"/>
  <c r="H195" i="2"/>
  <c r="H194" i="2"/>
  <c r="H193" i="2"/>
  <c r="H192" i="2"/>
  <c r="H191" i="2"/>
  <c r="H190" i="2"/>
  <c r="H189" i="2"/>
  <c r="H188" i="2"/>
  <c r="H187" i="2"/>
  <c r="H186" i="2"/>
  <c r="H185" i="2"/>
  <c r="H184" i="2"/>
  <c r="H183" i="2"/>
  <c r="H182" i="2"/>
  <c r="H181" i="2"/>
  <c r="H180" i="2"/>
  <c r="H179" i="2"/>
  <c r="H178" i="2"/>
  <c r="H177" i="2"/>
  <c r="H176" i="2"/>
  <c r="H175" i="2"/>
  <c r="H174" i="2"/>
  <c r="H173" i="2"/>
  <c r="H172" i="2"/>
  <c r="H171" i="2"/>
  <c r="H170" i="2"/>
  <c r="H169" i="2"/>
  <c r="H168" i="2"/>
  <c r="H167" i="2"/>
  <c r="H166" i="2"/>
  <c r="H165" i="2"/>
  <c r="H164" i="2"/>
  <c r="H163" i="2"/>
  <c r="H162" i="2"/>
  <c r="H161" i="2"/>
  <c r="H160" i="2"/>
  <c r="H159" i="2"/>
  <c r="H158" i="2"/>
  <c r="H157" i="2"/>
  <c r="H156" i="2"/>
  <c r="H155" i="2"/>
  <c r="H154" i="2"/>
  <c r="H153" i="2"/>
  <c r="H152" i="2"/>
  <c r="H151" i="2"/>
  <c r="H150" i="2"/>
  <c r="H149" i="2"/>
  <c r="H148" i="2"/>
  <c r="H147" i="2"/>
  <c r="H146" i="2"/>
  <c r="H145" i="2"/>
  <c r="H144" i="2"/>
  <c r="H143" i="2"/>
  <c r="H142" i="2"/>
  <c r="H141" i="2"/>
  <c r="H140" i="2"/>
  <c r="H139" i="2"/>
  <c r="H138" i="2"/>
  <c r="H137" i="2"/>
  <c r="H136" i="2"/>
  <c r="H135" i="2"/>
  <c r="H134" i="2"/>
  <c r="H133" i="2"/>
  <c r="H132" i="2"/>
  <c r="H131" i="2"/>
  <c r="H130" i="2"/>
  <c r="H129" i="2"/>
  <c r="H128" i="2"/>
  <c r="H127" i="2"/>
  <c r="H126" i="2"/>
  <c r="H125" i="2"/>
  <c r="H124" i="2"/>
  <c r="H123" i="2"/>
  <c r="H122" i="2"/>
  <c r="H121" i="2"/>
  <c r="H120" i="2"/>
  <c r="H119" i="2"/>
  <c r="H118" i="2"/>
  <c r="H117" i="2"/>
  <c r="H116" i="2"/>
  <c r="H115" i="2"/>
  <c r="H114" i="2"/>
  <c r="H113" i="2"/>
  <c r="H112" i="2"/>
  <c r="H111" i="2"/>
  <c r="H110" i="2"/>
  <c r="H109" i="2"/>
  <c r="H108" i="2"/>
  <c r="H107" i="2"/>
  <c r="H106" i="2"/>
  <c r="H105" i="2"/>
  <c r="H104" i="2"/>
  <c r="H103" i="2"/>
  <c r="H102" i="2"/>
  <c r="H101" i="2"/>
  <c r="H100" i="2"/>
  <c r="H99" i="2"/>
  <c r="H98" i="2"/>
  <c r="H97" i="2"/>
  <c r="H96" i="2"/>
  <c r="H95" i="2"/>
  <c r="H94" i="2"/>
  <c r="H93" i="2"/>
  <c r="H92" i="2"/>
  <c r="H91" i="2"/>
  <c r="H90" i="2"/>
  <c r="H89" i="2"/>
  <c r="H88" i="2"/>
  <c r="H87" i="2"/>
  <c r="H86" i="2"/>
  <c r="H85" i="2"/>
  <c r="H84" i="2"/>
  <c r="H83" i="2"/>
  <c r="H82" i="2"/>
  <c r="H81" i="2"/>
  <c r="H80" i="2"/>
  <c r="H79" i="2"/>
  <c r="H78" i="2"/>
  <c r="H77" i="2"/>
  <c r="H76" i="2"/>
  <c r="H75" i="2"/>
  <c r="H74" i="2"/>
  <c r="H73" i="2"/>
  <c r="H72" i="2"/>
  <c r="H71" i="2"/>
  <c r="H70" i="2"/>
  <c r="H69" i="2"/>
  <c r="H68" i="2"/>
  <c r="H67" i="2"/>
  <c r="H66" i="2"/>
  <c r="H65" i="2"/>
  <c r="H64" i="2"/>
  <c r="H63" i="2"/>
  <c r="H62" i="2"/>
  <c r="H61" i="2"/>
  <c r="H60" i="2"/>
  <c r="H59" i="2"/>
  <c r="H58" i="2"/>
  <c r="H57" i="2"/>
  <c r="H56" i="2"/>
  <c r="H55" i="2"/>
  <c r="H54" i="2"/>
  <c r="H53" i="2"/>
  <c r="H52" i="2"/>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B12" i="6" l="1"/>
  <c r="E9" i="6"/>
  <c r="B12" i="3"/>
  <c r="B16" i="3"/>
  <c r="B17" i="3" s="1"/>
  <c r="B18" i="3" s="1"/>
  <c r="B16" i="6" l="1"/>
  <c r="B17" i="6" s="1"/>
  <c r="B18" i="6" s="1"/>
</calcChain>
</file>

<file path=xl/sharedStrings.xml><?xml version="1.0" encoding="utf-8"?>
<sst xmlns="http://schemas.openxmlformats.org/spreadsheetml/2006/main" count="7180" uniqueCount="2278">
  <si>
    <t>KM Claims - Step 4 vs Step 5 (REAL data, interactive)</t>
  </si>
  <si>
    <t>Populated from your real step-4 and step-5 output files.</t>
  </si>
  <si>
    <t>Sheets per entity: Ratings (editable) | Summary (live kappa) | Disagree (review list).</t>
  </si>
  <si>
    <t>Edit a rating in a Ratings sheet and the matching Summary sheet updates live.</t>
  </si>
  <si>
    <t xml:space="preserve">  Claimants: 1990 entities, 126 disagreements to review</t>
  </si>
  <si>
    <t xml:space="preserve">  Dealers: 225 entities, 17 disagreements to review</t>
  </si>
  <si>
    <t>Claimants - Step 4 vs Step 5 (editable)</t>
  </si>
  <si>
    <t>Change the Step 4 / Step 5 columns; the Summary sheet updates live.</t>
  </si>
  <si>
    <t>ClaimantName</t>
  </si>
  <si>
    <t>claim_count</t>
  </si>
  <si>
    <t>high_count</t>
  </si>
  <si>
    <t>raw_high_rate</t>
  </si>
  <si>
    <t>wilson_lower</t>
  </si>
  <si>
    <t>step4_level</t>
  </si>
  <si>
    <t>step5_level</t>
  </si>
  <si>
    <t>agree?</t>
  </si>
  <si>
    <t>Daniel Reigh</t>
  </si>
  <si>
    <t>High</t>
  </si>
  <si>
    <t>Shawn Brokaw</t>
  </si>
  <si>
    <t>Scott Poage</t>
  </si>
  <si>
    <t>Brian Baumann</t>
  </si>
  <si>
    <t>Rahil Maredia</t>
  </si>
  <si>
    <t>Sara  Terry</t>
  </si>
  <si>
    <t>Danny Wood</t>
  </si>
  <si>
    <t>Haley Klemencic</t>
  </si>
  <si>
    <t>Craig Sweezey</t>
  </si>
  <si>
    <t>Sue Figalora</t>
  </si>
  <si>
    <t>Audrey Simich</t>
  </si>
  <si>
    <t>Lenna Bedoya</t>
  </si>
  <si>
    <t>Patrick Kirk</t>
  </si>
  <si>
    <t>Reed Watson</t>
  </si>
  <si>
    <t>Carrie Boulay</t>
  </si>
  <si>
    <t>Dan Nowosad</t>
  </si>
  <si>
    <t>Alyssa Cline</t>
  </si>
  <si>
    <t>Joshua Carriere</t>
  </si>
  <si>
    <t>Low</t>
  </si>
  <si>
    <t>Richard Polster</t>
  </si>
  <si>
    <t>James Giglio</t>
  </si>
  <si>
    <t>Terry Reese</t>
  </si>
  <si>
    <t>Richard Boyer</t>
  </si>
  <si>
    <t>Shane Heskett</t>
  </si>
  <si>
    <t>Ira Kanter</t>
  </si>
  <si>
    <t>Stephen Fox</t>
  </si>
  <si>
    <t>Yolanda Gan</t>
  </si>
  <si>
    <t>Terry Mulvaney</t>
  </si>
  <si>
    <t>Trent Dockstetter</t>
  </si>
  <si>
    <t>Alex Smagala</t>
  </si>
  <si>
    <t>Ryan Stuempfig</t>
  </si>
  <si>
    <t>Brode Albrecht</t>
  </si>
  <si>
    <t>Matt Hughes</t>
  </si>
  <si>
    <t>Kristy  Becker</t>
  </si>
  <si>
    <t>GARY FAUCHEUX</t>
  </si>
  <si>
    <t>Ted Zimmerman</t>
  </si>
  <si>
    <t>Matthew Blevins</t>
  </si>
  <si>
    <t>Mark McKee</t>
  </si>
  <si>
    <t>Jennifer King</t>
  </si>
  <si>
    <t>Jeff Disidore</t>
  </si>
  <si>
    <t>Richard Goldsmith</t>
  </si>
  <si>
    <t>John Claiborne</t>
  </si>
  <si>
    <t>Bob  Murphy</t>
  </si>
  <si>
    <t>Sam Feller</t>
  </si>
  <si>
    <t>John Sicignano</t>
  </si>
  <si>
    <t>Lawton Rinker</t>
  </si>
  <si>
    <t>Mike Booker</t>
  </si>
  <si>
    <t>Wolf Strecker</t>
  </si>
  <si>
    <t>John Davis</t>
  </si>
  <si>
    <t>Frank Ulloa</t>
  </si>
  <si>
    <t>Bradley Baker</t>
  </si>
  <si>
    <t>Curt Ralph</t>
  </si>
  <si>
    <t>Michael Burmaster</t>
  </si>
  <si>
    <t>Brandon Fisher</t>
  </si>
  <si>
    <t>Justin Dorsey</t>
  </si>
  <si>
    <t>Ignacio Romero</t>
  </si>
  <si>
    <t>William Cornelius</t>
  </si>
  <si>
    <t>Jeremey Whitaker</t>
  </si>
  <si>
    <t>Debbie Hojnacki</t>
  </si>
  <si>
    <t>Austin  Hackett</t>
  </si>
  <si>
    <t>Jake Pedersen</t>
  </si>
  <si>
    <t>Josh Stahl</t>
  </si>
  <si>
    <t>Mark Goldsmith</t>
  </si>
  <si>
    <t>Patrick Maguire</t>
  </si>
  <si>
    <t>Shawna Clark</t>
  </si>
  <si>
    <t>Noah Wilson</t>
  </si>
  <si>
    <t>Lane Mallonee</t>
  </si>
  <si>
    <t>Ross Lasley</t>
  </si>
  <si>
    <t>Lindsay Mathews</t>
  </si>
  <si>
    <t>Edward Stamm</t>
  </si>
  <si>
    <t>Mark Ultis</t>
  </si>
  <si>
    <t>Tom Snow</t>
  </si>
  <si>
    <t>Mason  Magleby</t>
  </si>
  <si>
    <t>John Greene</t>
  </si>
  <si>
    <t>Rachel Quinn</t>
  </si>
  <si>
    <t>Glyn Morgan</t>
  </si>
  <si>
    <t>Nick Lanham</t>
  </si>
  <si>
    <t>Medium</t>
  </si>
  <si>
    <t>Jay Gill</t>
  </si>
  <si>
    <t>Will Downing</t>
  </si>
  <si>
    <t>Brett Herner</t>
  </si>
  <si>
    <t>Heather Willis</t>
  </si>
  <si>
    <t>Ryan Harms</t>
  </si>
  <si>
    <t>Nate Eddy</t>
  </si>
  <si>
    <t>Brady Wells</t>
  </si>
  <si>
    <t>Jeanette James</t>
  </si>
  <si>
    <t>Chris Stewart</t>
  </si>
  <si>
    <t>Jacob Fulk</t>
  </si>
  <si>
    <t>Adam Jack</t>
  </si>
  <si>
    <t>Ryan Kaser</t>
  </si>
  <si>
    <t>Tali Calles</t>
  </si>
  <si>
    <t>Kyle O'Mara</t>
  </si>
  <si>
    <t>Curtis Van</t>
  </si>
  <si>
    <t>Doug Caprio</t>
  </si>
  <si>
    <t>Adam Allen</t>
  </si>
  <si>
    <t>George Zeuss</t>
  </si>
  <si>
    <t>Mark Fulk</t>
  </si>
  <si>
    <t>Harold Shepard</t>
  </si>
  <si>
    <t>Mike Napolitano</t>
  </si>
  <si>
    <t>Clint Jeney</t>
  </si>
  <si>
    <t>Martin Randall</t>
  </si>
  <si>
    <t>Dominic Merrill</t>
  </si>
  <si>
    <t>Niklas VonderHaar</t>
  </si>
  <si>
    <t>Mark Demee</t>
  </si>
  <si>
    <t>Rich Lilke</t>
  </si>
  <si>
    <t>Sam Langley</t>
  </si>
  <si>
    <t>Toni Drumwright</t>
  </si>
  <si>
    <t>Nick Treat</t>
  </si>
  <si>
    <t>Debbie Lumley</t>
  </si>
  <si>
    <t>Leyla Samimi</t>
  </si>
  <si>
    <t>Joytika Prasad</t>
  </si>
  <si>
    <t>Fred Allard</t>
  </si>
  <si>
    <t>Jason Allen</t>
  </si>
  <si>
    <t>Jeremy Nollen</t>
  </si>
  <si>
    <t>Nick Leko</t>
  </si>
  <si>
    <t>Jonathan Frantin</t>
  </si>
  <si>
    <t>Jeff Bucher</t>
  </si>
  <si>
    <t>Lorraine  Ganaden</t>
  </si>
  <si>
    <t>Chris Roll</t>
  </si>
  <si>
    <t>Brent  West</t>
  </si>
  <si>
    <t>Melisa Cull</t>
  </si>
  <si>
    <t>Andrew Wheelan</t>
  </si>
  <si>
    <t>Anthony Gambrel</t>
  </si>
  <si>
    <t>John Park</t>
  </si>
  <si>
    <t>Michael Kates</t>
  </si>
  <si>
    <t>Sufyan Mefrakes</t>
  </si>
  <si>
    <t>Ronald  DeBacco</t>
  </si>
  <si>
    <t>Jerry Sloane</t>
  </si>
  <si>
    <t>Alan Walker</t>
  </si>
  <si>
    <t>Carson KinKade</t>
  </si>
  <si>
    <t>Ethan Faust</t>
  </si>
  <si>
    <t>Josie Larkin</t>
  </si>
  <si>
    <t>Ryane Medrano</t>
  </si>
  <si>
    <t>Erik Salinas</t>
  </si>
  <si>
    <t>Chloe Kern</t>
  </si>
  <si>
    <t>Chris Wolfe</t>
  </si>
  <si>
    <t>Garrett Dupuis</t>
  </si>
  <si>
    <t>Ian Balcazar</t>
  </si>
  <si>
    <t>Johnny Knight</t>
  </si>
  <si>
    <t>Tammy Gleason</t>
  </si>
  <si>
    <t>Andy Rutledge</t>
  </si>
  <si>
    <t>Jeff Smith</t>
  </si>
  <si>
    <t>Trent Tate</t>
  </si>
  <si>
    <t>Nolan Kiem</t>
  </si>
  <si>
    <t>Azzia MacDonald</t>
  </si>
  <si>
    <t>Scott Weiss</t>
  </si>
  <si>
    <t>Bill Lockie</t>
  </si>
  <si>
    <t>Mark Kanakis</t>
  </si>
  <si>
    <t>Bob McGowan</t>
  </si>
  <si>
    <t>David Humphrey</t>
  </si>
  <si>
    <t>Ted Hoal</t>
  </si>
  <si>
    <t>Tim Evans</t>
  </si>
  <si>
    <t>Nick  Lawson</t>
  </si>
  <si>
    <t>Tyler Hogan</t>
  </si>
  <si>
    <t>Doug Judish</t>
  </si>
  <si>
    <t>Jacquelyn Reed</t>
  </si>
  <si>
    <t>Chris Adams</t>
  </si>
  <si>
    <t>Ben Philpot</t>
  </si>
  <si>
    <t>Geneva Thompson</t>
  </si>
  <si>
    <t>Elie Amar</t>
  </si>
  <si>
    <t>Andrew Bass</t>
  </si>
  <si>
    <t>Cece Yeh</t>
  </si>
  <si>
    <t>Jeff James</t>
  </si>
  <si>
    <t>Kim Southerland</t>
  </si>
  <si>
    <t>Ray Vicario</t>
  </si>
  <si>
    <t>Gina Buchman</t>
  </si>
  <si>
    <t>Claude Helmke</t>
  </si>
  <si>
    <t>Madi Witry</t>
  </si>
  <si>
    <t>Jonathan Geyer</t>
  </si>
  <si>
    <t>Mike Murdoch</t>
  </si>
  <si>
    <t>Pamela Goldsmith</t>
  </si>
  <si>
    <t>Trevis Love</t>
  </si>
  <si>
    <t>Zack Anderson</t>
  </si>
  <si>
    <t>Alex McClung</t>
  </si>
  <si>
    <t>Quinton Reece</t>
  </si>
  <si>
    <t>Steve Callahan</t>
  </si>
  <si>
    <t>Lisa Gray</t>
  </si>
  <si>
    <t>Donald Rudie</t>
  </si>
  <si>
    <t>Andrew Roy</t>
  </si>
  <si>
    <t>David White</t>
  </si>
  <si>
    <t>Samuel Dugdale</t>
  </si>
  <si>
    <t>Trever Crumley</t>
  </si>
  <si>
    <t>Tiffany Bunce</t>
  </si>
  <si>
    <t>Carl Dunaway</t>
  </si>
  <si>
    <t>Lisa Johnson</t>
  </si>
  <si>
    <t>Rachelle Weaver</t>
  </si>
  <si>
    <t>Michael Healey</t>
  </si>
  <si>
    <t>Sami Siddiqui</t>
  </si>
  <si>
    <t>Ryon Addison</t>
  </si>
  <si>
    <t>Kody Smith</t>
  </si>
  <si>
    <t>Gunnar Gillespie</t>
  </si>
  <si>
    <t>Diego  Pulido</t>
  </si>
  <si>
    <t>Alec Houser</t>
  </si>
  <si>
    <t>Grant Berkefeld</t>
  </si>
  <si>
    <t>Mills Babb</t>
  </si>
  <si>
    <t>Heather  Brown</t>
  </si>
  <si>
    <t>Evan Langan</t>
  </si>
  <si>
    <t>Stewart  Schuerr</t>
  </si>
  <si>
    <t>Jamie Ford</t>
  </si>
  <si>
    <t>Michael Mathews</t>
  </si>
  <si>
    <t>Brandon Vallier</t>
  </si>
  <si>
    <t>Alek Karlovic</t>
  </si>
  <si>
    <t>Roger DiGregorio</t>
  </si>
  <si>
    <t>Floyd Hood</t>
  </si>
  <si>
    <t>Matt Smith</t>
  </si>
  <si>
    <t>Sabrina Galindo</t>
  </si>
  <si>
    <t>Chris Kugel</t>
  </si>
  <si>
    <t>Mike Frazier</t>
  </si>
  <si>
    <t>Sheila Mundey</t>
  </si>
  <si>
    <t>Evan Baughman</t>
  </si>
  <si>
    <t>Jeff Folger</t>
  </si>
  <si>
    <t>Josh Cowell</t>
  </si>
  <si>
    <t>Christopher Thompsen</t>
  </si>
  <si>
    <t>Garrett Deemer</t>
  </si>
  <si>
    <t>Nick Duyn</t>
  </si>
  <si>
    <t>Marty Patton</t>
  </si>
  <si>
    <t>Vinny Baldoni</t>
  </si>
  <si>
    <t>Brandon Branham</t>
  </si>
  <si>
    <t>Derek Helenihi</t>
  </si>
  <si>
    <t>JEFFERY HAGSTROM</t>
  </si>
  <si>
    <t>Patricia Unsell</t>
  </si>
  <si>
    <t>Richard Bailey</t>
  </si>
  <si>
    <t>Lucinda Goldsmith</t>
  </si>
  <si>
    <t>Ashley Medina</t>
  </si>
  <si>
    <t>Duffy  L'Huillier</t>
  </si>
  <si>
    <t>Maree Taylor</t>
  </si>
  <si>
    <t>Stephen Jetton</t>
  </si>
  <si>
    <t>Keaton Galindo</t>
  </si>
  <si>
    <t>Robert Thomas</t>
  </si>
  <si>
    <t>Jeff Simon</t>
  </si>
  <si>
    <t>Mike Marlow</t>
  </si>
  <si>
    <t>Logan Schott</t>
  </si>
  <si>
    <t>Kristin Claggett</t>
  </si>
  <si>
    <t>Patty Johnson</t>
  </si>
  <si>
    <t>Rachel VanOrman</t>
  </si>
  <si>
    <t>Andrew Love</t>
  </si>
  <si>
    <t>Mark Norris</t>
  </si>
  <si>
    <t>Amy Lagaras</t>
  </si>
  <si>
    <t>Richard Bivins</t>
  </si>
  <si>
    <t>Tanya Huber</t>
  </si>
  <si>
    <t>Mark Clark</t>
  </si>
  <si>
    <t>Justin Peart</t>
  </si>
  <si>
    <t>Jason Barker</t>
  </si>
  <si>
    <t>LeRoy DePas</t>
  </si>
  <si>
    <t>Azhmaliyyih Teal</t>
  </si>
  <si>
    <t>KEVIN KEATING</t>
  </si>
  <si>
    <t>Carly  Sullivan</t>
  </si>
  <si>
    <t>Riley Schneekloth</t>
  </si>
  <si>
    <t>Randy Jacobson</t>
  </si>
  <si>
    <t>George Dowling</t>
  </si>
  <si>
    <t>Stephanie Phillips</t>
  </si>
  <si>
    <t>Allen Duncan</t>
  </si>
  <si>
    <t>Adam Toutain</t>
  </si>
  <si>
    <t>Gary Gal</t>
  </si>
  <si>
    <t>John Morcom</t>
  </si>
  <si>
    <t>Tad Plantz</t>
  </si>
  <si>
    <t>Theo Meacham</t>
  </si>
  <si>
    <t>Savanna Salmons</t>
  </si>
  <si>
    <t>Chris  McReynolds</t>
  </si>
  <si>
    <t>Salisa Bacon</t>
  </si>
  <si>
    <t>Blair Gerber</t>
  </si>
  <si>
    <t>Gage Edwards</t>
  </si>
  <si>
    <t>Del Countess</t>
  </si>
  <si>
    <t>Garet Gordon</t>
  </si>
  <si>
    <t>Jacob Woolf</t>
  </si>
  <si>
    <t>Palani Correa</t>
  </si>
  <si>
    <t>Lizzy Brown</t>
  </si>
  <si>
    <t>Chris Caswell</t>
  </si>
  <si>
    <t>Jim Storrs</t>
  </si>
  <si>
    <t>Doug Sanner</t>
  </si>
  <si>
    <t>Tony Simeone</t>
  </si>
  <si>
    <t>Mark Bolling</t>
  </si>
  <si>
    <t>Danielle Moore</t>
  </si>
  <si>
    <t>Aaron Hager</t>
  </si>
  <si>
    <t>Cole Hayward</t>
  </si>
  <si>
    <t>Kevin Grossi</t>
  </si>
  <si>
    <t>Lee Pietrowski</t>
  </si>
  <si>
    <t>Kevin Kelliher</t>
  </si>
  <si>
    <t>Keith Houser</t>
  </si>
  <si>
    <t>Ross Snodgrass</t>
  </si>
  <si>
    <t>Brecken Sickles</t>
  </si>
  <si>
    <t>Paul Perez</t>
  </si>
  <si>
    <t>Justin Villa</t>
  </si>
  <si>
    <t>Loren Osiecki</t>
  </si>
  <si>
    <t>Jeff Patterson</t>
  </si>
  <si>
    <t>Michael Bodis</t>
  </si>
  <si>
    <t>Dennis Allison</t>
  </si>
  <si>
    <t>Jared Llewellyn</t>
  </si>
  <si>
    <t>Sean Walsh</t>
  </si>
  <si>
    <t>Bryan Mueller</t>
  </si>
  <si>
    <t>Sara Scotton</t>
  </si>
  <si>
    <t>Tina Cornett</t>
  </si>
  <si>
    <t>Jerry Shumate</t>
  </si>
  <si>
    <t>Gary Gomez</t>
  </si>
  <si>
    <t>Roel Saenz</t>
  </si>
  <si>
    <t>Kevin Tennenbaum</t>
  </si>
  <si>
    <t>Emmanuel Contreras</t>
  </si>
  <si>
    <t>Slvestre Esparza</t>
  </si>
  <si>
    <t>Solomon Massey</t>
  </si>
  <si>
    <t>Tony Zonca</t>
  </si>
  <si>
    <t>Anthony Bulla</t>
  </si>
  <si>
    <t>TALMADGE RAY</t>
  </si>
  <si>
    <t>DAVID BARROWS</t>
  </si>
  <si>
    <t>Molissa  Spradley</t>
  </si>
  <si>
    <t>Jenny Woodard</t>
  </si>
  <si>
    <t>James Smith</t>
  </si>
  <si>
    <t>Brian Earley</t>
  </si>
  <si>
    <t>Andy Wampler</t>
  </si>
  <si>
    <t>Adam Vagle</t>
  </si>
  <si>
    <t>Charles Fedorkowicz</t>
  </si>
  <si>
    <t>Cliff Redig</t>
  </si>
  <si>
    <t>Russ Kirby</t>
  </si>
  <si>
    <t>Dan  Danis</t>
  </si>
  <si>
    <t>Syndi Dukes</t>
  </si>
  <si>
    <t>Debbie Holly</t>
  </si>
  <si>
    <t>Penny Loughary</t>
  </si>
  <si>
    <t>Davie Wilden</t>
  </si>
  <si>
    <t>Joseylyn Hough</t>
  </si>
  <si>
    <t>Kasey Kunichika</t>
  </si>
  <si>
    <t>Jeremy Chua</t>
  </si>
  <si>
    <t>Kupono Hong</t>
  </si>
  <si>
    <t>Mike Moser</t>
  </si>
  <si>
    <t>Julie Anderson</t>
  </si>
  <si>
    <t>Zoey Schaefer</t>
  </si>
  <si>
    <t>James Clark</t>
  </si>
  <si>
    <t>Randy Cole</t>
  </si>
  <si>
    <t>Anthony Varanakis</t>
  </si>
  <si>
    <t>Nick  Edwards</t>
  </si>
  <si>
    <t>Sue Wilkinson</t>
  </si>
  <si>
    <t>Stephen Cook</t>
  </si>
  <si>
    <t>Ashley Thompson</t>
  </si>
  <si>
    <t>Pierce Wisnovsky</t>
  </si>
  <si>
    <t>Chad Boudon</t>
  </si>
  <si>
    <t>Caulin Bakalarski</t>
  </si>
  <si>
    <t>David DeMaria</t>
  </si>
  <si>
    <t>Scott Weiland</t>
  </si>
  <si>
    <t>Jasper Vice</t>
  </si>
  <si>
    <t>Garrett Fernandez</t>
  </si>
  <si>
    <t>Jack Wright</t>
  </si>
  <si>
    <t>Bryan Sharp</t>
  </si>
  <si>
    <t>Brenda Wall</t>
  </si>
  <si>
    <t>Dave Reis</t>
  </si>
  <si>
    <t>GREG  KELL</t>
  </si>
  <si>
    <t>Glenn Grilli</t>
  </si>
  <si>
    <t>James Warnick</t>
  </si>
  <si>
    <t>Scott Coble</t>
  </si>
  <si>
    <t>Walker Marlowe</t>
  </si>
  <si>
    <t>Kat Wessling</t>
  </si>
  <si>
    <t>Megan Landreneau</t>
  </si>
  <si>
    <t>Jordan Kendall</t>
  </si>
  <si>
    <t>Audrey Sprague</t>
  </si>
  <si>
    <t>Yahia Merrouche</t>
  </si>
  <si>
    <t>Leyla Kamaile</t>
  </si>
  <si>
    <t>Steve Michalak</t>
  </si>
  <si>
    <t>Chris Bush</t>
  </si>
  <si>
    <t>Luke  Dahl</t>
  </si>
  <si>
    <t>Mike Stephens</t>
  </si>
  <si>
    <t>Natalie Miguez</t>
  </si>
  <si>
    <t>Adam Blackman</t>
  </si>
  <si>
    <t>Carol Ocampo</t>
  </si>
  <si>
    <t>John Shedd</t>
  </si>
  <si>
    <t>Caitlin Seckel</t>
  </si>
  <si>
    <t>Sarah Martin</t>
  </si>
  <si>
    <t>Corey Bennett</t>
  </si>
  <si>
    <t>Connor Crawley</t>
  </si>
  <si>
    <t>Ryan Vignery</t>
  </si>
  <si>
    <t>Lisa Burchfield</t>
  </si>
  <si>
    <t>Rebekah Nelson</t>
  </si>
  <si>
    <t>Cynthia Jackson</t>
  </si>
  <si>
    <t>MARTHA MCNAIR</t>
  </si>
  <si>
    <t>Neil Slocum</t>
  </si>
  <si>
    <t>Craig Davis</t>
  </si>
  <si>
    <t>John Hartman</t>
  </si>
  <si>
    <t>Callaway Freeland</t>
  </si>
  <si>
    <t>Bradley Sullivan</t>
  </si>
  <si>
    <t>Erik Watson</t>
  </si>
  <si>
    <t>Vaughn Coblentz</t>
  </si>
  <si>
    <t>George Gastelo</t>
  </si>
  <si>
    <t>Ben Robinette</t>
  </si>
  <si>
    <t>Becki Conner</t>
  </si>
  <si>
    <t>Barton Newton</t>
  </si>
  <si>
    <t>Devry  Richardson</t>
  </si>
  <si>
    <t>Kyle Courtright</t>
  </si>
  <si>
    <t>Cameron Hansen</t>
  </si>
  <si>
    <t>Rick Lingon</t>
  </si>
  <si>
    <t>Al Todd</t>
  </si>
  <si>
    <t>Thomas Erbe</t>
  </si>
  <si>
    <t>Bob Wood</t>
  </si>
  <si>
    <t>Jeriel Farias</t>
  </si>
  <si>
    <t>Erika Fennimore</t>
  </si>
  <si>
    <t>Clint Ralston</t>
  </si>
  <si>
    <t>Michelle Brill</t>
  </si>
  <si>
    <t>Ashlie Brooks</t>
  </si>
  <si>
    <t>Chris Crockett</t>
  </si>
  <si>
    <t>Rex Engelhardt</t>
  </si>
  <si>
    <t>Jullianno Buzzitta</t>
  </si>
  <si>
    <t>Tim Dempsey</t>
  </si>
  <si>
    <t>David Turechek</t>
  </si>
  <si>
    <t>Jeff Black</t>
  </si>
  <si>
    <t>Blake Smith</t>
  </si>
  <si>
    <t>Dan Jerore</t>
  </si>
  <si>
    <t>Kenneth Cole</t>
  </si>
  <si>
    <t>Lessia Turner</t>
  </si>
  <si>
    <t>Gary Begg</t>
  </si>
  <si>
    <t>Mandan Langley</t>
  </si>
  <si>
    <t>Austin Piombo</t>
  </si>
  <si>
    <t>Tony Grigoryan</t>
  </si>
  <si>
    <t>Dave Luyando</t>
  </si>
  <si>
    <t>Eric Bird</t>
  </si>
  <si>
    <t>Jason Tomafsky</t>
  </si>
  <si>
    <t>Mike Qualls</t>
  </si>
  <si>
    <t>Moshe Heber</t>
  </si>
  <si>
    <t>Nathan Bice</t>
  </si>
  <si>
    <t>Nicholas Wherry</t>
  </si>
  <si>
    <t>Ryan Clark</t>
  </si>
  <si>
    <t>Debra Healey</t>
  </si>
  <si>
    <t>Fred Harlan</t>
  </si>
  <si>
    <t>Thomas Kellum</t>
  </si>
  <si>
    <t>Karson Melvin</t>
  </si>
  <si>
    <t>Natalie Merenda</t>
  </si>
  <si>
    <t>TJ Weisenburger</t>
  </si>
  <si>
    <t>Debora Gregg</t>
  </si>
  <si>
    <t>Bruce Sneary</t>
  </si>
  <si>
    <t>Paul Holstein</t>
  </si>
  <si>
    <t>Mitchell Steadman</t>
  </si>
  <si>
    <t>Scott Hoeck</t>
  </si>
  <si>
    <t>Sherif Helmy</t>
  </si>
  <si>
    <t>Ian Shorthouse</t>
  </si>
  <si>
    <t>Amy Borghese</t>
  </si>
  <si>
    <t>Marco Romero</t>
  </si>
  <si>
    <t>Christian Colasono</t>
  </si>
  <si>
    <t>Chris Gutierrez</t>
  </si>
  <si>
    <t>John  Foster</t>
  </si>
  <si>
    <t>Tyler McMillan</t>
  </si>
  <si>
    <t>Joe  Lardiere</t>
  </si>
  <si>
    <t>Alex Hoover</t>
  </si>
  <si>
    <t>Paul Hendrickson</t>
  </si>
  <si>
    <t>Wes Baxter</t>
  </si>
  <si>
    <t>Paul Mares</t>
  </si>
  <si>
    <t>Ashley Ng</t>
  </si>
  <si>
    <t>Taylor Hackett</t>
  </si>
  <si>
    <t>Jonathan Dolan</t>
  </si>
  <si>
    <t>Lance  Ireland</t>
  </si>
  <si>
    <t>Jeremy Hill</t>
  </si>
  <si>
    <t>Steve Baxter</t>
  </si>
  <si>
    <t>Christopher Baroldy</t>
  </si>
  <si>
    <t>Aaron Kahle</t>
  </si>
  <si>
    <t>Doug McDaniel</t>
  </si>
  <si>
    <t>Michael Dominick</t>
  </si>
  <si>
    <t>Jerry Flores</t>
  </si>
  <si>
    <t>Tyler Sprunger</t>
  </si>
  <si>
    <t>David Kowalski</t>
  </si>
  <si>
    <t>Suzanne Steiner</t>
  </si>
  <si>
    <t>Colby Stone</t>
  </si>
  <si>
    <t>Mike Molodow</t>
  </si>
  <si>
    <t>Ryan Shelton</t>
  </si>
  <si>
    <t>Joe Russo</t>
  </si>
  <si>
    <t>Calvin Pollard</t>
  </si>
  <si>
    <t>Beau Campbell</t>
  </si>
  <si>
    <t>Danielle Blackwell</t>
  </si>
  <si>
    <t>Hugo Cimbalnik</t>
  </si>
  <si>
    <t>Mike Kelly</t>
  </si>
  <si>
    <t>Tom Locatelli</t>
  </si>
  <si>
    <t>Linette hermanns</t>
  </si>
  <si>
    <t>Brittany Jones</t>
  </si>
  <si>
    <t>Will Noordyk</t>
  </si>
  <si>
    <t>Leigh Anne  Romaine</t>
  </si>
  <si>
    <t>Thunder Butler</t>
  </si>
  <si>
    <t>Denis Baryshnikov</t>
  </si>
  <si>
    <t>ANDREW JONES</t>
  </si>
  <si>
    <t>DONALD DAVIS</t>
  </si>
  <si>
    <t>Matthew Salzano</t>
  </si>
  <si>
    <t>Dan Perko</t>
  </si>
  <si>
    <t>Aileen  Labayen</t>
  </si>
  <si>
    <t>Matt Zieman</t>
  </si>
  <si>
    <t>Paige Randall</t>
  </si>
  <si>
    <t>Phil Malara</t>
  </si>
  <si>
    <t>Klesti Brameta</t>
  </si>
  <si>
    <t>Mike  Scully</t>
  </si>
  <si>
    <t>Jenny Richards</t>
  </si>
  <si>
    <t>Phillip Quach</t>
  </si>
  <si>
    <t>Joel Sherman</t>
  </si>
  <si>
    <t>Kylie Johns</t>
  </si>
  <si>
    <t>Ryan Skinner</t>
  </si>
  <si>
    <t>Colton Becker</t>
  </si>
  <si>
    <t>Sherry Armijo</t>
  </si>
  <si>
    <t>Ryan Anderson</t>
  </si>
  <si>
    <t>Chris Ranes</t>
  </si>
  <si>
    <t>Jacob Lee</t>
  </si>
  <si>
    <t>Adam Brown</t>
  </si>
  <si>
    <t>Cardon Kempton</t>
  </si>
  <si>
    <t>Stephen Frierson</t>
  </si>
  <si>
    <t>Matthew Scheehle</t>
  </si>
  <si>
    <t>Eddie Jones</t>
  </si>
  <si>
    <t>Francisco Gausachs</t>
  </si>
  <si>
    <t>Grady Condill</t>
  </si>
  <si>
    <t>Miriam Gunter</t>
  </si>
  <si>
    <t>Patrick Hutto</t>
  </si>
  <si>
    <t>zachary Cassel</t>
  </si>
  <si>
    <t>Jake Howard</t>
  </si>
  <si>
    <t>Casey Hungerford</t>
  </si>
  <si>
    <t>Nathan Hayman</t>
  </si>
  <si>
    <t>Kylie Sheppard</t>
  </si>
  <si>
    <t>Mike Nelson</t>
  </si>
  <si>
    <t>Jeffrey Bush</t>
  </si>
  <si>
    <t>Brad Record</t>
  </si>
  <si>
    <t>Craig Aspray</t>
  </si>
  <si>
    <t>Guillermo Plascencia</t>
  </si>
  <si>
    <t>Noel Tucker</t>
  </si>
  <si>
    <t>Lauren Hanna</t>
  </si>
  <si>
    <t>Dayna Karron</t>
  </si>
  <si>
    <t>Brett Blacksten</t>
  </si>
  <si>
    <t>Michael Rogers</t>
  </si>
  <si>
    <t>Ryan Schoepke</t>
  </si>
  <si>
    <t>Brian Behrens</t>
  </si>
  <si>
    <t>Christina Condon</t>
  </si>
  <si>
    <t>Harold Free</t>
  </si>
  <si>
    <t>Doug Scott</t>
  </si>
  <si>
    <t>Nicole Christ</t>
  </si>
  <si>
    <t>Michael Harmon</t>
  </si>
  <si>
    <t>Anthony Giles</t>
  </si>
  <si>
    <t>Lacey Ahrens</t>
  </si>
  <si>
    <t>Matthew Yriarte</t>
  </si>
  <si>
    <t>Kingsley  Nkwonta</t>
  </si>
  <si>
    <t>Gary Gryski</t>
  </si>
  <si>
    <t>Matt Happe</t>
  </si>
  <si>
    <t>Leo Agranoff</t>
  </si>
  <si>
    <t>Melissa Castor</t>
  </si>
  <si>
    <t>Darren Bruhns</t>
  </si>
  <si>
    <t>Staci Sisco</t>
  </si>
  <si>
    <t>Claude Roberge</t>
  </si>
  <si>
    <t>Michelle Owens</t>
  </si>
  <si>
    <t>Ryan Eades</t>
  </si>
  <si>
    <t>Clinton Parker</t>
  </si>
  <si>
    <t>Autumn OGrady</t>
  </si>
  <si>
    <t>Coy Tuck</t>
  </si>
  <si>
    <t>Derris Butler</t>
  </si>
  <si>
    <t>Kenneth Lee</t>
  </si>
  <si>
    <t>Korey Philpot</t>
  </si>
  <si>
    <t>Dan Potvin</t>
  </si>
  <si>
    <t>Teresa Jorgensen</t>
  </si>
  <si>
    <t>George Friedman</t>
  </si>
  <si>
    <t>Ashley Gore</t>
  </si>
  <si>
    <t>Brendan Sweeney</t>
  </si>
  <si>
    <t>Brad Gerber</t>
  </si>
  <si>
    <t>Michael White</t>
  </si>
  <si>
    <t>Elissa McGillivray</t>
  </si>
  <si>
    <t>Alexander Miers</t>
  </si>
  <si>
    <t>Zach Shackelford</t>
  </si>
  <si>
    <t>Brett Trammell</t>
  </si>
  <si>
    <t>Alec Arnold</t>
  </si>
  <si>
    <t>Jordan Sumiel</t>
  </si>
  <si>
    <t>Linda Wilson</t>
  </si>
  <si>
    <t>Holly Haley</t>
  </si>
  <si>
    <t>Pat  Pithan</t>
  </si>
  <si>
    <t>Dennis Garrettson</t>
  </si>
  <si>
    <t>Jonathan Aue</t>
  </si>
  <si>
    <t>Nick Cirrintano</t>
  </si>
  <si>
    <t>Kate Bluhm</t>
  </si>
  <si>
    <t>Brayden Holt</t>
  </si>
  <si>
    <t>Chevelle Allen</t>
  </si>
  <si>
    <t>Chuck Clinebell</t>
  </si>
  <si>
    <t>Kristin Puckett</t>
  </si>
  <si>
    <t>Connor McDermott</t>
  </si>
  <si>
    <t>Luke Lancaster</t>
  </si>
  <si>
    <t>Brandon Chapman</t>
  </si>
  <si>
    <t>Dan Gallion</t>
  </si>
  <si>
    <t>Shaun Shamblin</t>
  </si>
  <si>
    <t>Jordan Karels</t>
  </si>
  <si>
    <t>Randy Barretto</t>
  </si>
  <si>
    <t>Joevan Catron</t>
  </si>
  <si>
    <t>Maria Walsh</t>
  </si>
  <si>
    <t>Travis Lloyd</t>
  </si>
  <si>
    <t>stephanie Redfern</t>
  </si>
  <si>
    <t>Rhonda French</t>
  </si>
  <si>
    <t>Emma Busig</t>
  </si>
  <si>
    <t>Logan Feybusch</t>
  </si>
  <si>
    <t>Bryan Winfree</t>
  </si>
  <si>
    <t>Maggie Heinz</t>
  </si>
  <si>
    <t>Donald Mihalevich</t>
  </si>
  <si>
    <t>Tyler Dunn</t>
  </si>
  <si>
    <t>Lisa Garner</t>
  </si>
  <si>
    <t>Jeff Fink</t>
  </si>
  <si>
    <t>Brandon Milner</t>
  </si>
  <si>
    <t>Alex Coleman</t>
  </si>
  <si>
    <t>Vicki Rodriguez</t>
  </si>
  <si>
    <t>Carole Palazzo</t>
  </si>
  <si>
    <t>Antonio Luttrell</t>
  </si>
  <si>
    <t>Isaac  Gha</t>
  </si>
  <si>
    <t>Nicholas Dissly</t>
  </si>
  <si>
    <t>Charles Metz</t>
  </si>
  <si>
    <t>Tom Morris</t>
  </si>
  <si>
    <t>Christian Brown</t>
  </si>
  <si>
    <t>Jake Cavanaugh</t>
  </si>
  <si>
    <t>Jacob Bryant</t>
  </si>
  <si>
    <t>Joshua Wilson</t>
  </si>
  <si>
    <t>Ethon Sandman</t>
  </si>
  <si>
    <t>Monet Fisher</t>
  </si>
  <si>
    <t>Peter Demetriades</t>
  </si>
  <si>
    <t>Adam Hughes</t>
  </si>
  <si>
    <t>Greg Filardo</t>
  </si>
  <si>
    <t>Kristina Prichard</t>
  </si>
  <si>
    <t>Andrew Cleveland</t>
  </si>
  <si>
    <t>Alicia Thompson</t>
  </si>
  <si>
    <t>Shawn  Freeman</t>
  </si>
  <si>
    <t>Mike Davis</t>
  </si>
  <si>
    <t>Amber Lewis</t>
  </si>
  <si>
    <t>Don Lewis</t>
  </si>
  <si>
    <t>Christy Gordon</t>
  </si>
  <si>
    <t>Hunter Taylor</t>
  </si>
  <si>
    <t>Wil Wittmann</t>
  </si>
  <si>
    <t>Tom Lajeunesse</t>
  </si>
  <si>
    <t>Adam Weiss</t>
  </si>
  <si>
    <t>Ben Garrard</t>
  </si>
  <si>
    <t>Michael Miller</t>
  </si>
  <si>
    <t>Ed Cassidy</t>
  </si>
  <si>
    <t>Mitch Werner</t>
  </si>
  <si>
    <t>Carlos Hernandez</t>
  </si>
  <si>
    <t>Jaime Goddard</t>
  </si>
  <si>
    <t>Donn Guanzon</t>
  </si>
  <si>
    <t>Peter Early</t>
  </si>
  <si>
    <t>Kyle Kuhr</t>
  </si>
  <si>
    <t>David Archer</t>
  </si>
  <si>
    <t>Dan Welch</t>
  </si>
  <si>
    <t>Cheri Goldstein</t>
  </si>
  <si>
    <t>Lauren Tulba</t>
  </si>
  <si>
    <t>Georganne Muse</t>
  </si>
  <si>
    <t>Shawn Glass</t>
  </si>
  <si>
    <t>Jody Svete</t>
  </si>
  <si>
    <t>Dale Bielek</t>
  </si>
  <si>
    <t>Frank Kill</t>
  </si>
  <si>
    <t>Ben Gould</t>
  </si>
  <si>
    <t>Weldon Hall</t>
  </si>
  <si>
    <t>Lindsay Keller</t>
  </si>
  <si>
    <t>Madison Sheaffer</t>
  </si>
  <si>
    <t>Michael Latona</t>
  </si>
  <si>
    <t>Chad Hayes</t>
  </si>
  <si>
    <t>James Henderson</t>
  </si>
  <si>
    <t>Jennifer Crandall</t>
  </si>
  <si>
    <t>Brett Maxwell</t>
  </si>
  <si>
    <t>Paul  Tims</t>
  </si>
  <si>
    <t>George McClenahan</t>
  </si>
  <si>
    <t>RON MILZ</t>
  </si>
  <si>
    <t>Paul Knoff</t>
  </si>
  <si>
    <t>Greg Mahle</t>
  </si>
  <si>
    <t>David Torbert</t>
  </si>
  <si>
    <t>Todd Kudrna</t>
  </si>
  <si>
    <t>Mark Heidrich</t>
  </si>
  <si>
    <t>Daniel Enfield</t>
  </si>
  <si>
    <t>Tim Seeley, Jr.</t>
  </si>
  <si>
    <t>Tait Thomsen</t>
  </si>
  <si>
    <t>Jim Migliaccio</t>
  </si>
  <si>
    <t>Amy Echols</t>
  </si>
  <si>
    <t>Carson Holley</t>
  </si>
  <si>
    <t>Corbin Bowen</t>
  </si>
  <si>
    <t>Courtney Leighton</t>
  </si>
  <si>
    <t>Dae  Chung</t>
  </si>
  <si>
    <t>Danielle Hobeika</t>
  </si>
  <si>
    <t>Emma Spurlock</t>
  </si>
  <si>
    <t>Jack Schroeder</t>
  </si>
  <si>
    <t>Jaxson Kok</t>
  </si>
  <si>
    <t>Joey Beals</t>
  </si>
  <si>
    <t>John Musantry</t>
  </si>
  <si>
    <t>Jose Giannavola</t>
  </si>
  <si>
    <t>Kerry Wright</t>
  </si>
  <si>
    <t>Maddie Light</t>
  </si>
  <si>
    <t>Madeleine Parmelee</t>
  </si>
  <si>
    <t>Mark Blake</t>
  </si>
  <si>
    <t>Mark Foster</t>
  </si>
  <si>
    <t>Matt Ringel</t>
  </si>
  <si>
    <t>Michael Drumm</t>
  </si>
  <si>
    <t>Mishelle Maher</t>
  </si>
  <si>
    <t>Nojan Rafieyan Brojeni</t>
  </si>
  <si>
    <t>Olivier Graham</t>
  </si>
  <si>
    <t>Sydney Winters</t>
  </si>
  <si>
    <t>Todd Brown</t>
  </si>
  <si>
    <t>William Harbin</t>
  </si>
  <si>
    <t>Ariana Vandenburgh</t>
  </si>
  <si>
    <t>Brye Yohe</t>
  </si>
  <si>
    <t>Chad Pepper</t>
  </si>
  <si>
    <t>Codie Deaton</t>
  </si>
  <si>
    <t>Jackson Cash</t>
  </si>
  <si>
    <t>Jonas Burke</t>
  </si>
  <si>
    <t>Petr Fryklund</t>
  </si>
  <si>
    <t>Rob Wilcox</t>
  </si>
  <si>
    <t>Carlos Villa</t>
  </si>
  <si>
    <t>Dan DeMaria</t>
  </si>
  <si>
    <t>Ivan Santos</t>
  </si>
  <si>
    <t>Jackson Whitaker</t>
  </si>
  <si>
    <t>Johana Bayter</t>
  </si>
  <si>
    <t>Kristian Hernandez</t>
  </si>
  <si>
    <t>Matt Taylor</t>
  </si>
  <si>
    <t>Noah Lee</t>
  </si>
  <si>
    <t>Robert Johnson</t>
  </si>
  <si>
    <t>Trevor Burchard</t>
  </si>
  <si>
    <t>Bob Goldman</t>
  </si>
  <si>
    <t>Brady Fleming</t>
  </si>
  <si>
    <t>Charles Weaver</t>
  </si>
  <si>
    <t>Eugene Daych</t>
  </si>
  <si>
    <t>Gabe Barkley</t>
  </si>
  <si>
    <t>Jason  Campbell</t>
  </si>
  <si>
    <t>Kayla Driggers</t>
  </si>
  <si>
    <t>Megan Jedry</t>
  </si>
  <si>
    <t>Michael Leveque</t>
  </si>
  <si>
    <t>Morgan McDonnell</t>
  </si>
  <si>
    <t>Randy Weir</t>
  </si>
  <si>
    <t>Jon Hojje</t>
  </si>
  <si>
    <t>Maddy Recker</t>
  </si>
  <si>
    <t>Thomas Davis</t>
  </si>
  <si>
    <t>Trevor Clem</t>
  </si>
  <si>
    <t>Tonya Vera</t>
  </si>
  <si>
    <t>Jason Hare</t>
  </si>
  <si>
    <t>Jon Lohrentz</t>
  </si>
  <si>
    <t>Adam Overton</t>
  </si>
  <si>
    <t>Noah Boerlin</t>
  </si>
  <si>
    <t>Ryan Hansen</t>
  </si>
  <si>
    <t>Craig Baldauf</t>
  </si>
  <si>
    <t>Mark Slambrook</t>
  </si>
  <si>
    <t>Kyle Hamstreet</t>
  </si>
  <si>
    <t>Nate Robinson</t>
  </si>
  <si>
    <t>Phillip Olson</t>
  </si>
  <si>
    <t>Daniel Sheppard</t>
  </si>
  <si>
    <t>Donna May</t>
  </si>
  <si>
    <t>Allie Reece</t>
  </si>
  <si>
    <t>Allison Munday</t>
  </si>
  <si>
    <t>Amy Ng</t>
  </si>
  <si>
    <t>Amy Rosolowski</t>
  </si>
  <si>
    <t>Andrew Gathright</t>
  </si>
  <si>
    <t>Andrew Rundell</t>
  </si>
  <si>
    <t>Angela D'Onofrio</t>
  </si>
  <si>
    <t>Annette Bice</t>
  </si>
  <si>
    <t>Aurie Barrios</t>
  </si>
  <si>
    <t>Austin Marler</t>
  </si>
  <si>
    <t>Bambie Nuxall</t>
  </si>
  <si>
    <t>Bill Sieck</t>
  </si>
  <si>
    <t>Bill Truchan</t>
  </si>
  <si>
    <t>Billie Bartlett</t>
  </si>
  <si>
    <t>Blair Flanagan</t>
  </si>
  <si>
    <t>Blake Booher</t>
  </si>
  <si>
    <t>Blake Hillier</t>
  </si>
  <si>
    <t>Bob Tatalovich</t>
  </si>
  <si>
    <t>Brad Pence</t>
  </si>
  <si>
    <t>Brady Stockwell</t>
  </si>
  <si>
    <t>Brandon Turcotte</t>
  </si>
  <si>
    <t>Brandon Zech</t>
  </si>
  <si>
    <t>Brett Hunter</t>
  </si>
  <si>
    <t>Brian DeFazio</t>
  </si>
  <si>
    <t>Bryan Anderson</t>
  </si>
  <si>
    <t>Bryan Boles</t>
  </si>
  <si>
    <t>Caleb Yarborough</t>
  </si>
  <si>
    <t>Camille Bechade</t>
  </si>
  <si>
    <t>Chantal Belzile</t>
  </si>
  <si>
    <t>Charles Hoffman</t>
  </si>
  <si>
    <t>Charlie Wu</t>
  </si>
  <si>
    <t>Chris Celecki</t>
  </si>
  <si>
    <t>Chris Kuhl</t>
  </si>
  <si>
    <t>Chris Pomatto</t>
  </si>
  <si>
    <t>Chris Wheeler</t>
  </si>
  <si>
    <t>Christian Cooley</t>
  </si>
  <si>
    <t>Courtney Flannigan</t>
  </si>
  <si>
    <t>Courtney Wysocki</t>
  </si>
  <si>
    <t>DAVID SURLS</t>
  </si>
  <si>
    <t>Dana Borza</t>
  </si>
  <si>
    <t>Daniel Hughett</t>
  </si>
  <si>
    <t>David Christy</t>
  </si>
  <si>
    <t>David Reynolds</t>
  </si>
  <si>
    <t>David Smith</t>
  </si>
  <si>
    <t>Denise Hahn</t>
  </si>
  <si>
    <t>Devon Watts</t>
  </si>
  <si>
    <t>Don Amyx</t>
  </si>
  <si>
    <t>Doug Farrell</t>
  </si>
  <si>
    <t>Drew Pearson</t>
  </si>
  <si>
    <t>Dustin Schenker</t>
  </si>
  <si>
    <t>Dylan Adhikari</t>
  </si>
  <si>
    <t>Ellen Kilkenny</t>
  </si>
  <si>
    <t>Eric Juillerat</t>
  </si>
  <si>
    <t>Eric Obispo</t>
  </si>
  <si>
    <t>Ernie Reguera</t>
  </si>
  <si>
    <t>Ethan Umlang</t>
  </si>
  <si>
    <t>Frank Micela</t>
  </si>
  <si>
    <t>Fredy Noguera</t>
  </si>
  <si>
    <t>Gage Gibson</t>
  </si>
  <si>
    <t>Grant Crowell</t>
  </si>
  <si>
    <t>Gregory Mason</t>
  </si>
  <si>
    <t>Gregory McGowan</t>
  </si>
  <si>
    <t>Harrison Hall</t>
  </si>
  <si>
    <t>Hunter O'Bert</t>
  </si>
  <si>
    <t>Hunter Robinson</t>
  </si>
  <si>
    <t>Isaac Williams</t>
  </si>
  <si>
    <t>Isaiah Glidden</t>
  </si>
  <si>
    <t>JASON GOBIN</t>
  </si>
  <si>
    <t>JIMMY LOCKE</t>
  </si>
  <si>
    <t>JT D'Emidio</t>
  </si>
  <si>
    <t>Jackie Dato</t>
  </si>
  <si>
    <t>Janet Jansma</t>
  </si>
  <si>
    <t>Jared Cook</t>
  </si>
  <si>
    <t>Jason Pearson</t>
  </si>
  <si>
    <t>Jay Greenless</t>
  </si>
  <si>
    <t>Jennifer Esser</t>
  </si>
  <si>
    <t>Jerry DiMartino</t>
  </si>
  <si>
    <t>Jesse Lokken</t>
  </si>
  <si>
    <t>Joe Graziano</t>
  </si>
  <si>
    <t>Joe Wark</t>
  </si>
  <si>
    <t>John Garrison</t>
  </si>
  <si>
    <t>John Phelan</t>
  </si>
  <si>
    <t>Jonathan Byrd</t>
  </si>
  <si>
    <t>Jordan Johnson</t>
  </si>
  <si>
    <t>Josh Wingo</t>
  </si>
  <si>
    <t>Joshua Waller</t>
  </si>
  <si>
    <t>Judy Amiot</t>
  </si>
  <si>
    <t>Julie Vanhoek</t>
  </si>
  <si>
    <t>Justin Barker</t>
  </si>
  <si>
    <t>Kathryn Buckley</t>
  </si>
  <si>
    <t>Kati Caupp</t>
  </si>
  <si>
    <t>Kayla Temple</t>
  </si>
  <si>
    <t>Keith Cook</t>
  </si>
  <si>
    <t>Kelce Gold</t>
  </si>
  <si>
    <t>Kendra Beckman</t>
  </si>
  <si>
    <t>Kyle Seward</t>
  </si>
  <si>
    <t>Lide Denny</t>
  </si>
  <si>
    <t>Lisa Vogley</t>
  </si>
  <si>
    <t>Loren Hamlin</t>
  </si>
  <si>
    <t>Maria Hellman</t>
  </si>
  <si>
    <t>Marijani Rakiep</t>
  </si>
  <si>
    <t>Mark Brandt</t>
  </si>
  <si>
    <t>Matthew Campione</t>
  </si>
  <si>
    <t>Matthew Esposito</t>
  </si>
  <si>
    <t>Matthew Goetz</t>
  </si>
  <si>
    <t>Max Belhaj</t>
  </si>
  <si>
    <t>Mea Marti</t>
  </si>
  <si>
    <t>Mehdi Ali</t>
  </si>
  <si>
    <t>Melissa Skinner</t>
  </si>
  <si>
    <t>Micheal Rousseau</t>
  </si>
  <si>
    <t>Michel Boulet</t>
  </si>
  <si>
    <t>Michel Kehdy</t>
  </si>
  <si>
    <t>Mike Beardemphl</t>
  </si>
  <si>
    <t>Mike Berard</t>
  </si>
  <si>
    <t>Mike Brettl</t>
  </si>
  <si>
    <t>Mike Garofola</t>
  </si>
  <si>
    <t>Mike Grove</t>
  </si>
  <si>
    <t>Nastashia Savoie</t>
  </si>
  <si>
    <t>Natalie DePinto</t>
  </si>
  <si>
    <t>Natasha Flint</t>
  </si>
  <si>
    <t>Neil Christian</t>
  </si>
  <si>
    <t>Nicholas Tracia</t>
  </si>
  <si>
    <t>Nick Falbo</t>
  </si>
  <si>
    <t>Nick Hurson</t>
  </si>
  <si>
    <t>Nico Thomas</t>
  </si>
  <si>
    <t>Nicole Zimmerman</t>
  </si>
  <si>
    <t>Olivia Gilmore</t>
  </si>
  <si>
    <t>Owen Warrey</t>
  </si>
  <si>
    <t>Patrick Calzonetti</t>
  </si>
  <si>
    <t>Patrick Page</t>
  </si>
  <si>
    <t>Paul Apfelbeck</t>
  </si>
  <si>
    <t>Paul Gurien</t>
  </si>
  <si>
    <t>Paul Lee</t>
  </si>
  <si>
    <t>Paula Wesley</t>
  </si>
  <si>
    <t>Phylicia Dolaway</t>
  </si>
  <si>
    <t>Rachel Provost</t>
  </si>
  <si>
    <t>Rafael Fernandez</t>
  </si>
  <si>
    <t>Randolph Roberts</t>
  </si>
  <si>
    <t>Reece \Hanna</t>
  </si>
  <si>
    <t>Reed Flowers</t>
  </si>
  <si>
    <t>Rex Stalvey</t>
  </si>
  <si>
    <t>Rob Newell</t>
  </si>
  <si>
    <t>Robert Solomon</t>
  </si>
  <si>
    <t>Robin Harris</t>
  </si>
  <si>
    <t>Rosanne Bachman</t>
  </si>
  <si>
    <t>Russell  Fisher</t>
  </si>
  <si>
    <t>Ryan  Baxter</t>
  </si>
  <si>
    <t>Ryan Blaha</t>
  </si>
  <si>
    <t>Ryan Wolfe</t>
  </si>
  <si>
    <t>Sam Saufferer</t>
  </si>
  <si>
    <t>Samantha Williams</t>
  </si>
  <si>
    <t>Scott Thompson</t>
  </si>
  <si>
    <t>Scott Wiggins</t>
  </si>
  <si>
    <t>Shane Flanagan</t>
  </si>
  <si>
    <t>Shannon Ryan</t>
  </si>
  <si>
    <t>Sharon Huynh</t>
  </si>
  <si>
    <t>Stephen Sepple</t>
  </si>
  <si>
    <t>Steven Harrington</t>
  </si>
  <si>
    <t>Syd Schultz</t>
  </si>
  <si>
    <t>Tami McHugh</t>
  </si>
  <si>
    <t>Taylor  Neaton</t>
  </si>
  <si>
    <t>Taylor Kott</t>
  </si>
  <si>
    <t>Theo Lentsch</t>
  </si>
  <si>
    <t>Thomas Franchetti</t>
  </si>
  <si>
    <t>Thomas Woolsey</t>
  </si>
  <si>
    <t>Todd Culbertson</t>
  </si>
  <si>
    <t>Tom Flahaven</t>
  </si>
  <si>
    <t>Tommy Donelson</t>
  </si>
  <si>
    <t>Travis Brigham</t>
  </si>
  <si>
    <t>Travis Davis</t>
  </si>
  <si>
    <t>Travis Ockey</t>
  </si>
  <si>
    <t>Trent Linden</t>
  </si>
  <si>
    <t>Trevor Mahnert</t>
  </si>
  <si>
    <t>Trevor Meyer</t>
  </si>
  <si>
    <t>Ty Dockery</t>
  </si>
  <si>
    <t>Tyler Baum</t>
  </si>
  <si>
    <t>Tyler Ritchi</t>
  </si>
  <si>
    <t>Van Seretis</t>
  </si>
  <si>
    <t>Waylon  Karr</t>
  </si>
  <si>
    <t>William Phillips</t>
  </si>
  <si>
    <t>Wyatt Elledge</t>
  </si>
  <si>
    <t>Yvonne Garza</t>
  </si>
  <si>
    <t>Zach Sargis</t>
  </si>
  <si>
    <t>Aaron Price</t>
  </si>
  <si>
    <t>Aaron Shapiro</t>
  </si>
  <si>
    <t>Adam VanDerMast</t>
  </si>
  <si>
    <t>Adrian Ruck</t>
  </si>
  <si>
    <t>Al Sampson</t>
  </si>
  <si>
    <t>Alex Kekovski</t>
  </si>
  <si>
    <t>Alex Zaban</t>
  </si>
  <si>
    <t>Allison Borta</t>
  </si>
  <si>
    <t>Amit Kalbande</t>
  </si>
  <si>
    <t>Andre Stone</t>
  </si>
  <si>
    <t>Andrew Newell</t>
  </si>
  <si>
    <t>Ari Suris</t>
  </si>
  <si>
    <t>Ashley Thorp</t>
  </si>
  <si>
    <t>Ashwani Singh</t>
  </si>
  <si>
    <t>Austin Chitmon</t>
  </si>
  <si>
    <t>Barry Eisler</t>
  </si>
  <si>
    <t>Ben Hallett</t>
  </si>
  <si>
    <t>Blake Carr</t>
  </si>
  <si>
    <t>Brad Jermeland</t>
  </si>
  <si>
    <t>Bradley Harris</t>
  </si>
  <si>
    <t>Brandon Wamsher</t>
  </si>
  <si>
    <t>Brian Reeb</t>
  </si>
  <si>
    <t>Brock Terrell</t>
  </si>
  <si>
    <t>Caleb Pittman</t>
  </si>
  <si>
    <t>Charles Hardage</t>
  </si>
  <si>
    <t>Charles Malloy</t>
  </si>
  <si>
    <t>Charlie Axsom</t>
  </si>
  <si>
    <t>Chris Cork</t>
  </si>
  <si>
    <t>Cody Jacobs</t>
  </si>
  <si>
    <t>Courtney Humbarger</t>
  </si>
  <si>
    <t>Dan Hollembaek</t>
  </si>
  <si>
    <t>Dan Smith</t>
  </si>
  <si>
    <t>Daniel Davis</t>
  </si>
  <si>
    <t>Darin Mai</t>
  </si>
  <si>
    <t>Darren Kappes</t>
  </si>
  <si>
    <t>David Darling</t>
  </si>
  <si>
    <t>Dawson Church</t>
  </si>
  <si>
    <t>Dionte Smith</t>
  </si>
  <si>
    <t>Douglas Tiffany</t>
  </si>
  <si>
    <t>Dustin Brown</t>
  </si>
  <si>
    <t>Elise Loeb</t>
  </si>
  <si>
    <t>Eric Harbrecht</t>
  </si>
  <si>
    <t>Eric Strange</t>
  </si>
  <si>
    <t>Erik Komurek</t>
  </si>
  <si>
    <t>Frank Gonzalez</t>
  </si>
  <si>
    <t>Gary Hovind</t>
  </si>
  <si>
    <t>Gaye Carroll</t>
  </si>
  <si>
    <t>Ginny Aycock</t>
  </si>
  <si>
    <t>Grant Goldsmith</t>
  </si>
  <si>
    <t>Guy Gray</t>
  </si>
  <si>
    <t>James Freeman</t>
  </si>
  <si>
    <t>James Knowles</t>
  </si>
  <si>
    <t>James Young</t>
  </si>
  <si>
    <t>Jason Palmer</t>
  </si>
  <si>
    <t>Jason Paul</t>
  </si>
  <si>
    <t>Jeff Sandifer</t>
  </si>
  <si>
    <t>Jerimiah Jones</t>
  </si>
  <si>
    <t>Joel Rexroth</t>
  </si>
  <si>
    <t>John Hedrick</t>
  </si>
  <si>
    <t>John Van Senus</t>
  </si>
  <si>
    <t>John Wermann</t>
  </si>
  <si>
    <t>Jordan Diego</t>
  </si>
  <si>
    <t>Joseph Waldo</t>
  </si>
  <si>
    <t>Joshua Thompson</t>
  </si>
  <si>
    <t>Justin Rex</t>
  </si>
  <si>
    <t>Kaitlin McDonnell</t>
  </si>
  <si>
    <t>Kelsey Reyes</t>
  </si>
  <si>
    <t>Kelsi Galya</t>
  </si>
  <si>
    <t>Klifton Scroggins</t>
  </si>
  <si>
    <t>Kristyn Foskett</t>
  </si>
  <si>
    <t>Krystian Michalak</t>
  </si>
  <si>
    <t>Kurtis Nourse</t>
  </si>
  <si>
    <t>Kyle Johnson</t>
  </si>
  <si>
    <t>Lance Jacklich</t>
  </si>
  <si>
    <t>Lisa Jirele</t>
  </si>
  <si>
    <t>Lucas Collins</t>
  </si>
  <si>
    <t>MARK SCHULTZ</t>
  </si>
  <si>
    <t>Marcus Leaf</t>
  </si>
  <si>
    <t>Marcus Wiley</t>
  </si>
  <si>
    <t>Marisa Gibson</t>
  </si>
  <si>
    <t>Martin Noci</t>
  </si>
  <si>
    <t>Mathew Bloch</t>
  </si>
  <si>
    <t>Matt Heister</t>
  </si>
  <si>
    <t>Matthew Craig</t>
  </si>
  <si>
    <t>Meghan Hatfield</t>
  </si>
  <si>
    <t>Melanie Bouffard</t>
  </si>
  <si>
    <t>Michael Hall</t>
  </si>
  <si>
    <t>Michaela Elkobtan</t>
  </si>
  <si>
    <t>Mitch Molbeck</t>
  </si>
  <si>
    <t>Mitchell Klompas</t>
  </si>
  <si>
    <t>Mitchell Mawby</t>
  </si>
  <si>
    <t>Nathan Langerman</t>
  </si>
  <si>
    <t>Nick Bristow</t>
  </si>
  <si>
    <t>Nick Coleman</t>
  </si>
  <si>
    <t>Nicole Gautreaux</t>
  </si>
  <si>
    <t>Oscar Pennell</t>
  </si>
  <si>
    <t>Patricia Trottere</t>
  </si>
  <si>
    <t>Paula  Davis</t>
  </si>
  <si>
    <t>Phil Cox</t>
  </si>
  <si>
    <t>Raj Nabar</t>
  </si>
  <si>
    <t>Randy Shea</t>
  </si>
  <si>
    <t>Rebecca Baden</t>
  </si>
  <si>
    <t>Reggie Hannah</t>
  </si>
  <si>
    <t>Richard Gallegos</t>
  </si>
  <si>
    <t>Ricky Elias</t>
  </si>
  <si>
    <t>Robert Bloecker</t>
  </si>
  <si>
    <t>Robert McCarthy</t>
  </si>
  <si>
    <t>Rocky Coffey</t>
  </si>
  <si>
    <t>Ron Drag</t>
  </si>
  <si>
    <t>Ryan Evans</t>
  </si>
  <si>
    <t>Satchel Heinen</t>
  </si>
  <si>
    <t>Sati Phenix</t>
  </si>
  <si>
    <t>Schyler Koopmans</t>
  </si>
  <si>
    <t>Scott Shiner</t>
  </si>
  <si>
    <t>Steve Marusky</t>
  </si>
  <si>
    <t>Stuart Fratkin</t>
  </si>
  <si>
    <t>Tom Skeels</t>
  </si>
  <si>
    <t>Toni Dickenson</t>
  </si>
  <si>
    <t>Tony Floyd</t>
  </si>
  <si>
    <t>Travis Weiss</t>
  </si>
  <si>
    <t>Umang Patel</t>
  </si>
  <si>
    <t>Vince McHugh</t>
  </si>
  <si>
    <t>Wayne King</t>
  </si>
  <si>
    <t>Will Hartung</t>
  </si>
  <si>
    <t>Zachary Schechter</t>
  </si>
  <si>
    <t>AJ Wyman</t>
  </si>
  <si>
    <t>Aaron Bowman</t>
  </si>
  <si>
    <t>Andrew  Butler</t>
  </si>
  <si>
    <t>Andrew Conklin</t>
  </si>
  <si>
    <t>Andrew Vogel</t>
  </si>
  <si>
    <t>Ari Epshtein</t>
  </si>
  <si>
    <t>Ashlee Skoruppa</t>
  </si>
  <si>
    <t>Baldo Gonzalez</t>
  </si>
  <si>
    <t>Beau Thrash</t>
  </si>
  <si>
    <t>Bob Nicolin</t>
  </si>
  <si>
    <t>Brady Bruhn</t>
  </si>
  <si>
    <t>Branden Pence</t>
  </si>
  <si>
    <t>Brandon Hogan</t>
  </si>
  <si>
    <t>Brent Barker</t>
  </si>
  <si>
    <t>Brett Boggs</t>
  </si>
  <si>
    <t>Brian Miller</t>
  </si>
  <si>
    <t>Caden Tennison</t>
  </si>
  <si>
    <t>Carissa Brandon</t>
  </si>
  <si>
    <t>Charles Kirkwood</t>
  </si>
  <si>
    <t>Chris  McDonald</t>
  </si>
  <si>
    <t>Chris Evans</t>
  </si>
  <si>
    <t>Cole Soiney</t>
  </si>
  <si>
    <t>Corey Colton</t>
  </si>
  <si>
    <t>Corey Holliday</t>
  </si>
  <si>
    <t>Dan Schindler</t>
  </si>
  <si>
    <t>David Maeda</t>
  </si>
  <si>
    <t>Doug Moore</t>
  </si>
  <si>
    <t>Dyson Redden</t>
  </si>
  <si>
    <t>Eli McDanel</t>
  </si>
  <si>
    <t>Elliot Misic</t>
  </si>
  <si>
    <t>Erin Young</t>
  </si>
  <si>
    <t>Evan Margelos</t>
  </si>
  <si>
    <t>Gregg Eastin</t>
  </si>
  <si>
    <t>Ian Smith</t>
  </si>
  <si>
    <t>Jack Patsula</t>
  </si>
  <si>
    <t>Jake Lero</t>
  </si>
  <si>
    <t>Jakob Palmer</t>
  </si>
  <si>
    <t>Jason Bjorgo</t>
  </si>
  <si>
    <t>Jason Cunningham</t>
  </si>
  <si>
    <t>Jason Freibert</t>
  </si>
  <si>
    <t>Jeff Johnson</t>
  </si>
  <si>
    <t>Jeness Raffa</t>
  </si>
  <si>
    <t>Jesse Moree</t>
  </si>
  <si>
    <t>Jessica Maneri</t>
  </si>
  <si>
    <t>Jodilynn DiPiazza</t>
  </si>
  <si>
    <t>Joe Dimartino</t>
  </si>
  <si>
    <t>Joshua Hamilton</t>
  </si>
  <si>
    <t>Julian Forjan</t>
  </si>
  <si>
    <t>Julio Ortega</t>
  </si>
  <si>
    <t>Justin  Anderson</t>
  </si>
  <si>
    <t>Kerri Jakobsen</t>
  </si>
  <si>
    <t>Kevin McKnight</t>
  </si>
  <si>
    <t>Kevin Tapia</t>
  </si>
  <si>
    <t>Kimberely Reynolds</t>
  </si>
  <si>
    <t>Lance Landin</t>
  </si>
  <si>
    <t>Madison Hawn</t>
  </si>
  <si>
    <t>Maitlyn Hoskins</t>
  </si>
  <si>
    <t>Marcelo Fung</t>
  </si>
  <si>
    <t>Mari Sloan</t>
  </si>
  <si>
    <t>Matt Stratton</t>
  </si>
  <si>
    <t>Matthew Garnett</t>
  </si>
  <si>
    <t>Michael Allred</t>
  </si>
  <si>
    <t>Michael Popp</t>
  </si>
  <si>
    <t>Michelle Gilbert</t>
  </si>
  <si>
    <t>Nick Simmons</t>
  </si>
  <si>
    <t>Nick Spillenkothen</t>
  </si>
  <si>
    <t>Philip Thompson</t>
  </si>
  <si>
    <t>Ray Neloms</t>
  </si>
  <si>
    <t>Robert C'deBaca</t>
  </si>
  <si>
    <t>Scott Kulla</t>
  </si>
  <si>
    <t>Spencer Young</t>
  </si>
  <si>
    <t>Steve Goodwin</t>
  </si>
  <si>
    <t>Steve Lynch</t>
  </si>
  <si>
    <t>TRAVIS  REEVES</t>
  </si>
  <si>
    <t>Taylor Pollard</t>
  </si>
  <si>
    <t>Ted Kochman</t>
  </si>
  <si>
    <t>Thomas Baldasare</t>
  </si>
  <si>
    <t>Tim Hoskow</t>
  </si>
  <si>
    <t>Todd Kress</t>
  </si>
  <si>
    <t>Tony Valdez</t>
  </si>
  <si>
    <t>Walter Williams</t>
  </si>
  <si>
    <t>Wendy Kleibscheidel</t>
  </si>
  <si>
    <t>Will Smith</t>
  </si>
  <si>
    <t>Yatin Chauhan</t>
  </si>
  <si>
    <t>Zachary Darif</t>
  </si>
  <si>
    <t>Abbey Burnett</t>
  </si>
  <si>
    <t>Adam Lopez</t>
  </si>
  <si>
    <t>Andrew Kohler</t>
  </si>
  <si>
    <t>Anita Sutton</t>
  </si>
  <si>
    <t>Ashley Adcock</t>
  </si>
  <si>
    <t>Billy Ash</t>
  </si>
  <si>
    <t>Billy Derek Mills</t>
  </si>
  <si>
    <t>Brian Pearman</t>
  </si>
  <si>
    <t>Brooks Langrehr</t>
  </si>
  <si>
    <t>Carlos Silva</t>
  </si>
  <si>
    <t>Carmen Sharp</t>
  </si>
  <si>
    <t>Cecil  Mills</t>
  </si>
  <si>
    <t>Chad Gilmet</t>
  </si>
  <si>
    <t>Chris  Howard</t>
  </si>
  <si>
    <t>Chris Chaplin</t>
  </si>
  <si>
    <t>Christian Auriana</t>
  </si>
  <si>
    <t>Cody Knudsen</t>
  </si>
  <si>
    <t>Curtis Stratton</t>
  </si>
  <si>
    <t>David Hale</t>
  </si>
  <si>
    <t>Eugene Golla</t>
  </si>
  <si>
    <t>Grant Castle</t>
  </si>
  <si>
    <t>Grant Ward</t>
  </si>
  <si>
    <t>Grey Wilkerson</t>
  </si>
  <si>
    <t>Hakan Sutluoglu</t>
  </si>
  <si>
    <t>Izaiah Jackson</t>
  </si>
  <si>
    <t>Jake Lewis</t>
  </si>
  <si>
    <t>Jessica Murphy</t>
  </si>
  <si>
    <t>Jessy Otero</t>
  </si>
  <si>
    <t>Jill Douglass</t>
  </si>
  <si>
    <t>Jim Isch</t>
  </si>
  <si>
    <t>Jimmy Brannon</t>
  </si>
  <si>
    <t>Joel Peraza</t>
  </si>
  <si>
    <t>John Kreider</t>
  </si>
  <si>
    <t>Jordan Jacobs</t>
  </si>
  <si>
    <t>Josh Ehle</t>
  </si>
  <si>
    <t>Keith Belcher</t>
  </si>
  <si>
    <t>Kevin Jackson</t>
  </si>
  <si>
    <t>Kyle Arnold</t>
  </si>
  <si>
    <t>Lauren Cusick</t>
  </si>
  <si>
    <t>Linda Silver</t>
  </si>
  <si>
    <t>Malachi Stout</t>
  </si>
  <si>
    <t>Mandi Ralston</t>
  </si>
  <si>
    <t>Mario Munoz</t>
  </si>
  <si>
    <t>Mark Cantu</t>
  </si>
  <si>
    <t>Mark Hawks</t>
  </si>
  <si>
    <t>Matt Giacheri</t>
  </si>
  <si>
    <t>Michael Koons</t>
  </si>
  <si>
    <t>Michael Schrimpf</t>
  </si>
  <si>
    <t>Mika  Cohen</t>
  </si>
  <si>
    <t>Nate Parker</t>
  </si>
  <si>
    <t>Nicholas Morales</t>
  </si>
  <si>
    <t>Nicole Abrahamson</t>
  </si>
  <si>
    <t>Patrick Beach</t>
  </si>
  <si>
    <t>Paul Hernandez</t>
  </si>
  <si>
    <t>Randy Stumpf</t>
  </si>
  <si>
    <t>Robert Becker</t>
  </si>
  <si>
    <t>Rory Kahler</t>
  </si>
  <si>
    <t>Rudy Erickson</t>
  </si>
  <si>
    <t>Ryan Geeting</t>
  </si>
  <si>
    <t>Scott  Clements</t>
  </si>
  <si>
    <t>Scott Backstrom</t>
  </si>
  <si>
    <t>Scott Rentz</t>
  </si>
  <si>
    <t>Scott Wamsher</t>
  </si>
  <si>
    <t>Simi Bakare</t>
  </si>
  <si>
    <t>Stacey Rice</t>
  </si>
  <si>
    <t>Sterling Barron</t>
  </si>
  <si>
    <t>Tom Ouellette</t>
  </si>
  <si>
    <t>Trenton Green</t>
  </si>
  <si>
    <t>Zachary Martenson</t>
  </si>
  <si>
    <t>Andrew Haas</t>
  </si>
  <si>
    <t>April Walker</t>
  </si>
  <si>
    <t>Ben Perez</t>
  </si>
  <si>
    <t>Brandon Rothstein</t>
  </si>
  <si>
    <t>Brennan Fabry</t>
  </si>
  <si>
    <t>Burke Bellecort</t>
  </si>
  <si>
    <t>Cameron Foland-Romero</t>
  </si>
  <si>
    <t>Charles Porter</t>
  </si>
  <si>
    <t>Chrissy Blankman</t>
  </si>
  <si>
    <t>Christian Valvano</t>
  </si>
  <si>
    <t>Craig Houston</t>
  </si>
  <si>
    <t>Daniel Leavitt</t>
  </si>
  <si>
    <t>Daniel Reichardt</t>
  </si>
  <si>
    <t>Danielle Eyer</t>
  </si>
  <si>
    <t>Donald Hoxha</t>
  </si>
  <si>
    <t>Dorein Plummer</t>
  </si>
  <si>
    <t>Gary Thompson</t>
  </si>
  <si>
    <t>Genesis Stevenson</t>
  </si>
  <si>
    <t>Jaden Nguyen</t>
  </si>
  <si>
    <t>Jane Uong</t>
  </si>
  <si>
    <t>Jason Kinsey</t>
  </si>
  <si>
    <t>Jason Morris</t>
  </si>
  <si>
    <t>Jeff Layne</t>
  </si>
  <si>
    <t>Jeff Price</t>
  </si>
  <si>
    <t>Jeremi Landry</t>
  </si>
  <si>
    <t>Jessica Whaley</t>
  </si>
  <si>
    <t>Joe Jersak</t>
  </si>
  <si>
    <t>Joe Whelchel</t>
  </si>
  <si>
    <t>John Bodnar</t>
  </si>
  <si>
    <t>Jon  Antoniewicz</t>
  </si>
  <si>
    <t>Joseph Herd</t>
  </si>
  <si>
    <t>Julie Koch</t>
  </si>
  <si>
    <t>June Sanchez</t>
  </si>
  <si>
    <t>Justin Ayres</t>
  </si>
  <si>
    <t>Kevin Macy</t>
  </si>
  <si>
    <t>Kim Girard</t>
  </si>
  <si>
    <t>Kyle Blackburn</t>
  </si>
  <si>
    <t>Kyle Pedersen</t>
  </si>
  <si>
    <t>Lauren Herold</t>
  </si>
  <si>
    <t>Len Colucci</t>
  </si>
  <si>
    <t>Logan Gowdy</t>
  </si>
  <si>
    <t>Maddie Scott</t>
  </si>
  <si>
    <t>Mark  Holmes</t>
  </si>
  <si>
    <t>Matt Shorter</t>
  </si>
  <si>
    <t>Matt Thompson</t>
  </si>
  <si>
    <t>Michelle Herring</t>
  </si>
  <si>
    <t>Monica Hinton</t>
  </si>
  <si>
    <t>Natalie Fisher</t>
  </si>
  <si>
    <t>Nick Palluzzi</t>
  </si>
  <si>
    <t>Phil McCarthy</t>
  </si>
  <si>
    <t>River Boudreau</t>
  </si>
  <si>
    <t>Roger  Pogue</t>
  </si>
  <si>
    <t>Ryan Schmidt</t>
  </si>
  <si>
    <t>Stephen Benton</t>
  </si>
  <si>
    <t>Steve Murray</t>
  </si>
  <si>
    <t>Tate Salley</t>
  </si>
  <si>
    <t>Taylor Cragin</t>
  </si>
  <si>
    <t>Trent Becker</t>
  </si>
  <si>
    <t>Trisha Clair</t>
  </si>
  <si>
    <t>Tseday Mesfin</t>
  </si>
  <si>
    <t>Victoria Mitchell</t>
  </si>
  <si>
    <t>Warren Lascolette</t>
  </si>
  <si>
    <t>Zac Schneider</t>
  </si>
  <si>
    <t>Abi Broussard</t>
  </si>
  <si>
    <t>Alex  Flamenco</t>
  </si>
  <si>
    <t>Bart Thompson</t>
  </si>
  <si>
    <t>Brad Atol</t>
  </si>
  <si>
    <t>Brayden Johnson</t>
  </si>
  <si>
    <t>Brian Peltier</t>
  </si>
  <si>
    <t>Calvin White</t>
  </si>
  <si>
    <t>Cameron Miller</t>
  </si>
  <si>
    <t>Cheri Bottorff</t>
  </si>
  <si>
    <t>Connor Kelley</t>
  </si>
  <si>
    <t>Cortney Houston</t>
  </si>
  <si>
    <t>Dan Brodnik</t>
  </si>
  <si>
    <t>Dan Marchetti</t>
  </si>
  <si>
    <t>David Johnson</t>
  </si>
  <si>
    <t>Demetrius Henry</t>
  </si>
  <si>
    <t>Donna Heald</t>
  </si>
  <si>
    <t>Donna Roberts</t>
  </si>
  <si>
    <t>Eric Logan</t>
  </si>
  <si>
    <t>Ethan Huntzinger</t>
  </si>
  <si>
    <t>Frank Somma</t>
  </si>
  <si>
    <t>Gary Cotugno</t>
  </si>
  <si>
    <t>Hollund Bailey</t>
  </si>
  <si>
    <t>Jason Carter</t>
  </si>
  <si>
    <t>Jim Utley</t>
  </si>
  <si>
    <t>Joan Simon</t>
  </si>
  <si>
    <t>Jordan Matthews</t>
  </si>
  <si>
    <t>Jordyn Holland</t>
  </si>
  <si>
    <t>Joshua Hauk</t>
  </si>
  <si>
    <t>Kalie Brodehl</t>
  </si>
  <si>
    <t>Kelsey Ward</t>
  </si>
  <si>
    <t>Kevin Hacker</t>
  </si>
  <si>
    <t>Kevin Simmons</t>
  </si>
  <si>
    <t>Kristen Reading</t>
  </si>
  <si>
    <t>Lavon Milner</t>
  </si>
  <si>
    <t>Lori  Kaye</t>
  </si>
  <si>
    <t>Maclain Stoneking</t>
  </si>
  <si>
    <t>Mark Feld</t>
  </si>
  <si>
    <t>Matt Hoover</t>
  </si>
  <si>
    <t>Michael Hayes</t>
  </si>
  <si>
    <t>Mike Borashko</t>
  </si>
  <si>
    <t>Olivia Mlincsek</t>
  </si>
  <si>
    <t>Scott McConnell</t>
  </si>
  <si>
    <t>Stacy  Sumner</t>
  </si>
  <si>
    <t>Susan Salisbury</t>
  </si>
  <si>
    <t>Sylvain Champagne</t>
  </si>
  <si>
    <t>Tahnee Ranieri</t>
  </si>
  <si>
    <t>Tim Trent</t>
  </si>
  <si>
    <t>Troy Sheets</t>
  </si>
  <si>
    <t>Vincent Lovato</t>
  </si>
  <si>
    <t>Zeke Mayfield</t>
  </si>
  <si>
    <t>Admin User</t>
  </si>
  <si>
    <t>Andrew Nickols</t>
  </si>
  <si>
    <t>Ben Shockley</t>
  </si>
  <si>
    <t>Brodie Dial</t>
  </si>
  <si>
    <t>Chad Vannauker</t>
  </si>
  <si>
    <t>Clint Ball</t>
  </si>
  <si>
    <t>Craig Robinson</t>
  </si>
  <si>
    <t>Darin Levere</t>
  </si>
  <si>
    <t>Dave Crabtree</t>
  </si>
  <si>
    <t>Dawn Petit</t>
  </si>
  <si>
    <t>Drew Gedrys</t>
  </si>
  <si>
    <t>Fernanda Hawkins</t>
  </si>
  <si>
    <t>Galen Fast</t>
  </si>
  <si>
    <t>Jackey Ferrell</t>
  </si>
  <si>
    <t>Jacob Miller</t>
  </si>
  <si>
    <t>Jake Herzog</t>
  </si>
  <si>
    <t>Jake West</t>
  </si>
  <si>
    <t>James O'Rourke</t>
  </si>
  <si>
    <t>Jeff Presnall</t>
  </si>
  <si>
    <t>Jeremy Morris</t>
  </si>
  <si>
    <t>Jon  Rodgers</t>
  </si>
  <si>
    <t>Julianne Reddy</t>
  </si>
  <si>
    <t>Karyn  Rosenberg</t>
  </si>
  <si>
    <t>Kevin Miles</t>
  </si>
  <si>
    <t>Leah Stefani</t>
  </si>
  <si>
    <t>Lee Anne Franklin</t>
  </si>
  <si>
    <t>Matt Pate</t>
  </si>
  <si>
    <t>Robert Kulp</t>
  </si>
  <si>
    <t>Robin Cilimberg</t>
  </si>
  <si>
    <t>Scott Gibson</t>
  </si>
  <si>
    <t>Sean Freaney</t>
  </si>
  <si>
    <t>Shane Strauss</t>
  </si>
  <si>
    <t>Shanna Rondou</t>
  </si>
  <si>
    <t>Thomas Aldridge</t>
  </si>
  <si>
    <t>Tina Thomas</t>
  </si>
  <si>
    <t>Travis Tate</t>
  </si>
  <si>
    <t>Tyler Snyder</t>
  </si>
  <si>
    <t>Watson Salvant</t>
  </si>
  <si>
    <t>Will Overton</t>
  </si>
  <si>
    <t>William Herrin</t>
  </si>
  <si>
    <t>Zachary Fahrny</t>
  </si>
  <si>
    <t>Adham Hassan</t>
  </si>
  <si>
    <t>Alyson Gentry</t>
  </si>
  <si>
    <t>Amy Pagano</t>
  </si>
  <si>
    <t>Anthony Flatts</t>
  </si>
  <si>
    <t>Brian Herzberg</t>
  </si>
  <si>
    <t>Caleb Kleibscheidel</t>
  </si>
  <si>
    <t>Chad Dorow</t>
  </si>
  <si>
    <t>Chandler logsden</t>
  </si>
  <si>
    <t>Chase Wanner</t>
  </si>
  <si>
    <t>Christopher Mazzei</t>
  </si>
  <si>
    <t>Dan Markiewicz</t>
  </si>
  <si>
    <t>David DiGiacomo</t>
  </si>
  <si>
    <t>David Karp</t>
  </si>
  <si>
    <t>David Propes</t>
  </si>
  <si>
    <t>David Zysk</t>
  </si>
  <si>
    <t>Devon Christensen</t>
  </si>
  <si>
    <t>Doug Chrisman</t>
  </si>
  <si>
    <t>Gabe Fritz</t>
  </si>
  <si>
    <t>Gilroy Cutinha</t>
  </si>
  <si>
    <t>Greg Gisler</t>
  </si>
  <si>
    <t>Jacob williams</t>
  </si>
  <si>
    <t>JoAnn Loos</t>
  </si>
  <si>
    <t>John Scarlett</t>
  </si>
  <si>
    <t>Josh Danyliw</t>
  </si>
  <si>
    <t>Justin Reynolds</t>
  </si>
  <si>
    <t>Karel Stover</t>
  </si>
  <si>
    <t>Ken Hagler</t>
  </si>
  <si>
    <t>Kyle Drummond</t>
  </si>
  <si>
    <t>Lauren Haga</t>
  </si>
  <si>
    <t>Luke Schiopota</t>
  </si>
  <si>
    <t>Luke Wagner</t>
  </si>
  <si>
    <t>Mark Walkowiak</t>
  </si>
  <si>
    <t>Martin Tartaglia</t>
  </si>
  <si>
    <t>Mary Kiger</t>
  </si>
  <si>
    <t>Mike Mannella</t>
  </si>
  <si>
    <t>Nick Allgood</t>
  </si>
  <si>
    <t>Ozzie Soto Jr</t>
  </si>
  <si>
    <t>Peri Masterman</t>
  </si>
  <si>
    <t>Rob Schlup</t>
  </si>
  <si>
    <t>Ronnie Godley</t>
  </si>
  <si>
    <t>Sam Wilder</t>
  </si>
  <si>
    <t>Wyeth Firestone</t>
  </si>
  <si>
    <t>Andy Stinson</t>
  </si>
  <si>
    <t>Blake Knirk</t>
  </si>
  <si>
    <t>Carter Leong</t>
  </si>
  <si>
    <t>Charles Ancona</t>
  </si>
  <si>
    <t>Cody Bowling</t>
  </si>
  <si>
    <t>Dana Eckart</t>
  </si>
  <si>
    <t>Derek Pratt</t>
  </si>
  <si>
    <t>Elena Talley</t>
  </si>
  <si>
    <t>Greg LaVallee</t>
  </si>
  <si>
    <t>Holden Courington</t>
  </si>
  <si>
    <t>Hope Campbell</t>
  </si>
  <si>
    <t>Jacob Chambers</t>
  </si>
  <si>
    <t>Jacob Simmons</t>
  </si>
  <si>
    <t>Jami James</t>
  </si>
  <si>
    <t>Jennifer Mustful</t>
  </si>
  <si>
    <t>Jessica Hutcheson</t>
  </si>
  <si>
    <t>Laura Woodard</t>
  </si>
  <si>
    <t>Leah Mooney</t>
  </si>
  <si>
    <t>Maquel Capers</t>
  </si>
  <si>
    <t>Maria Ramirez</t>
  </si>
  <si>
    <t>Mark French Franca</t>
  </si>
  <si>
    <t>Mikel Mahoney</t>
  </si>
  <si>
    <t>Mitch Lowrey</t>
  </si>
  <si>
    <t>Patrick Sweetra</t>
  </si>
  <si>
    <t>Randall Hayes</t>
  </si>
  <si>
    <t>Ryan Windham</t>
  </si>
  <si>
    <t>STEPHEN BALASKO</t>
  </si>
  <si>
    <t>Stephan Circle</t>
  </si>
  <si>
    <t>Tate Duncan</t>
  </si>
  <si>
    <t>Todd Chauvin</t>
  </si>
  <si>
    <t>Tollece Al-Aziz</t>
  </si>
  <si>
    <t>Troy Baranek</t>
  </si>
  <si>
    <t>Tuesday Miller</t>
  </si>
  <si>
    <t>Tyler Bringman</t>
  </si>
  <si>
    <t>Vincent Volkes</t>
  </si>
  <si>
    <t>Wayne Klima</t>
  </si>
  <si>
    <t>Will Columbia</t>
  </si>
  <si>
    <t>Andee Dietrich</t>
  </si>
  <si>
    <t>Anne Davis</t>
  </si>
  <si>
    <t>Ariana Nino</t>
  </si>
  <si>
    <t>Arthur Crandall</t>
  </si>
  <si>
    <t>Brad Hutchinson</t>
  </si>
  <si>
    <t>Brandon Rodighiero</t>
  </si>
  <si>
    <t>Bryan Dierkes</t>
  </si>
  <si>
    <t>Casey Beck</t>
  </si>
  <si>
    <t>Chris Chambers</t>
  </si>
  <si>
    <t>Cindy Wooldridge</t>
  </si>
  <si>
    <t>Diana Miller</t>
  </si>
  <si>
    <t>Griffin Pleschourt</t>
  </si>
  <si>
    <t>Heather VanGalder</t>
  </si>
  <si>
    <t>Hyram Fuller</t>
  </si>
  <si>
    <t>John Mathewson</t>
  </si>
  <si>
    <t>Joseph Morgan</t>
  </si>
  <si>
    <t>Katy Martin</t>
  </si>
  <si>
    <t>Kenneth Valle</t>
  </si>
  <si>
    <t>Kinney O'Connor</t>
  </si>
  <si>
    <t>Kyle Pritchett</t>
  </si>
  <si>
    <t>Marija Vidanovic</t>
  </si>
  <si>
    <t>McKenzie Hollenbeck</t>
  </si>
  <si>
    <t>Neil Anglen</t>
  </si>
  <si>
    <t>Noah Phillips</t>
  </si>
  <si>
    <t>Owen Recker</t>
  </si>
  <si>
    <t>Phillip Langston</t>
  </si>
  <si>
    <t>RICHARD ANDERSON</t>
  </si>
  <si>
    <t>Renee Golas</t>
  </si>
  <si>
    <t>Ryan Grosso</t>
  </si>
  <si>
    <t>Sean  Lang</t>
  </si>
  <si>
    <t>Shannie Wolcott</t>
  </si>
  <si>
    <t>Stephen Stewart</t>
  </si>
  <si>
    <t>Steve Postle</t>
  </si>
  <si>
    <t>Steve Wallis</t>
  </si>
  <si>
    <t>Thiago Pagotto</t>
  </si>
  <si>
    <t>Thomas Rippman</t>
  </si>
  <si>
    <t>Tim Cutter</t>
  </si>
  <si>
    <t>Todd Leonard</t>
  </si>
  <si>
    <t>Trevor Franklin</t>
  </si>
  <si>
    <t>Tyler Kelso</t>
  </si>
  <si>
    <t>Vineet Arya</t>
  </si>
  <si>
    <t>Yolanda Hawkins</t>
  </si>
  <si>
    <t>Aaron Fitzwater</t>
  </si>
  <si>
    <t>Ben Michalowski</t>
  </si>
  <si>
    <t>Bo Turbeville</t>
  </si>
  <si>
    <t>Brad Bixler</t>
  </si>
  <si>
    <t>Brent Hastings</t>
  </si>
  <si>
    <t>Brett Crabtree</t>
  </si>
  <si>
    <t>Carl Kelley</t>
  </si>
  <si>
    <t>Daejon Davis</t>
  </si>
  <si>
    <t>Dakotah Grett</t>
  </si>
  <si>
    <t>Dave Humphreys</t>
  </si>
  <si>
    <t>Dean Achterberg</t>
  </si>
  <si>
    <t>Donna McCarthy</t>
  </si>
  <si>
    <t>Jeffrey Montini</t>
  </si>
  <si>
    <t>Jessica Quick</t>
  </si>
  <si>
    <t>Joe Doherty</t>
  </si>
  <si>
    <t>Justin Moody</t>
  </si>
  <si>
    <t>Kayce Miller</t>
  </si>
  <si>
    <t>Kimberly Bledsoe</t>
  </si>
  <si>
    <t>Lesa Jacobs</t>
  </si>
  <si>
    <t>Michael Bonk</t>
  </si>
  <si>
    <t>Nathan Edwards</t>
  </si>
  <si>
    <t>REY LOPEZ</t>
  </si>
  <si>
    <t>Russell Brewer</t>
  </si>
  <si>
    <t>Scott Ramsey</t>
  </si>
  <si>
    <t>Tatyana Legette</t>
  </si>
  <si>
    <t>Thersia Perry</t>
  </si>
  <si>
    <t>Timothy Mikityuk</t>
  </si>
  <si>
    <t>Tre Watson</t>
  </si>
  <si>
    <t>Troy Watson</t>
  </si>
  <si>
    <t>Yahya Kharouf</t>
  </si>
  <si>
    <t>Conor Jones</t>
  </si>
  <si>
    <t>Daniel Anger</t>
  </si>
  <si>
    <t>Daniel Drapeau</t>
  </si>
  <si>
    <t>Daryl Sincere</t>
  </si>
  <si>
    <t>Dylan McGowan</t>
  </si>
  <si>
    <t>Flave Carpenter</t>
  </si>
  <si>
    <t>Jessica Spearman</t>
  </si>
  <si>
    <t>Joel Meyers</t>
  </si>
  <si>
    <t>John Winkler</t>
  </si>
  <si>
    <t>Jordan Gage</t>
  </si>
  <si>
    <t>Macy Jackson</t>
  </si>
  <si>
    <t>Malik Stevenson</t>
  </si>
  <si>
    <t>Mike Leibham</t>
  </si>
  <si>
    <t>Philip  Castagna</t>
  </si>
  <si>
    <t>Randy Stirratt</t>
  </si>
  <si>
    <t>Richard Anderson</t>
  </si>
  <si>
    <t>Robert Dillon</t>
  </si>
  <si>
    <t>Sheila Monk</t>
  </si>
  <si>
    <t>Terry Coleman</t>
  </si>
  <si>
    <t>Tim Groat</t>
  </si>
  <si>
    <t>Zachary Mills</t>
  </si>
  <si>
    <t>Anthony Canacci</t>
  </si>
  <si>
    <t>Christopher Wolfe</t>
  </si>
  <si>
    <t>Elliot Easterly</t>
  </si>
  <si>
    <t>Erik Vinge</t>
  </si>
  <si>
    <t>James Clem</t>
  </si>
  <si>
    <t>James Holt</t>
  </si>
  <si>
    <t>Jason Ingram</t>
  </si>
  <si>
    <t>Jerry Teal</t>
  </si>
  <si>
    <t>Joseph Knoche</t>
  </si>
  <si>
    <t>Lauren Vance</t>
  </si>
  <si>
    <t>Miriam Johnson</t>
  </si>
  <si>
    <t>Quinn MacLean</t>
  </si>
  <si>
    <t>Rich Jones</t>
  </si>
  <si>
    <t>Ron Geerts</t>
  </si>
  <si>
    <t>Ryan Rafac</t>
  </si>
  <si>
    <t>Shannon Sanden</t>
  </si>
  <si>
    <t>Shawn Hunt</t>
  </si>
  <si>
    <t>Travis Barry</t>
  </si>
  <si>
    <t>William Ward</t>
  </si>
  <si>
    <t>Beck Jordan</t>
  </si>
  <si>
    <t>Brett  Rogers</t>
  </si>
  <si>
    <t>Carl  Spaleny</t>
  </si>
  <si>
    <t>Christopher Grenier</t>
  </si>
  <si>
    <t>JD Richardson</t>
  </si>
  <si>
    <t>Jeff McCusker</t>
  </si>
  <si>
    <t>Jim Gonthier</t>
  </si>
  <si>
    <t>Joel Winkler</t>
  </si>
  <si>
    <t>Kaylan Seales</t>
  </si>
  <si>
    <t>Kyle Shepherd</t>
  </si>
  <si>
    <t>Martha Doumet</t>
  </si>
  <si>
    <t>Marty Easterly</t>
  </si>
  <si>
    <t>Max Jernigan</t>
  </si>
  <si>
    <t>Mike Cook</t>
  </si>
  <si>
    <t>Nicholas Ruggeri</t>
  </si>
  <si>
    <t>Scott Nielsen</t>
  </si>
  <si>
    <t>Steven Kadak</t>
  </si>
  <si>
    <t>Susan Brandt</t>
  </si>
  <si>
    <t>Sydney Campbell</t>
  </si>
  <si>
    <t>Zach Venesky</t>
  </si>
  <si>
    <t>Alex Saunders</t>
  </si>
  <si>
    <t>Alex Walshe</t>
  </si>
  <si>
    <t>Alexis Wagner</t>
  </si>
  <si>
    <t>Bridgett Miller</t>
  </si>
  <si>
    <t>Danny Wayne</t>
  </si>
  <si>
    <t>Joan Bikowski</t>
  </si>
  <si>
    <t>Mike Cornell</t>
  </si>
  <si>
    <t>Scott Nicholls</t>
  </si>
  <si>
    <t>Sebastian Healey</t>
  </si>
  <si>
    <t>Wayne Post</t>
  </si>
  <si>
    <t>Aidan Sussillo</t>
  </si>
  <si>
    <t>Aron Adler</t>
  </si>
  <si>
    <t>Ashley Hyatt</t>
  </si>
  <si>
    <t>Ben Kail</t>
  </si>
  <si>
    <t>Bryce Judd</t>
  </si>
  <si>
    <t>Christina Strickland</t>
  </si>
  <si>
    <t>Drew Meyer</t>
  </si>
  <si>
    <t>Katelyn Mason</t>
  </si>
  <si>
    <t>Lindsay Roll</t>
  </si>
  <si>
    <t>Mark Harris</t>
  </si>
  <si>
    <t>Monica Noonan</t>
  </si>
  <si>
    <t>Steve Xikes</t>
  </si>
  <si>
    <t>William Kennedy</t>
  </si>
  <si>
    <t>Aaron Milz</t>
  </si>
  <si>
    <t>Avery Milz</t>
  </si>
  <si>
    <t>Brendon Hudson</t>
  </si>
  <si>
    <t>Brian Carr</t>
  </si>
  <si>
    <t>Craig Liebowitz</t>
  </si>
  <si>
    <t>Douglas Woodside</t>
  </si>
  <si>
    <t>Dustin Pursley</t>
  </si>
  <si>
    <t>Erin Snarski</t>
  </si>
  <si>
    <t>Lawrence Johnson</t>
  </si>
  <si>
    <t>Marcus Noteboom</t>
  </si>
  <si>
    <t>Mike Burgio</t>
  </si>
  <si>
    <t>Scott Zehner</t>
  </si>
  <si>
    <t>Shirley Rouen</t>
  </si>
  <si>
    <t>Tim Davenport</t>
  </si>
  <si>
    <t>Amber Bacon</t>
  </si>
  <si>
    <t>David McNair</t>
  </si>
  <si>
    <t>Geoff McMillin</t>
  </si>
  <si>
    <t>Hannah Winans</t>
  </si>
  <si>
    <t>Jeff Rubin</t>
  </si>
  <si>
    <t>Jim Hankins</t>
  </si>
  <si>
    <t>John Cramer</t>
  </si>
  <si>
    <t>Kalei Caoili</t>
  </si>
  <si>
    <t>Neil Birkby</t>
  </si>
  <si>
    <t>Renee DiBiccari</t>
  </si>
  <si>
    <t>Riley Bullard</t>
  </si>
  <si>
    <t>Taylor Dobrucky</t>
  </si>
  <si>
    <t>Alex Ruhe</t>
  </si>
  <si>
    <t>Alyssa Bell</t>
  </si>
  <si>
    <t>Amanda Meyer</t>
  </si>
  <si>
    <t>Caitlin O'Connor</t>
  </si>
  <si>
    <t>Chip Perry</t>
  </si>
  <si>
    <t>Chris Snow Hebel</t>
  </si>
  <si>
    <t>Clifton Foster</t>
  </si>
  <si>
    <t>Cody Brave</t>
  </si>
  <si>
    <t>David Whitten</t>
  </si>
  <si>
    <t>Jennifer Mims</t>
  </si>
  <si>
    <t>Joseph Pellecchia</t>
  </si>
  <si>
    <t>Madeline Moen</t>
  </si>
  <si>
    <t>Patricia Pruitt</t>
  </si>
  <si>
    <t>Sarah Lowe</t>
  </si>
  <si>
    <t>Shawn Faulk</t>
  </si>
  <si>
    <t>Stacy Denham</t>
  </si>
  <si>
    <t>Steve StDenis</t>
  </si>
  <si>
    <t>Taylor Ross</t>
  </si>
  <si>
    <t>Tyler Gobin</t>
  </si>
  <si>
    <t>Ammie Mowe</t>
  </si>
  <si>
    <t>Ashley Hagerty</t>
  </si>
  <si>
    <t>Brian Ratchford</t>
  </si>
  <si>
    <t>Charles Sharman</t>
  </si>
  <si>
    <t>Dylan Denning</t>
  </si>
  <si>
    <t>Jeff McKay</t>
  </si>
  <si>
    <t>Joseph Vilangattuseril</t>
  </si>
  <si>
    <t>Justin Perry</t>
  </si>
  <si>
    <t>Katelyn Gardner</t>
  </si>
  <si>
    <t>Kristynn Schiller</t>
  </si>
  <si>
    <t>Natalie Graybill</t>
  </si>
  <si>
    <t>Sean Luhmann</t>
  </si>
  <si>
    <t>Steve Goeser</t>
  </si>
  <si>
    <t>Steven OBlanc</t>
  </si>
  <si>
    <t>Steven Waldrop</t>
  </si>
  <si>
    <t>Alan Tolz</t>
  </si>
  <si>
    <t>Alexa Zeiber</t>
  </si>
  <si>
    <t>Dustin Odelson</t>
  </si>
  <si>
    <t>Jessie Heredia</t>
  </si>
  <si>
    <t>John Fleming</t>
  </si>
  <si>
    <t>Kate Sampson</t>
  </si>
  <si>
    <t>Kimberly Martinez</t>
  </si>
  <si>
    <t>Lane Kokoruda</t>
  </si>
  <si>
    <t>Lonnie Smith</t>
  </si>
  <si>
    <t>Lori Heger</t>
  </si>
  <si>
    <t>Adam Ehrlickman</t>
  </si>
  <si>
    <t>Andrew Coca</t>
  </si>
  <si>
    <t>Austin Owens</t>
  </si>
  <si>
    <t>Brennan Caswell</t>
  </si>
  <si>
    <t>Brian Woodward</t>
  </si>
  <si>
    <t>Carrie Steeger</t>
  </si>
  <si>
    <t>Chris Wilson</t>
  </si>
  <si>
    <t>Connor Burgess</t>
  </si>
  <si>
    <t>George Tarlas</t>
  </si>
  <si>
    <t>Hayley Wood</t>
  </si>
  <si>
    <t>John Hicks</t>
  </si>
  <si>
    <t>Josh Vandehey</t>
  </si>
  <si>
    <t>Kevin Smith</t>
  </si>
  <si>
    <t>Laura Palmer</t>
  </si>
  <si>
    <t>Meghan Flett</t>
  </si>
  <si>
    <t>Paul Madsen</t>
  </si>
  <si>
    <t>Richard Foshee</t>
  </si>
  <si>
    <t>Sloane Varing</t>
  </si>
  <si>
    <t>Bill Fitzgerald</t>
  </si>
  <si>
    <t>Boyd Buss</t>
  </si>
  <si>
    <t>Jennifer Hill</t>
  </si>
  <si>
    <t>Lila Welch</t>
  </si>
  <si>
    <t>Seth Miller</t>
  </si>
  <si>
    <t>Stuart Roderick</t>
  </si>
  <si>
    <t>Trevor Aviles</t>
  </si>
  <si>
    <t>Ysidoro Quintanilla</t>
  </si>
  <si>
    <t>Amanda Camdzic</t>
  </si>
  <si>
    <t>Amanda Scheetz</t>
  </si>
  <si>
    <t>Benjamin  Henderson</t>
  </si>
  <si>
    <t>Christopher Zenner</t>
  </si>
  <si>
    <t>Grant Simpson</t>
  </si>
  <si>
    <t>Greg Hunt</t>
  </si>
  <si>
    <t>Jarod Gutierrez</t>
  </si>
  <si>
    <t>Jill Skelly</t>
  </si>
  <si>
    <t>Adam Clark</t>
  </si>
  <si>
    <t>Bob Austin</t>
  </si>
  <si>
    <t>Brant Therkelsen</t>
  </si>
  <si>
    <t>Bryan Skelton</t>
  </si>
  <si>
    <t>CJ Morton</t>
  </si>
  <si>
    <t>Cory Kahn</t>
  </si>
  <si>
    <t>Joey Venegas</t>
  </si>
  <si>
    <t>John Kellermann</t>
  </si>
  <si>
    <t>Madi Dephillips</t>
  </si>
  <si>
    <t>Richard Johnson</t>
  </si>
  <si>
    <t>Robert Pieper</t>
  </si>
  <si>
    <t>Alex Garner</t>
  </si>
  <si>
    <t>Barrett Rosser</t>
  </si>
  <si>
    <t>Brandon VanMeter</t>
  </si>
  <si>
    <t>Braydon  Jeffrey</t>
  </si>
  <si>
    <t>Christopher Sorgiovanni</t>
  </si>
  <si>
    <t>Dean Swenson</t>
  </si>
  <si>
    <t>Jeffrey Varner</t>
  </si>
  <si>
    <t>Jessica McDonaugh</t>
  </si>
  <si>
    <t>Juan Villalvazo</t>
  </si>
  <si>
    <t>Lucy Tibbetts</t>
  </si>
  <si>
    <t>Mike Langelier</t>
  </si>
  <si>
    <t>Thomas Messmer</t>
  </si>
  <si>
    <t>Andrew Roethe</t>
  </si>
  <si>
    <t>Artie Atencio</t>
  </si>
  <si>
    <t>Bret Stevenson</t>
  </si>
  <si>
    <t>Farid Zadeh</t>
  </si>
  <si>
    <t>Tommy Haislip</t>
  </si>
  <si>
    <t>Ashtin Givens</t>
  </si>
  <si>
    <t>Cathy Miles</t>
  </si>
  <si>
    <t>Dan Thomas</t>
  </si>
  <si>
    <t>Justin Garlow</t>
  </si>
  <si>
    <t>Ryer Coffman</t>
  </si>
  <si>
    <t>Wendy O'Koon</t>
  </si>
  <si>
    <t>Dalon Wesner</t>
  </si>
  <si>
    <t>Kashawn Shelton</t>
  </si>
  <si>
    <t>Mike Gossett</t>
  </si>
  <si>
    <t>Rhonda Anderson</t>
  </si>
  <si>
    <t>Aaron Piper</t>
  </si>
  <si>
    <t>Darren Talbot</t>
  </si>
  <si>
    <t>Derek Curry</t>
  </si>
  <si>
    <t>Emerson Wolfe</t>
  </si>
  <si>
    <t>Hunter Jones</t>
  </si>
  <si>
    <t>Jason Poe</t>
  </si>
  <si>
    <t>John Hanson</t>
  </si>
  <si>
    <t>Matt Westgate</t>
  </si>
  <si>
    <t>Nicole Garcia</t>
  </si>
  <si>
    <t>Patrick Niland</t>
  </si>
  <si>
    <t>Robert Carroll III</t>
  </si>
  <si>
    <t>Debra Dennis</t>
  </si>
  <si>
    <t>Kevin Box</t>
  </si>
  <si>
    <t>Lance  Ziesemer</t>
  </si>
  <si>
    <t>MARK CRAIG</t>
  </si>
  <si>
    <t>Max McLaughlin</t>
  </si>
  <si>
    <t>Sandra Morgan</t>
  </si>
  <si>
    <t>Andrew Belew</t>
  </si>
  <si>
    <t>Bill Ferrara</t>
  </si>
  <si>
    <t>Casey Jones</t>
  </si>
  <si>
    <t>Harrison Fichtel</t>
  </si>
  <si>
    <t>John Pickar</t>
  </si>
  <si>
    <t>Kane Bateman</t>
  </si>
  <si>
    <t>Kevin Cardoza</t>
  </si>
  <si>
    <t>Mark Slivka</t>
  </si>
  <si>
    <t>Scott Brom</t>
  </si>
  <si>
    <t>Shawn Cottrell</t>
  </si>
  <si>
    <t>Aaron Van Cleave</t>
  </si>
  <si>
    <t>Ethan Drew</t>
  </si>
  <si>
    <t>Kevin Gittings</t>
  </si>
  <si>
    <t>Mark Ellis</t>
  </si>
  <si>
    <t>Paul  Hicks</t>
  </si>
  <si>
    <t>Russell Bagley</t>
  </si>
  <si>
    <t>Doug Dick</t>
  </si>
  <si>
    <t>Kim Savage</t>
  </si>
  <si>
    <t>Todd Erickson</t>
  </si>
  <si>
    <t>Brett Pollock</t>
  </si>
  <si>
    <t>James  Brock</t>
  </si>
  <si>
    <t>Meredith Caddell</t>
  </si>
  <si>
    <t>Bill Schulok</t>
  </si>
  <si>
    <t>Alyssa Pond</t>
  </si>
  <si>
    <t>Kathleen Fitzpatrick</t>
  </si>
  <si>
    <t>Mike Eakins</t>
  </si>
  <si>
    <t>Neil Figler</t>
  </si>
  <si>
    <t>Tammy Thrush</t>
  </si>
  <si>
    <t>Vince Wright</t>
  </si>
  <si>
    <t>Ben Pinson</t>
  </si>
  <si>
    <t>Connor Slabach</t>
  </si>
  <si>
    <t>Jeffery Landers</t>
  </si>
  <si>
    <t>Andrew Katz</t>
  </si>
  <si>
    <t>Brittany Nejman</t>
  </si>
  <si>
    <t>Jay Gilio</t>
  </si>
  <si>
    <t>John Zerante</t>
  </si>
  <si>
    <t>Pat Onken</t>
  </si>
  <si>
    <t>Sarah Stevens</t>
  </si>
  <si>
    <t>Aaron Montano</t>
  </si>
  <si>
    <t>Aaryn Hare</t>
  </si>
  <si>
    <t>Amber McEntire</t>
  </si>
  <si>
    <t>Anna Martello</t>
  </si>
  <si>
    <t>Harrison Lee</t>
  </si>
  <si>
    <t>Jayce Guthrie</t>
  </si>
  <si>
    <t>Jessica Dynia</t>
  </si>
  <si>
    <t>Jim Fiorini</t>
  </si>
  <si>
    <t>Krista Bukouras</t>
  </si>
  <si>
    <t>Lon Limesand</t>
  </si>
  <si>
    <t>Paul Considine</t>
  </si>
  <si>
    <t>Brad Borghetti</t>
  </si>
  <si>
    <t>Dan Jacoby</t>
  </si>
  <si>
    <t>Heather Luchte</t>
  </si>
  <si>
    <t>Layne Larson</t>
  </si>
  <si>
    <t>Scott Hahn</t>
  </si>
  <si>
    <t>Tanner Engelhardt</t>
  </si>
  <si>
    <t>Austin Folgers</t>
  </si>
  <si>
    <t>Michael Zecchino</t>
  </si>
  <si>
    <t>Ashleigh Slaughter</t>
  </si>
  <si>
    <t>Blake Campbell</t>
  </si>
  <si>
    <t>Darrell Croson</t>
  </si>
  <si>
    <t>Hillary Maddox</t>
  </si>
  <si>
    <t>Jeff Tyberg</t>
  </si>
  <si>
    <t>Mark Roy</t>
  </si>
  <si>
    <t>Michael Shearer</t>
  </si>
  <si>
    <t>Tim Jungels</t>
  </si>
  <si>
    <t>Victoria Anderson</t>
  </si>
  <si>
    <t>Chris Reynolds</t>
  </si>
  <si>
    <t>Daniel DaPra</t>
  </si>
  <si>
    <t>Bri-Anna Harty</t>
  </si>
  <si>
    <t>Bruce Bernier</t>
  </si>
  <si>
    <t>Chris Brazier</t>
  </si>
  <si>
    <t>Cole Heinsen</t>
  </si>
  <si>
    <t>Malik Muhammad</t>
  </si>
  <si>
    <t>Doreen Pitt</t>
  </si>
  <si>
    <t>Eva Knoll</t>
  </si>
  <si>
    <t>Kip Hunter</t>
  </si>
  <si>
    <t>Paul Chapman</t>
  </si>
  <si>
    <t>Alden Darby</t>
  </si>
  <si>
    <t>Christa Hamra</t>
  </si>
  <si>
    <t>Dave Feighn</t>
  </si>
  <si>
    <t>Janet Nagel</t>
  </si>
  <si>
    <t>Kim Ronquillo</t>
  </si>
  <si>
    <t>Laura Morris</t>
  </si>
  <si>
    <t>Kaylin Handley</t>
  </si>
  <si>
    <t>Brad Evans</t>
  </si>
  <si>
    <t>Jordan Wolfson</t>
  </si>
  <si>
    <t>Katrina Ouano</t>
  </si>
  <si>
    <t>Teri Marner</t>
  </si>
  <si>
    <t>Vito Sala</t>
  </si>
  <si>
    <t>Cash Rabinowitch</t>
  </si>
  <si>
    <t>Daniel Lombardi</t>
  </si>
  <si>
    <t>Pamella De Oliveira</t>
  </si>
  <si>
    <t>Roberto Trejo</t>
  </si>
  <si>
    <t>Angie Plate</t>
  </si>
  <si>
    <t>Lindsay HarshBarger</t>
  </si>
  <si>
    <t>Lauren Moore</t>
  </si>
  <si>
    <t>Lori Rachal</t>
  </si>
  <si>
    <t>Scott Norman</t>
  </si>
  <si>
    <t>Brad Ivey</t>
  </si>
  <si>
    <t>Greg Gold</t>
  </si>
  <si>
    <t>Keiri Rogers</t>
  </si>
  <si>
    <t>Michael Walsh</t>
  </si>
  <si>
    <t>Morgan Smith</t>
  </si>
  <si>
    <t>Sharon Marquez</t>
  </si>
  <si>
    <t>Cy Jager</t>
  </si>
  <si>
    <t>Geoffrey Pierson</t>
  </si>
  <si>
    <t>John Giessuebel</t>
  </si>
  <si>
    <t>Michael Meador</t>
  </si>
  <si>
    <t>Max Gustafson</t>
  </si>
  <si>
    <t>Mitchell Bradshaw</t>
  </si>
  <si>
    <t>Patrick Handlan</t>
  </si>
  <si>
    <t>Cade Ramsey</t>
  </si>
  <si>
    <t>David Walton</t>
  </si>
  <si>
    <t>Michael Gosnell</t>
  </si>
  <si>
    <t>Tommy Kelly</t>
  </si>
  <si>
    <t>Angie Griffith</t>
  </si>
  <si>
    <t>Chris Meunier</t>
  </si>
  <si>
    <t>Cody Harmon</t>
  </si>
  <si>
    <t>Courtlan Vukasin</t>
  </si>
  <si>
    <t>Donald Fleming</t>
  </si>
  <si>
    <t>Jim  Smith</t>
  </si>
  <si>
    <t>Ned Dashner</t>
  </si>
  <si>
    <t>Peter Larsen</t>
  </si>
  <si>
    <t>Greg Moates</t>
  </si>
  <si>
    <t>Jimmy Richards</t>
  </si>
  <si>
    <t>Kevin Olsen</t>
  </si>
  <si>
    <t>Lindsay Greenwood</t>
  </si>
  <si>
    <t>Michael Koza</t>
  </si>
  <si>
    <t>Tyler Carroll</t>
  </si>
  <si>
    <t>Callen Farrell</t>
  </si>
  <si>
    <t>Andrew  Colino</t>
  </si>
  <si>
    <t>Anthony Elliott</t>
  </si>
  <si>
    <t>Joshua Lee</t>
  </si>
  <si>
    <t>Mel Matthews</t>
  </si>
  <si>
    <t>Carrie Despot</t>
  </si>
  <si>
    <t>Jerrid Sargent</t>
  </si>
  <si>
    <t>Brandon Smith</t>
  </si>
  <si>
    <t>Gavin Fenton</t>
  </si>
  <si>
    <t>Lisa Tuck</t>
  </si>
  <si>
    <t>Mandi Hope</t>
  </si>
  <si>
    <t>Galen Bailey</t>
  </si>
  <si>
    <t>Larry Henderson</t>
  </si>
  <si>
    <t>James Brown III</t>
  </si>
  <si>
    <t>LYNDA GRISEZ-PWARK</t>
  </si>
  <si>
    <t>Aaron Heidersheid</t>
  </si>
  <si>
    <t>Kevin Gates</t>
  </si>
  <si>
    <t>Melissa Hawkins</t>
  </si>
  <si>
    <t>Reggie  Abbott</t>
  </si>
  <si>
    <t>Adam Jennings</t>
  </si>
  <si>
    <t>Dan Watson</t>
  </si>
  <si>
    <t>Greg VanVelzor</t>
  </si>
  <si>
    <t>John Hinde</t>
  </si>
  <si>
    <t>Larry  Cendejas</t>
  </si>
  <si>
    <t>Ryan Cosgrave</t>
  </si>
  <si>
    <t>Matt Keating</t>
  </si>
  <si>
    <t>Andrew DeLamatre</t>
  </si>
  <si>
    <t>Brett Cleavenger</t>
  </si>
  <si>
    <t>Ethan Wittenburg</t>
  </si>
  <si>
    <t>Dennis Cameron</t>
  </si>
  <si>
    <t>Garrett Judah</t>
  </si>
  <si>
    <t>Jack Miller</t>
  </si>
  <si>
    <t>Shelby Washington</t>
  </si>
  <si>
    <t>Dustin O'Donnell</t>
  </si>
  <si>
    <t>Joe Gaspar</t>
  </si>
  <si>
    <t>Joseph O'Coin</t>
  </si>
  <si>
    <t>Andrew Sites</t>
  </si>
  <si>
    <t>David Holipski</t>
  </si>
  <si>
    <t>Doug Wiseman</t>
  </si>
  <si>
    <t>Ryan Corkrean</t>
  </si>
  <si>
    <t>Randy Coughlin</t>
  </si>
  <si>
    <t>Jennifer Huddle</t>
  </si>
  <si>
    <t>Blake Paulk</t>
  </si>
  <si>
    <t>Roxanne Burnett</t>
  </si>
  <si>
    <t>Owen Fritz</t>
  </si>
  <si>
    <t>Adam Bandt</t>
  </si>
  <si>
    <t>Deb Cogan</t>
  </si>
  <si>
    <t>Johnnie Gazaway</t>
  </si>
  <si>
    <t>Kevin O'Connor</t>
  </si>
  <si>
    <t>Cindy Benedetti</t>
  </si>
  <si>
    <t>Heather Driver</t>
  </si>
  <si>
    <t>JAMES BAUMGARTNER</t>
  </si>
  <si>
    <t>Matt Bell</t>
  </si>
  <si>
    <t>Walker Allen</t>
  </si>
  <si>
    <t>Dylan  Bonneau</t>
  </si>
  <si>
    <t>Johnathan Fuentes</t>
  </si>
  <si>
    <t>Luke Gardner</t>
  </si>
  <si>
    <t>Bryan loveridge</t>
  </si>
  <si>
    <t>Bryce O'Connor</t>
  </si>
  <si>
    <t>BRIAN COFFEY</t>
  </si>
  <si>
    <t>Mary Larsen</t>
  </si>
  <si>
    <t>Aimee Paulson</t>
  </si>
  <si>
    <t>Brad Swick</t>
  </si>
  <si>
    <t>Charles Alessi</t>
  </si>
  <si>
    <t>Cyndee Hughes</t>
  </si>
  <si>
    <t>Jessie Needham</t>
  </si>
  <si>
    <t>William Sullivan</t>
  </si>
  <si>
    <t>Michael Ankney</t>
  </si>
  <si>
    <t>Terry Shayne</t>
  </si>
  <si>
    <t>David DeMizio</t>
  </si>
  <si>
    <t>Noah Guerin</t>
  </si>
  <si>
    <t>Julie Robinson</t>
  </si>
  <si>
    <t>Sal Dorak</t>
  </si>
  <si>
    <t>Blake Child</t>
  </si>
  <si>
    <t>Aaron Sanderson</t>
  </si>
  <si>
    <t>William Champlin</t>
  </si>
  <si>
    <t>Rachel Frank</t>
  </si>
  <si>
    <t>Rob Anderson</t>
  </si>
  <si>
    <t>Will Hines</t>
  </si>
  <si>
    <t>Ray Tatten</t>
  </si>
  <si>
    <t>Hayden Ruth</t>
  </si>
  <si>
    <t>Matt Paulik</t>
  </si>
  <si>
    <t>ROSS WIFFLER</t>
  </si>
  <si>
    <t>Jase Nguyen</t>
  </si>
  <si>
    <t>Matthew Moser</t>
  </si>
  <si>
    <t>Al Walters</t>
  </si>
  <si>
    <t>Darren McCarver</t>
  </si>
  <si>
    <t>George Venturella</t>
  </si>
  <si>
    <t>Troy Melerine</t>
  </si>
  <si>
    <t>Hunter Kovacs</t>
  </si>
  <si>
    <t>Cindy Sappington</t>
  </si>
  <si>
    <t>Shannon Kent</t>
  </si>
  <si>
    <t>Kelsi Strand</t>
  </si>
  <si>
    <t>Kevin Ashton</t>
  </si>
  <si>
    <t>Keith  Davis</t>
  </si>
  <si>
    <t>Charlie Ellerbrock</t>
  </si>
  <si>
    <t>Brien Guth</t>
  </si>
  <si>
    <t>Gene Claxton</t>
  </si>
  <si>
    <t>Rob Beighle</t>
  </si>
  <si>
    <t>Robert Reckers</t>
  </si>
  <si>
    <t>Chase King</t>
  </si>
  <si>
    <t>James Jackson</t>
  </si>
  <si>
    <t>Jodie Reynolds</t>
  </si>
  <si>
    <t>Danielle Jakubcin</t>
  </si>
  <si>
    <t>Tim Weaver</t>
  </si>
  <si>
    <t>Darren Lucas</t>
  </si>
  <si>
    <t>James Dewald</t>
  </si>
  <si>
    <t>Ryan Keating</t>
  </si>
  <si>
    <t>Ryan Godfrey</t>
  </si>
  <si>
    <t>Marc Civittolo</t>
  </si>
  <si>
    <t>Mark Dodge</t>
  </si>
  <si>
    <t>Andrew  Doerfler</t>
  </si>
  <si>
    <t>Ryan Wentling</t>
  </si>
  <si>
    <t>Brian Jackson</t>
  </si>
  <si>
    <t>Bryan Staats</t>
  </si>
  <si>
    <t>Cameron Stewart</t>
  </si>
  <si>
    <t>Davis   Gordon</t>
  </si>
  <si>
    <t>Zach Torson</t>
  </si>
  <si>
    <t>Jenny Karcher</t>
  </si>
  <si>
    <t>Mike Sanderford</t>
  </si>
  <si>
    <t>Chris Davis</t>
  </si>
  <si>
    <t>Stewart Manning</t>
  </si>
  <si>
    <t>Jacque Foshee</t>
  </si>
  <si>
    <t>Joseph Daigle</t>
  </si>
  <si>
    <t>Chris Cronkhite</t>
  </si>
  <si>
    <t>Jason Koesters</t>
  </si>
  <si>
    <t>Scott  Hittepole</t>
  </si>
  <si>
    <t>George Barkett</t>
  </si>
  <si>
    <t>Nick Saul</t>
  </si>
  <si>
    <t>Travis Link</t>
  </si>
  <si>
    <t>Joelle shepler</t>
  </si>
  <si>
    <t>Comparison Summary - Claimants (recalculates live)</t>
  </si>
  <si>
    <t>Total</t>
  </si>
  <si>
    <t>Exact agreement (count)</t>
  </si>
  <si>
    <t>Exact agreement (%)</t>
  </si>
  <si>
    <t>Agreement matrix (rows = Step 4, cols = Step 5)</t>
  </si>
  <si>
    <t>Cohen's kappa (agreement beyond chance)</t>
  </si>
  <si>
    <t>po (observed)</t>
  </si>
  <si>
    <t>pe (expected)</t>
  </si>
  <si>
    <t>kappa</t>
  </si>
  <si>
    <t>Interpretation</t>
  </si>
  <si>
    <t>Disagreements - Claimants (review priority)</t>
  </si>
  <si>
    <t>Dealers - Step 4 vs Step 5 (editable)</t>
  </si>
  <si>
    <t>DealerName</t>
  </si>
  <si>
    <t>DOCUMATION, INC.</t>
  </si>
  <si>
    <t>OFFICE PRODUCTS, INC.</t>
  </si>
  <si>
    <t>NJ / Philly Metro</t>
  </si>
  <si>
    <t>KELLY OFFICE MACHINES, INC.</t>
  </si>
  <si>
    <t>DBA REGAL BUSINESS MACHINE COMPANY</t>
  </si>
  <si>
    <t>HIGH TECH OFFICE SYSTEMS</t>
  </si>
  <si>
    <t>DBA NEW YORK BUSINESS SYSTEMS</t>
  </si>
  <si>
    <t>DBA NOVATECH- DALLAS</t>
  </si>
  <si>
    <t>LAFAYETTE BUSINESS MACHINES, INC.</t>
  </si>
  <si>
    <t>NATIONAL OFFICE PRODUCTS &amp; PRINTING, INC.</t>
  </si>
  <si>
    <t>DBA FLEXTG - HQ</t>
  </si>
  <si>
    <t>PANAMA BUSINESS MACHINES, INC.</t>
  </si>
  <si>
    <t>DBA DIGITAL SERVICE &amp; SALES</t>
  </si>
  <si>
    <t>COPITEX BUSINESS MACHINES</t>
  </si>
  <si>
    <t>JOHNCO BUSINESS EQUIPMENT</t>
  </si>
  <si>
    <t>JAMES IMAGING SYSTEMS, INC.</t>
  </si>
  <si>
    <t>BORING BUSINESS SYSTEMS, INC.</t>
  </si>
  <si>
    <t>DOCUMENT SOLUTIONS, LLC</t>
  </si>
  <si>
    <t>SUMNERONE, INC.</t>
  </si>
  <si>
    <t>EXECUTIVE COLOR SYSTEMS, INC.</t>
  </si>
  <si>
    <t>QUALITY BUSINESS SOLUTIONS, LLC</t>
  </si>
  <si>
    <t>PACIFIC OFFICE AUTOMATION, INC.</t>
  </si>
  <si>
    <t>UNI-COPY TECHNOLOGIES, INC.</t>
  </si>
  <si>
    <t>DBA AXION BUSINESS TECHNOLOGIES</t>
  </si>
  <si>
    <t>IMAGENET CONSULTING, LLC</t>
  </si>
  <si>
    <t>UBEO, LLC</t>
  </si>
  <si>
    <t>DBA UBEO EAST</t>
  </si>
  <si>
    <t>DBA FUNCTION4</t>
  </si>
  <si>
    <t>EDWARDS BUSINESS MACHINES, INC.</t>
  </si>
  <si>
    <t>ATHENS DIGITAL SYSTEMS, INC.</t>
  </si>
  <si>
    <t>J.T. RAY COMPANY, INC.</t>
  </si>
  <si>
    <t>National</t>
  </si>
  <si>
    <t>NETWORK DIGITAL OFFICE SYSTEMS, INC.</t>
  </si>
  <si>
    <t>PROFESSIONAL DOCUMENT PRODUCTS, LLC</t>
  </si>
  <si>
    <t>BAY COPY</t>
  </si>
  <si>
    <t>DBA PROSOURCE</t>
  </si>
  <si>
    <t>KOMAX BUSINESS SYSTEMS</t>
  </si>
  <si>
    <t>DBA NATIONAL BUSINESS SOLUTIONS</t>
  </si>
  <si>
    <t>IMPACT NETWORKING, LLC</t>
  </si>
  <si>
    <t>DBA NOVATECH-MEMPHIS</t>
  </si>
  <si>
    <t>AMERICAN BUSINESS SYSTEMS, INC.</t>
  </si>
  <si>
    <t>AN UBEO COMPANY</t>
  </si>
  <si>
    <t>THE LANG COMPANY</t>
  </si>
  <si>
    <t>PROFESSIONAL BUSINESS SYSTEMS, INC.</t>
  </si>
  <si>
    <t>DBA DRP SOLUTIONS</t>
  </si>
  <si>
    <t>DBA INTEGRATED BUSINESS SOLUTIONS OF HAWAII</t>
  </si>
  <si>
    <t>DOCUMENT SOLUTIONS, INC.</t>
  </si>
  <si>
    <t>DBA CONWAY OFFICE PRODUCTS</t>
  </si>
  <si>
    <t>DBA GRAPHIC ENTERPRISES OFFICE SOLUTIONS</t>
  </si>
  <si>
    <t>CPI TECHNOLOGIES, LLC</t>
  </si>
  <si>
    <t>UBEO WEST, LLC</t>
  </si>
  <si>
    <t>SYSTEL BUSINESS EQUIPMENT CO., INC.</t>
  </si>
  <si>
    <t>DBA MBS BUSINESS SYSTEMS</t>
  </si>
  <si>
    <t>DBA ATLANTIC TOMORROWS OFFICE</t>
  </si>
  <si>
    <t>DBA XBS DIGITAL</t>
  </si>
  <si>
    <t>DBA EASTERN MANAGED PRINT NETWORK</t>
  </si>
  <si>
    <t>BLUE TECHNOLOGIES, INC.</t>
  </si>
  <si>
    <t>NATIONAL BUSINESS EQUIPMENT, LLC</t>
  </si>
  <si>
    <t>PRECISION DUPLICATING SOLUTIONS, INC.</t>
  </si>
  <si>
    <t>DIGITAL OFFICE SOLUTIONS, INC.</t>
  </si>
  <si>
    <t>IMAGETEC, LP</t>
  </si>
  <si>
    <t>PLUS, INC.</t>
  </si>
  <si>
    <t>FORD BUSINESS MACHINES, INC.</t>
  </si>
  <si>
    <t>MILNER DOCUMENT PRODUCTS, INC.</t>
  </si>
  <si>
    <t>ADVANCED IMAGING SOLUTIONS, INC.</t>
  </si>
  <si>
    <t>NY Metro</t>
  </si>
  <si>
    <t>MACFARLANE OFFICE PRODUCTS, INC.</t>
  </si>
  <si>
    <t>DBA IOTEC</t>
  </si>
  <si>
    <t>COPIER FAX BUSINESS TECHNOLOGIES, INC.</t>
  </si>
  <si>
    <t>DBA TOPP BUSINESS SOLUTIONS</t>
  </si>
  <si>
    <t>DBA PEARSON-KELLY TECHNOLOGY</t>
  </si>
  <si>
    <t>DBA FISHER'S TECHNOLOGY</t>
  </si>
  <si>
    <t>DBA WILSON OFFICE SOLUTIONS</t>
  </si>
  <si>
    <t>DBA GOBIN'S</t>
  </si>
  <si>
    <t>ABM OFFICE SOLUTIONS, INC.</t>
  </si>
  <si>
    <t>ALL COPY PRODUCTS, LLC</t>
  </si>
  <si>
    <t>INTERNATIONAL COPY MACHINE</t>
  </si>
  <si>
    <t>DBA SOS SUPERIOR OFFICE SYSTEMS</t>
  </si>
  <si>
    <t>HUNGATE BUSINESS SERVICES, INC.</t>
  </si>
  <si>
    <t>DBA DIGITAL PRINT SOLUTIONS</t>
  </si>
  <si>
    <t>MARCO TECHNOLOGIES, LLC</t>
  </si>
  <si>
    <t>DBA CDS OFFICE TECHNOLOGIES, INC.</t>
  </si>
  <si>
    <t>DBA HARRIS BUSINESS MACHINES</t>
  </si>
  <si>
    <t>HILLIARD OFFICE SOLUTIONS, LTD.</t>
  </si>
  <si>
    <t>POLLOCK OFFICE MACHINE COMPANY, INC.</t>
  </si>
  <si>
    <t>BRADEN BUSINESS SYSTEMS, INC.</t>
  </si>
  <si>
    <t>DBA BUDGET DOCUMENT TECHNOLOGY</t>
  </si>
  <si>
    <t>MCNAIR BUSINESS MACHINES</t>
  </si>
  <si>
    <t>IMAGE IV SYSTEMS, INC.</t>
  </si>
  <si>
    <t>DBA PRIMEIMAGE TECHNOLOGIES</t>
  </si>
  <si>
    <t>INTEGRATED COPY SOLUTIONS, INC.</t>
  </si>
  <si>
    <t>AC'CENT BUSINESS PRODUCTS OF FORT MYERS</t>
  </si>
  <si>
    <t>DBA COMMONWEALTH DIGITAL OFFICE SOLUTIONS</t>
  </si>
  <si>
    <t>CLINE'S BUSINESS EQUIPMENT, INC.</t>
  </si>
  <si>
    <t>PALADIN MANAGED SOLUTIONS, LLC</t>
  </si>
  <si>
    <t>COLUMBIA BUSINESS SYSTEMS</t>
  </si>
  <si>
    <t>TRI-COPY OFFICE EQUIPMENT, INC.</t>
  </si>
  <si>
    <t>DBA AMERI-TEK</t>
  </si>
  <si>
    <t>PERRY PRO TECH, INC.</t>
  </si>
  <si>
    <t>MARTIN GROUP DRIVEN BY PEOPLE, INC.</t>
  </si>
  <si>
    <t>Texas</t>
  </si>
  <si>
    <t>PREFERRED BUSINESS SYSTEMS, INC.</t>
  </si>
  <si>
    <t>COPYFAX 2000, INC.</t>
  </si>
  <si>
    <t>Great Lakes</t>
  </si>
  <si>
    <t>DBA MMIT BUSINESS SOLUTIONS GROUP</t>
  </si>
  <si>
    <t>DBA DATAMAX LITTLE ROCK</t>
  </si>
  <si>
    <t>DBA ABADAN TRI-CITIES</t>
  </si>
  <si>
    <t>THE OFFICE DOCTOR</t>
  </si>
  <si>
    <t>DBA AXIS BUSINESS TECHNOLOGIES</t>
  </si>
  <si>
    <t>NOORDYK BUSINESS EQUIPMENT, LLC</t>
  </si>
  <si>
    <t>DBA COBB OFFICE TECHNOLOGIES</t>
  </si>
  <si>
    <t>LOFFLER BUSINESS SYSTEMS, LLC</t>
  </si>
  <si>
    <t>BUROPRO CITATION, INC.</t>
  </si>
  <si>
    <t>CAPITOL DOCUMENT SOLUTIONS, LLC</t>
  </si>
  <si>
    <t>DBA FLEXTG - IRVINE</t>
  </si>
  <si>
    <t>STANFIELD PRINTING COMPANY, INC.</t>
  </si>
  <si>
    <t>DBA OFFICE CONCEPTS</t>
  </si>
  <si>
    <t>UNITED OFFICE SYSTEMS</t>
  </si>
  <si>
    <t>ABS BUSINESS SYSTEMS OF MONTGOMERY, INC.</t>
  </si>
  <si>
    <t>COPYPRO, INC.</t>
  </si>
  <si>
    <t>TRI-CITY BUSINESS MACHINES COMPANY</t>
  </si>
  <si>
    <t>BUSINESS OFFICE SYSTEMS</t>
  </si>
  <si>
    <t>DBA CTWP</t>
  </si>
  <si>
    <t>PREMIUM DIGITAL OFFICE SOLUTIONS</t>
  </si>
  <si>
    <t>SHEARER BUSINESS PRODUCTS</t>
  </si>
  <si>
    <t>DERENZY BUSINESS TECHNOLOGIES, INC.</t>
  </si>
  <si>
    <t>BAUERNFEIND BUSINESS TECHNOLOGIES, INC.</t>
  </si>
  <si>
    <t>TA SEELEY OFFICE SYSTEMS</t>
  </si>
  <si>
    <t>THE SWENSON GROUP, INC.</t>
  </si>
  <si>
    <t>DOCUSYSTEMS, INC.</t>
  </si>
  <si>
    <t>DBA LINEAGE</t>
  </si>
  <si>
    <t>LAKE COUNTRY OFFICE SOLUTIONS</t>
  </si>
  <si>
    <t>INFORMATION NETWORK SYSTEMS</t>
  </si>
  <si>
    <t>Northeast</t>
  </si>
  <si>
    <t>SCOTT BAILY ENTERPRISES, INC.</t>
  </si>
  <si>
    <t>ROYAL OFFICE EQUIPMENT CO.</t>
  </si>
  <si>
    <t>DBA ADVANTAGE BUSINESS SYSTEMS</t>
  </si>
  <si>
    <t>BOHNS PRINTING, INC.</t>
  </si>
  <si>
    <t>O/C BUSINESS SYSTEMS</t>
  </si>
  <si>
    <t>PROCOPY, INC.</t>
  </si>
  <si>
    <t>STEAMROLLER COPIES, INC.</t>
  </si>
  <si>
    <t>Southeast Sls</t>
  </si>
  <si>
    <t>Anchorage</t>
  </si>
  <si>
    <t>Commercial Print</t>
  </si>
  <si>
    <t>DBA GOODSUITE</t>
  </si>
  <si>
    <t>Dallas / Ft Worth / OK / Shrev</t>
  </si>
  <si>
    <t>MIDDLE GEORGIA BUSINESS PRODUCTS, INC.</t>
  </si>
  <si>
    <t>Manitoba</t>
  </si>
  <si>
    <t>BBM OFFICE INNOVATIONS</t>
  </si>
  <si>
    <t>DBA LA CARTOUCHERIE</t>
  </si>
  <si>
    <t>DBA MCM BUSINESS SYSTEMS</t>
  </si>
  <si>
    <t>DBA OFFICE PLUS SOLUTIONS &amp; SUPPLY</t>
  </si>
  <si>
    <t>NEW ENGLAND COPY SPECIALISTS, INC.</t>
  </si>
  <si>
    <t>SAYES OFFICE SUPPLY, LLC</t>
  </si>
  <si>
    <t>URM TECHNOLOGIES, INC.</t>
  </si>
  <si>
    <t>DBA COECO OFFICE SYSTEMS, INC.</t>
  </si>
  <si>
    <t>PETERSON QUALITY OFFICE, INC.</t>
  </si>
  <si>
    <t>BODNAR SALES &amp; SERVICE</t>
  </si>
  <si>
    <t>CUNNINGHAM BUSINESS SYSTEMS, LLC</t>
  </si>
  <si>
    <t>GORDON DOCUMENT PRODUCTS, INC.</t>
  </si>
  <si>
    <t>INTEGRATED DOCUMENT TECHNOLOGIES, INC.</t>
  </si>
  <si>
    <t>NORTHERN BUSINESS MACHINES NH, INC.</t>
  </si>
  <si>
    <t>SYMQUEST GROUP INCORPORATED</t>
  </si>
  <si>
    <t>UPPER CANADA OFFICE SYSTEMS</t>
  </si>
  <si>
    <t>DBA DCA IMAGING SYSTEMS</t>
  </si>
  <si>
    <t>Ontario</t>
  </si>
  <si>
    <t>INTEGRATED DIGITAL SOLUTIONS, INC.</t>
  </si>
  <si>
    <t>Quebec</t>
  </si>
  <si>
    <t>Corporate</t>
  </si>
  <si>
    <t>CHAUVIN BUSINESS SYSTEMS, INC.</t>
  </si>
  <si>
    <t>DBA PRODUCTION PRINT SOLUTIONS</t>
  </si>
  <si>
    <t>Mid-South</t>
  </si>
  <si>
    <t>RM OFFICE SOLUTIONS, LTD.</t>
  </si>
  <si>
    <t>ADVANCED OFFICE PRODUCTS, INC.</t>
  </si>
  <si>
    <t>British Columbia</t>
  </si>
  <si>
    <t>DBA KENMARK OFFICE SYSTEMS, INC.</t>
  </si>
  <si>
    <t>DBA MERIDIAN IMAGING SOLUTIONS</t>
  </si>
  <si>
    <t>ISLAND OFFICE SOLUTIONS</t>
  </si>
  <si>
    <t>NORTHCO PRODUCTS, INC.</t>
  </si>
  <si>
    <t>OFFICECORP, INC.</t>
  </si>
  <si>
    <t>DBA OSI</t>
  </si>
  <si>
    <t>HENRY HALL OFFICE PRODUCTS</t>
  </si>
  <si>
    <t>BETTER BUSINESS EQUIPMENT CO., INC.</t>
  </si>
  <si>
    <t>CORNWALL BUSINESS MACHINE</t>
  </si>
  <si>
    <t>DIRECT IMAGE COPY SYSTEMS, INC.</t>
  </si>
  <si>
    <t>RECOGNITION SYSTEMS, INC.</t>
  </si>
  <si>
    <t>Florida</t>
  </si>
  <si>
    <t>DBA PSK DOCUMENT SOLUTIONS</t>
  </si>
  <si>
    <t>Great Plains</t>
  </si>
  <si>
    <t>DBA POYNTERS BUSINESS SOLUTIONS</t>
  </si>
  <si>
    <t>Dapack</t>
  </si>
  <si>
    <t>THE LIOCE GROUP, INC.</t>
  </si>
  <si>
    <t>So Cal / Lv</t>
  </si>
  <si>
    <t>C/O KEL COMMUNICATIONS LTD</t>
  </si>
  <si>
    <t>KRAFT BUSINESS SYSTEMS, INC.</t>
  </si>
  <si>
    <t>Field Employees - BUS</t>
  </si>
  <si>
    <t>Heartland</t>
  </si>
  <si>
    <t>ALL STATE BUSINESS SYSTEMS, INC.</t>
  </si>
  <si>
    <t>DBA IBE DIGITAL</t>
  </si>
  <si>
    <t>MONK OFFICE TECHNOLOGIES</t>
  </si>
  <si>
    <t>IMAGE BUSINESS SOLUTIONS, INC.</t>
  </si>
  <si>
    <t>SPRIGGS, INC.</t>
  </si>
  <si>
    <t>DBA CONSOLIDATED PRINTING AND STATIONERY</t>
  </si>
  <si>
    <t>ATLAS OFFICE SOLUTIONS, INC.</t>
  </si>
  <si>
    <t>BUSKE'S OFFICE EQUIPMENT</t>
  </si>
  <si>
    <t>Mid-Atlantic</t>
  </si>
  <si>
    <t>Nola</t>
  </si>
  <si>
    <t>ZONE 3 BUSINESS SOLUTIONS, INC.</t>
  </si>
  <si>
    <t>DBA A-1 COPIER SALES SERVICE &amp; SUPPLY, INC.</t>
  </si>
  <si>
    <t>DBA CALTRONICS NATIONAL</t>
  </si>
  <si>
    <t>O/A NEXTGEN AUTOMATION</t>
  </si>
  <si>
    <t>BAY BUSINESS MACHINES, INC.</t>
  </si>
  <si>
    <t>MAC COPY, LLC</t>
  </si>
  <si>
    <t>DBA INTERSTATE COPY</t>
  </si>
  <si>
    <t>CAROLINA TYPEWRITER CO., INC.</t>
  </si>
  <si>
    <t>GREAT LAKES OFFICE SOLUTIONS, INC.</t>
  </si>
  <si>
    <t>SOUTHERN OFFICE MACHINES CO., INC.</t>
  </si>
  <si>
    <t>GOLDEN ISLES OFFICE EQUIPMENT</t>
  </si>
  <si>
    <t>DBA SHORE BUSINESS SOLUTIONS</t>
  </si>
  <si>
    <t>JARRETT'S BUSINESS MACHINES, INC.</t>
  </si>
  <si>
    <t>DBA GOLD COAST TECHNOLOGIES</t>
  </si>
  <si>
    <t>KEMPS OFFICE CITY, INC.</t>
  </si>
  <si>
    <t>COMMON SENSE BUSINESS SOLUTIONS, INC.</t>
  </si>
  <si>
    <t>DIGITAL OFFICE SYSTEMS, INC.</t>
  </si>
  <si>
    <t>DBA SUPERIOR DOCUMENT SOLUTIONS</t>
  </si>
  <si>
    <t>Comparison Summary - Dealers (recalculates live)</t>
  </si>
  <si>
    <t>Disagreements - Dealers (review priority)</t>
  </si>
  <si>
    <t>Explaination:</t>
  </si>
  <si>
    <r>
      <t xml:space="preserve">What </t>
    </r>
    <r>
      <rPr>
        <b/>
        <sz val="10"/>
        <color theme="1"/>
        <rFont val="Arial Unicode MS"/>
        <family val="2"/>
      </rPr>
      <t>pe</t>
    </r>
    <r>
      <rPr>
        <b/>
        <sz val="18"/>
        <color theme="1"/>
        <rFont val="Segoe UI"/>
      </rPr>
      <t xml:space="preserve"> (expected agreement) is</t>
    </r>
  </si>
  <si>
    <r>
      <t>pe</t>
    </r>
    <r>
      <rPr>
        <sz val="14"/>
        <color theme="1"/>
        <rFont val="Segoe UI"/>
      </rPr>
      <t xml:space="preserve"> is the agreement you'd expect </t>
    </r>
    <r>
      <rPr>
        <b/>
        <sz val="14"/>
        <color theme="1"/>
        <rFont val="Segoe UI"/>
      </rPr>
      <t>purely by chance</t>
    </r>
    <r>
      <rPr>
        <sz val="14"/>
        <color theme="1"/>
        <rFont val="Segoe UI"/>
      </rPr>
      <t xml:space="preserve"> — if the two methods were slapping on labels randomly, in the same proportions they actually used. Cohen's kappa needs this so it can say "how much do they agree </t>
    </r>
    <r>
      <rPr>
        <i/>
        <sz val="14"/>
        <color theme="1"/>
        <rFont val="Segoe UI"/>
      </rPr>
      <t>beyond</t>
    </r>
    <r>
      <rPr>
        <sz val="14"/>
        <color theme="1"/>
        <rFont val="Segoe UI"/>
      </rPr>
      <t xml:space="preserve"> luck?"</t>
    </r>
  </si>
  <si>
    <t>The formula (and why)</t>
  </si>
  <si>
    <t>pe = (row_total_High × col_total_High</t>
  </si>
  <si>
    <t xml:space="preserve">    + row_total_Medium × col_total_Medium</t>
  </si>
  <si>
    <t xml:space="preserve">    + row_total_Low × col_total_Low) ÷ N²</t>
  </si>
  <si>
    <t>The logic, category by category:</t>
  </si>
  <si>
    <r>
      <t xml:space="preserve">Step 5 called </t>
    </r>
    <r>
      <rPr>
        <b/>
        <sz val="14"/>
        <color theme="1"/>
        <rFont val="Segoe UI"/>
      </rPr>
      <t>High</t>
    </r>
    <r>
      <rPr>
        <sz val="14"/>
        <color theme="1"/>
        <rFont val="Segoe UI"/>
      </rPr>
      <t xml:space="preserve"> for </t>
    </r>
    <r>
      <rPr>
        <sz val="10"/>
        <color theme="1"/>
        <rFont val="Arial Unicode MS"/>
        <family val="2"/>
      </rPr>
      <t>223 ÷ 1990</t>
    </r>
    <r>
      <rPr>
        <sz val="14"/>
        <color theme="1"/>
        <rFont val="Segoe UI"/>
      </rPr>
      <t xml:space="preserve"> of claimants.</t>
    </r>
  </si>
  <si>
    <t>Do that for Medium and Low too, and add them up → the total chance agreement.</t>
  </si>
  <si>
    <t>Your actual numbers</t>
  </si>
  <si>
    <t>From the margins in your matrix:</t>
  </si>
  <si>
    <t>Category</t>
  </si>
  <si>
    <t>Step 4 total (row)</t>
  </si>
  <si>
    <t>Step 5 total (col)</t>
  </si>
  <si>
    <t>Product</t>
  </si>
  <si>
    <t>Sum</t>
  </si>
  <si>
    <t>pe = 3,053,437 ÷ (1990 × 1990)</t>
  </si>
  <si>
    <t xml:space="preserve">   = 3,053,437 ÷ 3,960,100</t>
  </si>
  <si>
    <t xml:space="preserve">   = 0.771   ✓  (matches your sheet)</t>
  </si>
  <si>
    <t>Why it matters — how it feeds kappa</t>
  </si>
  <si>
    <t>kappa = (po − pe) ÷ (1 − pe)</t>
  </si>
  <si>
    <t xml:space="preserve">      = (0.937 − 0.771) ÷ (1 − 0.771)</t>
  </si>
  <si>
    <t xml:space="preserve">      = 0.166 ÷ 0.229</t>
  </si>
  <si>
    <r>
      <t xml:space="preserve">Notice the insight: your </t>
    </r>
    <r>
      <rPr>
        <b/>
        <sz val="14"/>
        <color theme="1"/>
        <rFont val="Segoe UI"/>
      </rPr>
      <t>raw agreement is 93.7%</t>
    </r>
    <r>
      <rPr>
        <sz val="14"/>
        <color theme="1"/>
        <rFont val="Segoe UI"/>
      </rPr>
      <t xml:space="preserve">, which sounds amazing — but </t>
    </r>
    <r>
      <rPr>
        <sz val="10"/>
        <color theme="1"/>
        <rFont val="Arial Unicode MS"/>
        <family val="2"/>
      </rPr>
      <t>pe</t>
    </r>
    <r>
      <rPr>
        <sz val="14"/>
        <color theme="1"/>
        <rFont val="Segoe UI"/>
      </rPr>
      <t xml:space="preserve"> reveals that </t>
    </r>
    <r>
      <rPr>
        <b/>
        <sz val="14"/>
        <color theme="1"/>
        <rFont val="Segoe UI"/>
      </rPr>
      <t>77.1% of that would happen by chance anyway</t>
    </r>
    <r>
      <rPr>
        <sz val="14"/>
        <color theme="1"/>
        <rFont val="Segoe UI"/>
      </rPr>
      <t xml:space="preserve"> (because almost everyone is Low, so both methods land on Low a lot). Kappa strips that out and gives the honest figure: </t>
    </r>
    <r>
      <rPr>
        <b/>
        <sz val="14"/>
        <color theme="1"/>
        <rFont val="Segoe UI"/>
      </rPr>
      <t>0.72, "substantial"</t>
    </r>
    <r>
      <rPr>
        <sz val="14"/>
        <color theme="1"/>
        <rFont val="Segoe UI"/>
      </rPr>
      <t xml:space="preserve"> — genuinely good agreement, but not the inflated 93.7%.</t>
    </r>
  </si>
  <si>
    <r>
      <t xml:space="preserve">That's the whole point of </t>
    </r>
    <r>
      <rPr>
        <sz val="10"/>
        <color theme="1"/>
        <rFont val="Arial Unicode MS"/>
        <family val="2"/>
      </rPr>
      <t>pe</t>
    </r>
    <r>
      <rPr>
        <sz val="14"/>
        <color theme="1"/>
        <rFont val="Segoe UI"/>
      </rPr>
      <t>: it stops a lopsided distribution (mostly Low) from making the agreement look better than it really is.</t>
    </r>
  </si>
  <si>
    <r>
      <t xml:space="preserve">Step 4 called </t>
    </r>
    <r>
      <rPr>
        <b/>
        <sz val="14"/>
        <color theme="1"/>
        <rFont val="Segoe UI"/>
      </rPr>
      <t>High</t>
    </r>
    <r>
      <rPr>
        <sz val="14"/>
        <color theme="1"/>
        <rFont val="Segoe UI"/>
      </rPr>
      <t xml:space="preserve"> for </t>
    </r>
    <r>
      <rPr>
        <sz val="10"/>
        <color theme="1"/>
        <rFont val="Arial Unicode MS"/>
        <family val="2"/>
      </rPr>
      <t>21 ÷ 1990</t>
    </r>
    <r>
      <rPr>
        <sz val="14"/>
        <color theme="1"/>
        <rFont val="Segoe UI"/>
      </rPr>
      <t xml:space="preserve"> of claimants.</t>
    </r>
  </si>
  <si>
    <r>
      <t xml:space="preserve">If both labelled randomly, the chance they </t>
    </r>
    <r>
      <rPr>
        <i/>
        <sz val="14"/>
        <color theme="1"/>
        <rFont val="Segoe UI"/>
      </rPr>
      <t>both</t>
    </r>
    <r>
      <rPr>
        <sz val="14"/>
        <color theme="1"/>
        <rFont val="Segoe UI"/>
      </rPr>
      <t xml:space="preserve"> say High = </t>
    </r>
    <r>
      <rPr>
        <sz val="10"/>
        <color theme="1"/>
        <rFont val="Arial Unicode MS"/>
        <family val="2"/>
      </rPr>
      <t>(219/1990) × (223/1990)</t>
    </r>
    <r>
      <rPr>
        <sz val="14"/>
        <color theme="1"/>
        <rFont val="Segoe UI"/>
      </rPr>
      <t>.</t>
    </r>
  </si>
  <si>
    <t xml:space="preserve">      = 0.729   ✓  "substantial"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</si>
</sst>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b/>
      <sz val="13"/>
      <color rgb="FF1F4E78"/>
      <name val="Arial"/>
      <family val="2"/>
    </font>
    <font>
      <i/>
      <sz val="9"/>
      <color rgb="FF666666"/>
      <name val="Arial"/>
      <family val="2"/>
    </font>
    <font>
      <b/>
      <sz val="10"/>
      <color rgb="FFFFFFFF"/>
      <name val="Arial"/>
      <family val="2"/>
    </font>
    <font>
      <sz val="10"/>
      <name val="Arial"/>
      <family val="2"/>
    </font>
    <font>
      <b/>
      <sz val="10"/>
      <name val="Arial"/>
      <family val="2"/>
    </font>
    <font>
      <b/>
      <sz val="12"/>
      <color rgb="FFC00000"/>
      <name val="Arial"/>
      <family val="2"/>
    </font>
    <font>
      <b/>
      <sz val="13"/>
      <color rgb="FFBF9000"/>
      <name val="Arial"/>
      <family val="2"/>
    </font>
    <font>
      <b/>
      <sz val="14"/>
      <color rgb="FF1F4E78"/>
      <name val="Arial"/>
      <family val="2"/>
    </font>
    <font>
      <sz val="14"/>
      <color theme="1"/>
      <name val="Segoe UI"/>
    </font>
    <font>
      <b/>
      <sz val="18"/>
      <color theme="1"/>
      <name val="Segoe UI"/>
    </font>
    <font>
      <b/>
      <sz val="10"/>
      <color theme="1"/>
      <name val="Arial Unicode MS"/>
      <family val="2"/>
    </font>
    <font>
      <sz val="10"/>
      <color theme="1"/>
      <name val="Arial Unicode MS"/>
      <family val="2"/>
    </font>
    <font>
      <b/>
      <sz val="14"/>
      <color theme="1"/>
      <name val="Segoe UI"/>
    </font>
    <font>
      <i/>
      <sz val="14"/>
      <color theme="1"/>
      <name val="Segoe UI"/>
    </font>
    <font>
      <b/>
      <sz val="11"/>
      <color theme="1"/>
      <name val="Segoe UI"/>
    </font>
    <font>
      <sz val="11"/>
      <color theme="1"/>
      <name val="Segoe UI"/>
    </font>
    <font>
      <sz val="18"/>
      <color theme="1"/>
      <name val="Calibri"/>
      <family val="2"/>
      <scheme val="minor"/>
    </font>
  </fonts>
  <fills count="5">
    <fill>
      <patternFill patternType="none"/>
    </fill>
    <fill>
      <patternFill patternType="gray125"/>
    </fill>
    <fill>
      <patternFill patternType="solid">
        <fgColor rgb="FF1F4E78"/>
      </patternFill>
    </fill>
    <fill>
      <patternFill patternType="solid">
        <fgColor rgb="FFDDEBF7"/>
      </patternFill>
    </fill>
    <fill>
      <patternFill patternType="solid">
        <fgColor rgb="FF92D050"/>
        <bgColor indexed="64"/>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23">
    <xf numFmtId="0" fontId="0" fillId="0" borderId="0" xfId="0"/>
    <xf numFmtId="0" fontId="8" fillId="0" borderId="0" xfId="0" applyFont="1"/>
    <xf numFmtId="0" fontId="4" fillId="0" borderId="0" xfId="0" applyFont="1"/>
    <xf numFmtId="0" fontId="1" fillId="0" borderId="0" xfId="0" applyFont="1"/>
    <xf numFmtId="0" fontId="2" fillId="0" borderId="0" xfId="0" applyFont="1"/>
    <xf numFmtId="0" fontId="3" fillId="2" borderId="1" xfId="0" applyFont="1" applyFill="1" applyBorder="1" applyAlignment="1">
      <alignment horizontal="center" vertical="center"/>
    </xf>
    <xf numFmtId="0" fontId="5" fillId="0" borderId="1" xfId="0" applyFont="1" applyBorder="1" applyAlignment="1">
      <alignment horizontal="left" vertical="center"/>
    </xf>
    <xf numFmtId="0" fontId="4" fillId="0" borderId="1" xfId="0" applyFont="1" applyBorder="1" applyAlignment="1">
      <alignment horizontal="center" vertical="center"/>
    </xf>
    <xf numFmtId="0" fontId="4" fillId="3" borderId="1" xfId="0" applyFont="1" applyFill="1" applyBorder="1" applyAlignment="1">
      <alignment horizontal="center" vertical="center"/>
    </xf>
    <xf numFmtId="0" fontId="5" fillId="0" borderId="0" xfId="0" applyFont="1"/>
    <xf numFmtId="164" fontId="0" fillId="0" borderId="0" xfId="0" applyNumberFormat="1"/>
    <xf numFmtId="0" fontId="3" fillId="2" borderId="0" xfId="0" applyFont="1" applyFill="1" applyAlignment="1">
      <alignment horizontal="center" vertical="center"/>
    </xf>
    <xf numFmtId="0" fontId="0" fillId="0" borderId="1" xfId="0" applyBorder="1" applyAlignment="1">
      <alignment horizontal="center" vertical="center"/>
    </xf>
    <xf numFmtId="0" fontId="6" fillId="0" borderId="0" xfId="0" applyFont="1"/>
    <xf numFmtId="0" fontId="7" fillId="0" borderId="0" xfId="0" applyFont="1"/>
    <xf numFmtId="0" fontId="10" fillId="0" borderId="0" xfId="0" applyFont="1"/>
    <xf numFmtId="0" fontId="12" fillId="0" borderId="0" xfId="0" applyFont="1"/>
    <xf numFmtId="0" fontId="9" fillId="0" borderId="0" xfId="0" applyFont="1"/>
    <xf numFmtId="0" fontId="15" fillId="0" borderId="0" xfId="0" applyFont="1"/>
    <xf numFmtId="0" fontId="16" fillId="0" borderId="0" xfId="0" applyFont="1"/>
    <xf numFmtId="3" fontId="16" fillId="0" borderId="0" xfId="0" applyNumberFormat="1" applyFont="1"/>
    <xf numFmtId="3" fontId="15" fillId="0" borderId="0" xfId="0" applyNumberFormat="1" applyFont="1"/>
    <xf numFmtId="0" fontId="17"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1"/>
  <sheetViews>
    <sheetView tabSelected="1" workbookViewId="0">
      <selection activeCell="B21" sqref="B21"/>
    </sheetView>
  </sheetViews>
  <sheetFormatPr baseColWidth="10" defaultColWidth="8.83203125" defaultRowHeight="15" x14ac:dyDescent="0.2"/>
  <cols>
    <col min="1" max="1" width="95" customWidth="1"/>
  </cols>
  <sheetData>
    <row r="1" spans="1:1" ht="18" x14ac:dyDescent="0.2">
      <c r="A1" s="1" t="s">
        <v>0</v>
      </c>
    </row>
    <row r="3" spans="1:1" x14ac:dyDescent="0.2">
      <c r="A3" s="2"/>
    </row>
    <row r="4" spans="1:1" x14ac:dyDescent="0.2">
      <c r="A4" s="2" t="s">
        <v>1</v>
      </c>
    </row>
    <row r="5" spans="1:1" x14ac:dyDescent="0.2">
      <c r="A5" s="2"/>
    </row>
    <row r="6" spans="1:1" x14ac:dyDescent="0.2">
      <c r="A6" s="2" t="s">
        <v>2</v>
      </c>
    </row>
    <row r="7" spans="1:1" x14ac:dyDescent="0.2">
      <c r="A7" s="2"/>
    </row>
    <row r="8" spans="1:1" x14ac:dyDescent="0.2">
      <c r="A8" s="2" t="s">
        <v>3</v>
      </c>
    </row>
    <row r="9" spans="1:1" x14ac:dyDescent="0.2">
      <c r="A9" s="2"/>
    </row>
    <row r="10" spans="1:1" x14ac:dyDescent="0.2">
      <c r="A10" s="2" t="s">
        <v>4</v>
      </c>
    </row>
    <row r="11" spans="1:1" x14ac:dyDescent="0.2">
      <c r="A11" s="2" t="s">
        <v>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94"/>
  <sheetViews>
    <sheetView workbookViewId="0">
      <pane ySplit="4" topLeftCell="A5" activePane="bottomLeft" state="frozen"/>
      <selection pane="bottomLeft"/>
    </sheetView>
  </sheetViews>
  <sheetFormatPr baseColWidth="10" defaultColWidth="8.83203125" defaultRowHeight="15" x14ac:dyDescent="0.2"/>
  <cols>
    <col min="1" max="1" width="22" customWidth="1"/>
    <col min="2" max="7" width="12" customWidth="1"/>
    <col min="8" max="8" width="9" customWidth="1"/>
  </cols>
  <sheetData>
    <row r="1" spans="1:8" ht="17" x14ac:dyDescent="0.2">
      <c r="A1" s="3" t="s">
        <v>6</v>
      </c>
    </row>
    <row r="2" spans="1:8" x14ac:dyDescent="0.2">
      <c r="A2" s="4" t="s">
        <v>7</v>
      </c>
    </row>
    <row r="4" spans="1:8" x14ac:dyDescent="0.2">
      <c r="A4" s="5" t="s">
        <v>8</v>
      </c>
      <c r="B4" s="5" t="s">
        <v>9</v>
      </c>
      <c r="C4" s="5" t="s">
        <v>10</v>
      </c>
      <c r="D4" s="5" t="s">
        <v>11</v>
      </c>
      <c r="E4" s="5" t="s">
        <v>12</v>
      </c>
      <c r="F4" s="5" t="s">
        <v>13</v>
      </c>
      <c r="G4" s="5" t="s">
        <v>14</v>
      </c>
      <c r="H4" s="5" t="s">
        <v>15</v>
      </c>
    </row>
    <row r="5" spans="1:8" x14ac:dyDescent="0.2">
      <c r="A5" s="6" t="s">
        <v>16</v>
      </c>
      <c r="B5" s="7">
        <v>145</v>
      </c>
      <c r="C5" s="7">
        <v>145</v>
      </c>
      <c r="D5" s="7">
        <v>1</v>
      </c>
      <c r="E5" s="7">
        <v>0.97419999999999995</v>
      </c>
      <c r="F5" s="8" t="s">
        <v>17</v>
      </c>
      <c r="G5" s="8" t="s">
        <v>17</v>
      </c>
      <c r="H5" t="str">
        <f t="shared" ref="H5:H68" si="0">IF(F5=G5,"YES","NO")</f>
        <v>YES</v>
      </c>
    </row>
    <row r="6" spans="1:8" x14ac:dyDescent="0.2">
      <c r="A6" s="6" t="s">
        <v>18</v>
      </c>
      <c r="B6" s="7">
        <v>46</v>
      </c>
      <c r="C6" s="7">
        <v>43</v>
      </c>
      <c r="D6" s="7">
        <v>0.93479999999999996</v>
      </c>
      <c r="E6" s="7">
        <v>0.82499999999999996</v>
      </c>
      <c r="F6" s="8" t="s">
        <v>17</v>
      </c>
      <c r="G6" s="8" t="s">
        <v>17</v>
      </c>
      <c r="H6" t="str">
        <f t="shared" si="0"/>
        <v>YES</v>
      </c>
    </row>
    <row r="7" spans="1:8" x14ac:dyDescent="0.2">
      <c r="A7" s="6" t="s">
        <v>19</v>
      </c>
      <c r="B7" s="7">
        <v>16</v>
      </c>
      <c r="C7" s="7">
        <v>16</v>
      </c>
      <c r="D7" s="7">
        <v>1</v>
      </c>
      <c r="E7" s="7">
        <v>0.80640000000000001</v>
      </c>
      <c r="F7" s="8" t="s">
        <v>17</v>
      </c>
      <c r="G7" s="8" t="s">
        <v>17</v>
      </c>
      <c r="H7" t="str">
        <f t="shared" si="0"/>
        <v>YES</v>
      </c>
    </row>
    <row r="8" spans="1:8" x14ac:dyDescent="0.2">
      <c r="A8" s="6" t="s">
        <v>20</v>
      </c>
      <c r="B8" s="7">
        <v>14</v>
      </c>
      <c r="C8" s="7">
        <v>14</v>
      </c>
      <c r="D8" s="7">
        <v>1</v>
      </c>
      <c r="E8" s="7">
        <v>0.78469999999999995</v>
      </c>
      <c r="F8" s="8" t="s">
        <v>17</v>
      </c>
      <c r="G8" s="8" t="s">
        <v>17</v>
      </c>
      <c r="H8" t="str">
        <f t="shared" si="0"/>
        <v>YES</v>
      </c>
    </row>
    <row r="9" spans="1:8" x14ac:dyDescent="0.2">
      <c r="A9" s="6" t="s">
        <v>21</v>
      </c>
      <c r="B9" s="7">
        <v>56</v>
      </c>
      <c r="C9" s="7">
        <v>48</v>
      </c>
      <c r="D9" s="7">
        <v>0.85709999999999997</v>
      </c>
      <c r="E9" s="7">
        <v>0.74260000000000004</v>
      </c>
      <c r="F9" s="8" t="s">
        <v>17</v>
      </c>
      <c r="G9" s="8" t="s">
        <v>17</v>
      </c>
      <c r="H9" t="str">
        <f t="shared" si="0"/>
        <v>YES</v>
      </c>
    </row>
    <row r="10" spans="1:8" x14ac:dyDescent="0.2">
      <c r="A10" s="6" t="s">
        <v>22</v>
      </c>
      <c r="B10" s="7">
        <v>158</v>
      </c>
      <c r="C10" s="7">
        <v>126</v>
      </c>
      <c r="D10" s="7">
        <v>0.79749999999999999</v>
      </c>
      <c r="E10" s="7">
        <v>0.72809999999999997</v>
      </c>
      <c r="F10" s="8" t="s">
        <v>17</v>
      </c>
      <c r="G10" s="8" t="s">
        <v>17</v>
      </c>
      <c r="H10" t="str">
        <f t="shared" si="0"/>
        <v>YES</v>
      </c>
    </row>
    <row r="11" spans="1:8" x14ac:dyDescent="0.2">
      <c r="A11" s="6" t="s">
        <v>23</v>
      </c>
      <c r="B11" s="7">
        <v>10</v>
      </c>
      <c r="C11" s="7">
        <v>10</v>
      </c>
      <c r="D11" s="7">
        <v>1</v>
      </c>
      <c r="E11" s="7">
        <v>0.72250000000000003</v>
      </c>
      <c r="F11" s="8" t="s">
        <v>17</v>
      </c>
      <c r="G11" s="8" t="s">
        <v>17</v>
      </c>
      <c r="H11" t="str">
        <f t="shared" si="0"/>
        <v>YES</v>
      </c>
    </row>
    <row r="12" spans="1:8" x14ac:dyDescent="0.2">
      <c r="A12" s="6" t="s">
        <v>24</v>
      </c>
      <c r="B12" s="7">
        <v>225</v>
      </c>
      <c r="C12" s="7">
        <v>174</v>
      </c>
      <c r="D12" s="7">
        <v>0.77329999999999999</v>
      </c>
      <c r="E12" s="7">
        <v>0.71430000000000005</v>
      </c>
      <c r="F12" s="8" t="s">
        <v>17</v>
      </c>
      <c r="G12" s="8" t="s">
        <v>17</v>
      </c>
      <c r="H12" t="str">
        <f t="shared" si="0"/>
        <v>YES</v>
      </c>
    </row>
    <row r="13" spans="1:8" x14ac:dyDescent="0.2">
      <c r="A13" s="6" t="s">
        <v>25</v>
      </c>
      <c r="B13" s="7">
        <v>157</v>
      </c>
      <c r="C13" s="7">
        <v>116</v>
      </c>
      <c r="D13" s="7">
        <v>0.7389</v>
      </c>
      <c r="E13" s="7">
        <v>0.66500000000000004</v>
      </c>
      <c r="F13" s="8" t="s">
        <v>17</v>
      </c>
      <c r="G13" s="8" t="s">
        <v>17</v>
      </c>
      <c r="H13" t="str">
        <f t="shared" si="0"/>
        <v>YES</v>
      </c>
    </row>
    <row r="14" spans="1:8" x14ac:dyDescent="0.2">
      <c r="A14" s="6" t="s">
        <v>26</v>
      </c>
      <c r="B14" s="7">
        <v>30</v>
      </c>
      <c r="C14" s="7">
        <v>25</v>
      </c>
      <c r="D14" s="7">
        <v>0.83330000000000004</v>
      </c>
      <c r="E14" s="7">
        <v>0.66439999999999999</v>
      </c>
      <c r="F14" s="8" t="s">
        <v>17</v>
      </c>
      <c r="G14" s="8" t="s">
        <v>17</v>
      </c>
      <c r="H14" t="str">
        <f t="shared" si="0"/>
        <v>YES</v>
      </c>
    </row>
    <row r="15" spans="1:8" x14ac:dyDescent="0.2">
      <c r="A15" s="6" t="s">
        <v>27</v>
      </c>
      <c r="B15" s="7">
        <v>6</v>
      </c>
      <c r="C15" s="7">
        <v>6</v>
      </c>
      <c r="D15" s="7">
        <v>1</v>
      </c>
      <c r="E15" s="7">
        <v>0.60970000000000002</v>
      </c>
      <c r="F15" s="8" t="s">
        <v>17</v>
      </c>
      <c r="G15" s="8" t="s">
        <v>17</v>
      </c>
      <c r="H15" t="str">
        <f t="shared" si="0"/>
        <v>YES</v>
      </c>
    </row>
    <row r="16" spans="1:8" x14ac:dyDescent="0.2">
      <c r="A16" s="6" t="s">
        <v>28</v>
      </c>
      <c r="B16" s="7">
        <v>6</v>
      </c>
      <c r="C16" s="7">
        <v>6</v>
      </c>
      <c r="D16" s="7">
        <v>1</v>
      </c>
      <c r="E16" s="7">
        <v>0.60970000000000002</v>
      </c>
      <c r="F16" s="8" t="s">
        <v>17</v>
      </c>
      <c r="G16" s="8" t="s">
        <v>17</v>
      </c>
      <c r="H16" t="str">
        <f t="shared" si="0"/>
        <v>YES</v>
      </c>
    </row>
    <row r="17" spans="1:8" x14ac:dyDescent="0.2">
      <c r="A17" s="6" t="s">
        <v>29</v>
      </c>
      <c r="B17" s="7">
        <v>31</v>
      </c>
      <c r="C17" s="7">
        <v>24</v>
      </c>
      <c r="D17" s="7">
        <v>0.7742</v>
      </c>
      <c r="E17" s="7">
        <v>0.60189999999999999</v>
      </c>
      <c r="F17" s="8" t="s">
        <v>17</v>
      </c>
      <c r="G17" s="8" t="s">
        <v>17</v>
      </c>
      <c r="H17" t="str">
        <f t="shared" si="0"/>
        <v>YES</v>
      </c>
    </row>
    <row r="18" spans="1:8" x14ac:dyDescent="0.2">
      <c r="A18" s="6" t="s">
        <v>30</v>
      </c>
      <c r="B18" s="7">
        <v>14</v>
      </c>
      <c r="C18" s="7">
        <v>12</v>
      </c>
      <c r="D18" s="7">
        <v>0.85709999999999997</v>
      </c>
      <c r="E18" s="7">
        <v>0.60060000000000002</v>
      </c>
      <c r="F18" s="8" t="s">
        <v>17</v>
      </c>
      <c r="G18" s="8" t="s">
        <v>17</v>
      </c>
      <c r="H18" t="str">
        <f t="shared" si="0"/>
        <v>YES</v>
      </c>
    </row>
    <row r="19" spans="1:8" x14ac:dyDescent="0.2">
      <c r="A19" s="6" t="s">
        <v>31</v>
      </c>
      <c r="B19" s="7">
        <v>247</v>
      </c>
      <c r="C19" s="7">
        <v>153</v>
      </c>
      <c r="D19" s="7">
        <v>0.61939999999999995</v>
      </c>
      <c r="E19" s="7">
        <v>0.5575</v>
      </c>
      <c r="F19" s="8" t="s">
        <v>17</v>
      </c>
      <c r="G19" s="8" t="s">
        <v>17</v>
      </c>
      <c r="H19" t="str">
        <f t="shared" si="0"/>
        <v>YES</v>
      </c>
    </row>
    <row r="20" spans="1:8" x14ac:dyDescent="0.2">
      <c r="A20" s="6" t="s">
        <v>32</v>
      </c>
      <c r="B20" s="7">
        <v>268</v>
      </c>
      <c r="C20" s="7">
        <v>163</v>
      </c>
      <c r="D20" s="7">
        <v>0.60819999999999996</v>
      </c>
      <c r="E20" s="7">
        <v>0.54859999999999998</v>
      </c>
      <c r="F20" s="8" t="s">
        <v>17</v>
      </c>
      <c r="G20" s="8" t="s">
        <v>17</v>
      </c>
      <c r="H20" t="str">
        <f t="shared" si="0"/>
        <v>YES</v>
      </c>
    </row>
    <row r="21" spans="1:8" x14ac:dyDescent="0.2">
      <c r="A21" s="6" t="s">
        <v>33</v>
      </c>
      <c r="B21" s="7">
        <v>105</v>
      </c>
      <c r="C21" s="7">
        <v>66</v>
      </c>
      <c r="D21" s="7">
        <v>0.62860000000000005</v>
      </c>
      <c r="E21" s="7">
        <v>0.53310000000000002</v>
      </c>
      <c r="F21" s="8" t="s">
        <v>17</v>
      </c>
      <c r="G21" s="8" t="s">
        <v>17</v>
      </c>
      <c r="H21" t="str">
        <f t="shared" si="0"/>
        <v>YES</v>
      </c>
    </row>
    <row r="22" spans="1:8" x14ac:dyDescent="0.2">
      <c r="A22" s="6" t="s">
        <v>34</v>
      </c>
      <c r="B22" s="7">
        <v>20</v>
      </c>
      <c r="C22" s="7">
        <v>15</v>
      </c>
      <c r="D22" s="7">
        <v>0.75</v>
      </c>
      <c r="E22" s="7">
        <v>0.53129999999999999</v>
      </c>
      <c r="F22" s="8" t="s">
        <v>17</v>
      </c>
      <c r="G22" s="8" t="s">
        <v>35</v>
      </c>
      <c r="H22" t="str">
        <f t="shared" si="0"/>
        <v>NO</v>
      </c>
    </row>
    <row r="23" spans="1:8" x14ac:dyDescent="0.2">
      <c r="A23" s="6" t="s">
        <v>36</v>
      </c>
      <c r="B23" s="7">
        <v>519</v>
      </c>
      <c r="C23" s="7">
        <v>296</v>
      </c>
      <c r="D23" s="7">
        <v>0.57030000000000003</v>
      </c>
      <c r="E23" s="7">
        <v>0.52739999999999998</v>
      </c>
      <c r="F23" s="8" t="s">
        <v>17</v>
      </c>
      <c r="G23" s="8" t="s">
        <v>17</v>
      </c>
      <c r="H23" t="str">
        <f t="shared" si="0"/>
        <v>YES</v>
      </c>
    </row>
    <row r="24" spans="1:8" x14ac:dyDescent="0.2">
      <c r="A24" s="6" t="s">
        <v>37</v>
      </c>
      <c r="B24" s="7">
        <v>231</v>
      </c>
      <c r="C24" s="7">
        <v>135</v>
      </c>
      <c r="D24" s="7">
        <v>0.58440000000000003</v>
      </c>
      <c r="E24" s="7">
        <v>0.52</v>
      </c>
      <c r="F24" s="8" t="s">
        <v>17</v>
      </c>
      <c r="G24" s="8" t="s">
        <v>17</v>
      </c>
      <c r="H24" t="str">
        <f t="shared" si="0"/>
        <v>YES</v>
      </c>
    </row>
    <row r="25" spans="1:8" x14ac:dyDescent="0.2">
      <c r="A25" s="6" t="s">
        <v>38</v>
      </c>
      <c r="B25" s="7">
        <v>37</v>
      </c>
      <c r="C25" s="7">
        <v>25</v>
      </c>
      <c r="D25" s="7">
        <v>0.67569999999999997</v>
      </c>
      <c r="E25" s="7">
        <v>0.51459999999999995</v>
      </c>
      <c r="F25" s="8" t="s">
        <v>17</v>
      </c>
      <c r="G25" s="8" t="s">
        <v>17</v>
      </c>
      <c r="H25" t="str">
        <f t="shared" si="0"/>
        <v>YES</v>
      </c>
    </row>
    <row r="26" spans="1:8" x14ac:dyDescent="0.2">
      <c r="A26" s="6" t="s">
        <v>39</v>
      </c>
      <c r="B26" s="7">
        <v>4</v>
      </c>
      <c r="C26" s="7">
        <v>4</v>
      </c>
      <c r="D26" s="7">
        <v>1</v>
      </c>
      <c r="E26" s="7">
        <v>0.5101</v>
      </c>
      <c r="F26" s="8" t="s">
        <v>17</v>
      </c>
      <c r="G26" s="8" t="s">
        <v>17</v>
      </c>
      <c r="H26" t="str">
        <f t="shared" si="0"/>
        <v>YES</v>
      </c>
    </row>
    <row r="27" spans="1:8" x14ac:dyDescent="0.2">
      <c r="A27" s="6" t="s">
        <v>40</v>
      </c>
      <c r="B27" s="7">
        <v>135</v>
      </c>
      <c r="C27" s="7">
        <v>79</v>
      </c>
      <c r="D27" s="7">
        <v>0.58520000000000005</v>
      </c>
      <c r="E27" s="7">
        <v>0.50080000000000002</v>
      </c>
      <c r="F27" s="8" t="s">
        <v>17</v>
      </c>
      <c r="G27" s="8" t="s">
        <v>17</v>
      </c>
      <c r="H27" t="str">
        <f t="shared" si="0"/>
        <v>YES</v>
      </c>
    </row>
    <row r="28" spans="1:8" x14ac:dyDescent="0.2">
      <c r="A28" s="6" t="s">
        <v>41</v>
      </c>
      <c r="B28" s="7">
        <v>58</v>
      </c>
      <c r="C28" s="7">
        <v>36</v>
      </c>
      <c r="D28" s="7">
        <v>0.62070000000000003</v>
      </c>
      <c r="E28" s="7">
        <v>0.49199999999999999</v>
      </c>
      <c r="F28" s="8" t="s">
        <v>17</v>
      </c>
      <c r="G28" s="8" t="s">
        <v>17</v>
      </c>
      <c r="H28" t="str">
        <f t="shared" si="0"/>
        <v>YES</v>
      </c>
    </row>
    <row r="29" spans="1:8" x14ac:dyDescent="0.2">
      <c r="A29" s="6" t="s">
        <v>42</v>
      </c>
      <c r="B29" s="7">
        <v>65</v>
      </c>
      <c r="C29" s="7">
        <v>39</v>
      </c>
      <c r="D29" s="7">
        <v>0.6</v>
      </c>
      <c r="E29" s="7">
        <v>0.47860000000000003</v>
      </c>
      <c r="F29" s="8" t="s">
        <v>17</v>
      </c>
      <c r="G29" s="8" t="s">
        <v>17</v>
      </c>
      <c r="H29" t="str">
        <f t="shared" si="0"/>
        <v>YES</v>
      </c>
    </row>
    <row r="30" spans="1:8" x14ac:dyDescent="0.2">
      <c r="A30" s="6" t="s">
        <v>43</v>
      </c>
      <c r="B30" s="7">
        <v>346</v>
      </c>
      <c r="C30" s="7">
        <v>181</v>
      </c>
      <c r="D30" s="7">
        <v>0.52310000000000001</v>
      </c>
      <c r="E30" s="7">
        <v>0.47049999999999997</v>
      </c>
      <c r="F30" s="8" t="s">
        <v>17</v>
      </c>
      <c r="G30" s="8" t="s">
        <v>17</v>
      </c>
      <c r="H30" t="str">
        <f t="shared" si="0"/>
        <v>YES</v>
      </c>
    </row>
    <row r="31" spans="1:8" x14ac:dyDescent="0.2">
      <c r="A31" s="6" t="s">
        <v>44</v>
      </c>
      <c r="B31" s="7">
        <v>432</v>
      </c>
      <c r="C31" s="7">
        <v>223</v>
      </c>
      <c r="D31" s="7">
        <v>0.51619999999999999</v>
      </c>
      <c r="E31" s="7">
        <v>0.46910000000000002</v>
      </c>
      <c r="F31" s="8" t="s">
        <v>17</v>
      </c>
      <c r="G31" s="8" t="s">
        <v>17</v>
      </c>
      <c r="H31" t="str">
        <f t="shared" si="0"/>
        <v>YES</v>
      </c>
    </row>
    <row r="32" spans="1:8" x14ac:dyDescent="0.2">
      <c r="A32" s="6" t="s">
        <v>45</v>
      </c>
      <c r="B32" s="7">
        <v>418</v>
      </c>
      <c r="C32" s="7">
        <v>215</v>
      </c>
      <c r="D32" s="7">
        <v>0.51439999999999997</v>
      </c>
      <c r="E32" s="7">
        <v>0.46650000000000003</v>
      </c>
      <c r="F32" s="8" t="s">
        <v>17</v>
      </c>
      <c r="G32" s="8" t="s">
        <v>17</v>
      </c>
      <c r="H32" t="str">
        <f t="shared" si="0"/>
        <v>YES</v>
      </c>
    </row>
    <row r="33" spans="1:8" x14ac:dyDescent="0.2">
      <c r="A33" s="6" t="s">
        <v>46</v>
      </c>
      <c r="B33" s="7">
        <v>377</v>
      </c>
      <c r="C33" s="7">
        <v>193</v>
      </c>
      <c r="D33" s="7">
        <v>0.51190000000000002</v>
      </c>
      <c r="E33" s="7">
        <v>0.46160000000000001</v>
      </c>
      <c r="F33" s="8" t="s">
        <v>17</v>
      </c>
      <c r="G33" s="8" t="s">
        <v>17</v>
      </c>
      <c r="H33" t="str">
        <f t="shared" si="0"/>
        <v>YES</v>
      </c>
    </row>
    <row r="34" spans="1:8" x14ac:dyDescent="0.2">
      <c r="A34" s="6" t="s">
        <v>47</v>
      </c>
      <c r="B34" s="7">
        <v>79</v>
      </c>
      <c r="C34" s="7">
        <v>45</v>
      </c>
      <c r="D34" s="7">
        <v>0.5696</v>
      </c>
      <c r="E34" s="7">
        <v>0.4597</v>
      </c>
      <c r="F34" s="8" t="s">
        <v>17</v>
      </c>
      <c r="G34" s="8" t="s">
        <v>17</v>
      </c>
      <c r="H34" t="str">
        <f t="shared" si="0"/>
        <v>YES</v>
      </c>
    </row>
    <row r="35" spans="1:8" x14ac:dyDescent="0.2">
      <c r="A35" s="6" t="s">
        <v>48</v>
      </c>
      <c r="B35" s="7">
        <v>404</v>
      </c>
      <c r="C35" s="7">
        <v>204</v>
      </c>
      <c r="D35" s="7">
        <v>0.505</v>
      </c>
      <c r="E35" s="7">
        <v>0.45639999999999997</v>
      </c>
      <c r="F35" s="8" t="s">
        <v>17</v>
      </c>
      <c r="G35" s="8" t="s">
        <v>17</v>
      </c>
      <c r="H35" t="str">
        <f t="shared" si="0"/>
        <v>YES</v>
      </c>
    </row>
    <row r="36" spans="1:8" x14ac:dyDescent="0.2">
      <c r="A36" s="6" t="s">
        <v>49</v>
      </c>
      <c r="B36" s="7">
        <v>131</v>
      </c>
      <c r="C36" s="7">
        <v>70</v>
      </c>
      <c r="D36" s="7">
        <v>0.53439999999999999</v>
      </c>
      <c r="E36" s="7">
        <v>0.44919999999999999</v>
      </c>
      <c r="F36" s="8" t="s">
        <v>17</v>
      </c>
      <c r="G36" s="8" t="s">
        <v>17</v>
      </c>
      <c r="H36" t="str">
        <f t="shared" si="0"/>
        <v>YES</v>
      </c>
    </row>
    <row r="37" spans="1:8" x14ac:dyDescent="0.2">
      <c r="A37" s="6" t="s">
        <v>50</v>
      </c>
      <c r="B37" s="7">
        <v>174</v>
      </c>
      <c r="C37" s="7">
        <v>90</v>
      </c>
      <c r="D37" s="7">
        <v>0.51719999999999999</v>
      </c>
      <c r="E37" s="7">
        <v>0.44340000000000002</v>
      </c>
      <c r="F37" s="8" t="s">
        <v>17</v>
      </c>
      <c r="G37" s="8" t="s">
        <v>17</v>
      </c>
      <c r="H37" t="str">
        <f t="shared" si="0"/>
        <v>YES</v>
      </c>
    </row>
    <row r="38" spans="1:8" x14ac:dyDescent="0.2">
      <c r="A38" s="6" t="s">
        <v>51</v>
      </c>
      <c r="B38" s="7">
        <v>3</v>
      </c>
      <c r="C38" s="7">
        <v>3</v>
      </c>
      <c r="D38" s="7">
        <v>1</v>
      </c>
      <c r="E38" s="7">
        <v>0.4385</v>
      </c>
      <c r="F38" s="8" t="s">
        <v>17</v>
      </c>
      <c r="G38" s="8" t="s">
        <v>17</v>
      </c>
      <c r="H38" t="str">
        <f t="shared" si="0"/>
        <v>YES</v>
      </c>
    </row>
    <row r="39" spans="1:8" x14ac:dyDescent="0.2">
      <c r="A39" s="6" t="s">
        <v>52</v>
      </c>
      <c r="B39" s="7">
        <v>6</v>
      </c>
      <c r="C39" s="7">
        <v>5</v>
      </c>
      <c r="D39" s="7">
        <v>0.83330000000000004</v>
      </c>
      <c r="E39" s="7">
        <v>0.4365</v>
      </c>
      <c r="F39" s="8" t="s">
        <v>17</v>
      </c>
      <c r="G39" s="8" t="s">
        <v>35</v>
      </c>
      <c r="H39" t="str">
        <f t="shared" si="0"/>
        <v>NO</v>
      </c>
    </row>
    <row r="40" spans="1:8" x14ac:dyDescent="0.2">
      <c r="A40" s="6" t="s">
        <v>53</v>
      </c>
      <c r="B40" s="7">
        <v>230</v>
      </c>
      <c r="C40" s="7">
        <v>115</v>
      </c>
      <c r="D40" s="7">
        <v>0.5</v>
      </c>
      <c r="E40" s="7">
        <v>0.43590000000000001</v>
      </c>
      <c r="F40" s="8" t="s">
        <v>17</v>
      </c>
      <c r="G40" s="8" t="s">
        <v>17</v>
      </c>
      <c r="H40" t="str">
        <f t="shared" si="0"/>
        <v>YES</v>
      </c>
    </row>
    <row r="41" spans="1:8" x14ac:dyDescent="0.2">
      <c r="A41" s="6" t="s">
        <v>54</v>
      </c>
      <c r="B41" s="7">
        <v>181</v>
      </c>
      <c r="C41" s="7">
        <v>91</v>
      </c>
      <c r="D41" s="7">
        <v>0.50280000000000002</v>
      </c>
      <c r="E41" s="7">
        <v>0.43059999999999998</v>
      </c>
      <c r="F41" s="8" t="s">
        <v>17</v>
      </c>
      <c r="G41" s="8" t="s">
        <v>17</v>
      </c>
      <c r="H41" t="str">
        <f t="shared" si="0"/>
        <v>YES</v>
      </c>
    </row>
    <row r="42" spans="1:8" x14ac:dyDescent="0.2">
      <c r="A42" s="6" t="s">
        <v>55</v>
      </c>
      <c r="B42" s="7">
        <v>145</v>
      </c>
      <c r="C42" s="7">
        <v>73</v>
      </c>
      <c r="D42" s="7">
        <v>0.50339999999999996</v>
      </c>
      <c r="E42" s="7">
        <v>0.42299999999999999</v>
      </c>
      <c r="F42" s="8" t="s">
        <v>17</v>
      </c>
      <c r="G42" s="8" t="s">
        <v>17</v>
      </c>
      <c r="H42" t="str">
        <f t="shared" si="0"/>
        <v>YES</v>
      </c>
    </row>
    <row r="43" spans="1:8" x14ac:dyDescent="0.2">
      <c r="A43" s="6" t="s">
        <v>56</v>
      </c>
      <c r="B43" s="7">
        <v>55</v>
      </c>
      <c r="C43" s="7">
        <v>30</v>
      </c>
      <c r="D43" s="7">
        <v>0.54549999999999998</v>
      </c>
      <c r="E43" s="7">
        <v>0.41520000000000001</v>
      </c>
      <c r="F43" s="8" t="s">
        <v>17</v>
      </c>
      <c r="G43" s="8" t="s">
        <v>17</v>
      </c>
      <c r="H43" t="str">
        <f t="shared" si="0"/>
        <v>YES</v>
      </c>
    </row>
    <row r="44" spans="1:8" x14ac:dyDescent="0.2">
      <c r="A44" s="6" t="s">
        <v>57</v>
      </c>
      <c r="B44" s="7">
        <v>41</v>
      </c>
      <c r="C44" s="7">
        <v>23</v>
      </c>
      <c r="D44" s="7">
        <v>0.56100000000000005</v>
      </c>
      <c r="E44" s="7">
        <v>0.41039999999999999</v>
      </c>
      <c r="F44" s="8" t="s">
        <v>17</v>
      </c>
      <c r="G44" s="8" t="s">
        <v>17</v>
      </c>
      <c r="H44" t="str">
        <f t="shared" si="0"/>
        <v>YES</v>
      </c>
    </row>
    <row r="45" spans="1:8" x14ac:dyDescent="0.2">
      <c r="A45" s="6" t="s">
        <v>58</v>
      </c>
      <c r="B45" s="7">
        <v>583</v>
      </c>
      <c r="C45" s="7">
        <v>260</v>
      </c>
      <c r="D45" s="7">
        <v>0.44600000000000001</v>
      </c>
      <c r="E45" s="7">
        <v>0.40610000000000002</v>
      </c>
      <c r="F45" s="8" t="s">
        <v>17</v>
      </c>
      <c r="G45" s="8" t="s">
        <v>17</v>
      </c>
      <c r="H45" t="str">
        <f t="shared" si="0"/>
        <v>YES</v>
      </c>
    </row>
    <row r="46" spans="1:8" x14ac:dyDescent="0.2">
      <c r="A46" s="6" t="s">
        <v>59</v>
      </c>
      <c r="B46" s="7">
        <v>36</v>
      </c>
      <c r="C46" s="7">
        <v>20</v>
      </c>
      <c r="D46" s="7">
        <v>0.55559999999999998</v>
      </c>
      <c r="E46" s="7">
        <v>0.39579999999999999</v>
      </c>
      <c r="F46" s="8" t="s">
        <v>17</v>
      </c>
      <c r="G46" s="8" t="s">
        <v>17</v>
      </c>
      <c r="H46" t="str">
        <f t="shared" si="0"/>
        <v>YES</v>
      </c>
    </row>
    <row r="47" spans="1:8" x14ac:dyDescent="0.2">
      <c r="A47" s="6" t="s">
        <v>60</v>
      </c>
      <c r="B47" s="7">
        <v>18</v>
      </c>
      <c r="C47" s="7">
        <v>11</v>
      </c>
      <c r="D47" s="7">
        <v>0.61109999999999998</v>
      </c>
      <c r="E47" s="7">
        <v>0.38619999999999999</v>
      </c>
      <c r="F47" s="8" t="s">
        <v>17</v>
      </c>
      <c r="G47" s="8" t="s">
        <v>17</v>
      </c>
      <c r="H47" t="str">
        <f t="shared" si="0"/>
        <v>YES</v>
      </c>
    </row>
    <row r="48" spans="1:8" x14ac:dyDescent="0.2">
      <c r="A48" s="6" t="s">
        <v>61</v>
      </c>
      <c r="B48" s="7">
        <v>64</v>
      </c>
      <c r="C48" s="7">
        <v>32</v>
      </c>
      <c r="D48" s="7">
        <v>0.5</v>
      </c>
      <c r="E48" s="7">
        <v>0.38100000000000001</v>
      </c>
      <c r="F48" s="8" t="s">
        <v>17</v>
      </c>
      <c r="G48" s="8" t="s">
        <v>35</v>
      </c>
      <c r="H48" t="str">
        <f t="shared" si="0"/>
        <v>NO</v>
      </c>
    </row>
    <row r="49" spans="1:8" x14ac:dyDescent="0.2">
      <c r="A49" s="6" t="s">
        <v>62</v>
      </c>
      <c r="B49" s="7">
        <v>5</v>
      </c>
      <c r="C49" s="7">
        <v>4</v>
      </c>
      <c r="D49" s="7">
        <v>0.8</v>
      </c>
      <c r="E49" s="7">
        <v>0.3755</v>
      </c>
      <c r="F49" s="8" t="s">
        <v>17</v>
      </c>
      <c r="G49" s="8" t="s">
        <v>17</v>
      </c>
      <c r="H49" t="str">
        <f t="shared" si="0"/>
        <v>YES</v>
      </c>
    </row>
    <row r="50" spans="1:8" x14ac:dyDescent="0.2">
      <c r="A50" s="6" t="s">
        <v>63</v>
      </c>
      <c r="B50" s="7">
        <v>5</v>
      </c>
      <c r="C50" s="7">
        <v>4</v>
      </c>
      <c r="D50" s="7">
        <v>0.8</v>
      </c>
      <c r="E50" s="7">
        <v>0.3755</v>
      </c>
      <c r="F50" s="8" t="s">
        <v>17</v>
      </c>
      <c r="G50" s="8" t="s">
        <v>17</v>
      </c>
      <c r="H50" t="str">
        <f t="shared" si="0"/>
        <v>YES</v>
      </c>
    </row>
    <row r="51" spans="1:8" x14ac:dyDescent="0.2">
      <c r="A51" s="6" t="s">
        <v>64</v>
      </c>
      <c r="B51" s="7">
        <v>5</v>
      </c>
      <c r="C51" s="7">
        <v>4</v>
      </c>
      <c r="D51" s="7">
        <v>0.8</v>
      </c>
      <c r="E51" s="7">
        <v>0.3755</v>
      </c>
      <c r="F51" s="8" t="s">
        <v>17</v>
      </c>
      <c r="G51" s="8" t="s">
        <v>17</v>
      </c>
      <c r="H51" t="str">
        <f t="shared" si="0"/>
        <v>YES</v>
      </c>
    </row>
    <row r="52" spans="1:8" x14ac:dyDescent="0.2">
      <c r="A52" s="6" t="s">
        <v>65</v>
      </c>
      <c r="B52" s="7">
        <v>129</v>
      </c>
      <c r="C52" s="7">
        <v>59</v>
      </c>
      <c r="D52" s="7">
        <v>0.45739999999999997</v>
      </c>
      <c r="E52" s="7">
        <v>0.37390000000000001</v>
      </c>
      <c r="F52" s="8" t="s">
        <v>17</v>
      </c>
      <c r="G52" s="8" t="s">
        <v>35</v>
      </c>
      <c r="H52" t="str">
        <f t="shared" si="0"/>
        <v>NO</v>
      </c>
    </row>
    <row r="53" spans="1:8" x14ac:dyDescent="0.2">
      <c r="A53" s="6" t="s">
        <v>66</v>
      </c>
      <c r="B53" s="7">
        <v>56</v>
      </c>
      <c r="C53" s="7">
        <v>28</v>
      </c>
      <c r="D53" s="7">
        <v>0.5</v>
      </c>
      <c r="E53" s="7">
        <v>0.37330000000000002</v>
      </c>
      <c r="F53" s="8" t="s">
        <v>17</v>
      </c>
      <c r="G53" s="8" t="s">
        <v>17</v>
      </c>
      <c r="H53" t="str">
        <f t="shared" si="0"/>
        <v>YES</v>
      </c>
    </row>
    <row r="54" spans="1:8" x14ac:dyDescent="0.2">
      <c r="A54" s="6" t="s">
        <v>67</v>
      </c>
      <c r="B54" s="7">
        <v>345</v>
      </c>
      <c r="C54" s="7">
        <v>146</v>
      </c>
      <c r="D54" s="7">
        <v>0.42320000000000002</v>
      </c>
      <c r="E54" s="7">
        <v>0.37219999999999998</v>
      </c>
      <c r="F54" s="8" t="s">
        <v>17</v>
      </c>
      <c r="G54" s="8" t="s">
        <v>17</v>
      </c>
      <c r="H54" t="str">
        <f t="shared" si="0"/>
        <v>YES</v>
      </c>
    </row>
    <row r="55" spans="1:8" x14ac:dyDescent="0.2">
      <c r="A55" s="6" t="s">
        <v>68</v>
      </c>
      <c r="B55" s="7">
        <v>654</v>
      </c>
      <c r="C55" s="7">
        <v>267</v>
      </c>
      <c r="D55" s="7">
        <v>0.4083</v>
      </c>
      <c r="E55" s="7">
        <v>0.37119999999999997</v>
      </c>
      <c r="F55" s="8" t="s">
        <v>17</v>
      </c>
      <c r="G55" s="8" t="s">
        <v>17</v>
      </c>
      <c r="H55" t="str">
        <f t="shared" si="0"/>
        <v>YES</v>
      </c>
    </row>
    <row r="56" spans="1:8" x14ac:dyDescent="0.2">
      <c r="A56" s="6" t="s">
        <v>69</v>
      </c>
      <c r="B56" s="7">
        <v>138</v>
      </c>
      <c r="C56" s="7">
        <v>62</v>
      </c>
      <c r="D56" s="7">
        <v>0.44929999999999998</v>
      </c>
      <c r="E56" s="7">
        <v>0.36880000000000002</v>
      </c>
      <c r="F56" s="8" t="s">
        <v>17</v>
      </c>
      <c r="G56" s="8" t="s">
        <v>17</v>
      </c>
      <c r="H56" t="str">
        <f t="shared" si="0"/>
        <v>YES</v>
      </c>
    </row>
    <row r="57" spans="1:8" x14ac:dyDescent="0.2">
      <c r="A57" s="6" t="s">
        <v>70</v>
      </c>
      <c r="B57" s="7">
        <v>96</v>
      </c>
      <c r="C57" s="7">
        <v>44</v>
      </c>
      <c r="D57" s="7">
        <v>0.45829999999999999</v>
      </c>
      <c r="E57" s="7">
        <v>0.36220000000000002</v>
      </c>
      <c r="F57" s="8" t="s">
        <v>17</v>
      </c>
      <c r="G57" s="8" t="s">
        <v>17</v>
      </c>
      <c r="H57" t="str">
        <f t="shared" si="0"/>
        <v>YES</v>
      </c>
    </row>
    <row r="58" spans="1:8" x14ac:dyDescent="0.2">
      <c r="A58" s="6" t="s">
        <v>71</v>
      </c>
      <c r="B58" s="7">
        <v>46</v>
      </c>
      <c r="C58" s="7">
        <v>23</v>
      </c>
      <c r="D58" s="7">
        <v>0.5</v>
      </c>
      <c r="E58" s="7">
        <v>0.36120000000000002</v>
      </c>
      <c r="F58" s="8" t="s">
        <v>17</v>
      </c>
      <c r="G58" s="8" t="s">
        <v>17</v>
      </c>
      <c r="H58" t="str">
        <f t="shared" si="0"/>
        <v>YES</v>
      </c>
    </row>
    <row r="59" spans="1:8" x14ac:dyDescent="0.2">
      <c r="A59" s="6" t="s">
        <v>72</v>
      </c>
      <c r="B59" s="7">
        <v>100</v>
      </c>
      <c r="C59" s="7">
        <v>45</v>
      </c>
      <c r="D59" s="7">
        <v>0.45</v>
      </c>
      <c r="E59" s="7">
        <v>0.35610000000000003</v>
      </c>
      <c r="F59" s="8" t="s">
        <v>17</v>
      </c>
      <c r="G59" s="8" t="s">
        <v>17</v>
      </c>
      <c r="H59" t="str">
        <f t="shared" si="0"/>
        <v>YES</v>
      </c>
    </row>
    <row r="60" spans="1:8" x14ac:dyDescent="0.2">
      <c r="A60" s="6" t="s">
        <v>73</v>
      </c>
      <c r="B60" s="7">
        <v>161</v>
      </c>
      <c r="C60" s="7">
        <v>69</v>
      </c>
      <c r="D60" s="7">
        <v>0.42859999999999998</v>
      </c>
      <c r="E60" s="7">
        <v>0.35470000000000002</v>
      </c>
      <c r="F60" s="8" t="s">
        <v>17</v>
      </c>
      <c r="G60" s="8" t="s">
        <v>17</v>
      </c>
      <c r="H60" t="str">
        <f t="shared" si="0"/>
        <v>YES</v>
      </c>
    </row>
    <row r="61" spans="1:8" x14ac:dyDescent="0.2">
      <c r="A61" s="6" t="s">
        <v>74</v>
      </c>
      <c r="B61" s="7">
        <v>54</v>
      </c>
      <c r="C61" s="7">
        <v>26</v>
      </c>
      <c r="D61" s="7">
        <v>0.48149999999999998</v>
      </c>
      <c r="E61" s="7">
        <v>0.35389999999999999</v>
      </c>
      <c r="F61" s="8" t="s">
        <v>17</v>
      </c>
      <c r="G61" s="8" t="s">
        <v>17</v>
      </c>
      <c r="H61" t="str">
        <f t="shared" si="0"/>
        <v>YES</v>
      </c>
    </row>
    <row r="62" spans="1:8" x14ac:dyDescent="0.2">
      <c r="A62" s="6" t="s">
        <v>75</v>
      </c>
      <c r="B62" s="7">
        <v>24</v>
      </c>
      <c r="C62" s="7">
        <v>13</v>
      </c>
      <c r="D62" s="7">
        <v>0.54169999999999996</v>
      </c>
      <c r="E62" s="7">
        <v>0.35070000000000001</v>
      </c>
      <c r="F62" s="8" t="s">
        <v>17</v>
      </c>
      <c r="G62" s="8" t="s">
        <v>17</v>
      </c>
      <c r="H62" t="str">
        <f t="shared" si="0"/>
        <v>YES</v>
      </c>
    </row>
    <row r="63" spans="1:8" x14ac:dyDescent="0.2">
      <c r="A63" s="6" t="s">
        <v>76</v>
      </c>
      <c r="B63" s="7">
        <v>104</v>
      </c>
      <c r="C63" s="7">
        <v>46</v>
      </c>
      <c r="D63" s="7">
        <v>0.44230000000000003</v>
      </c>
      <c r="E63" s="7">
        <v>0.35060000000000002</v>
      </c>
      <c r="F63" s="8" t="s">
        <v>17</v>
      </c>
      <c r="G63" s="8" t="s">
        <v>35</v>
      </c>
      <c r="H63" t="str">
        <f t="shared" si="0"/>
        <v>NO</v>
      </c>
    </row>
    <row r="64" spans="1:8" x14ac:dyDescent="0.2">
      <c r="A64" s="6" t="s">
        <v>77</v>
      </c>
      <c r="B64" s="7">
        <v>2</v>
      </c>
      <c r="C64" s="7">
        <v>2</v>
      </c>
      <c r="D64" s="7">
        <v>1</v>
      </c>
      <c r="E64" s="7">
        <v>0.34239999999999998</v>
      </c>
      <c r="F64" s="8" t="s">
        <v>17</v>
      </c>
      <c r="G64" s="8" t="s">
        <v>17</v>
      </c>
      <c r="H64" t="str">
        <f t="shared" si="0"/>
        <v>YES</v>
      </c>
    </row>
    <row r="65" spans="1:8" x14ac:dyDescent="0.2">
      <c r="A65" s="6" t="s">
        <v>78</v>
      </c>
      <c r="B65" s="7">
        <v>2</v>
      </c>
      <c r="C65" s="7">
        <v>2</v>
      </c>
      <c r="D65" s="7">
        <v>1</v>
      </c>
      <c r="E65" s="7">
        <v>0.34239999999999998</v>
      </c>
      <c r="F65" s="8" t="s">
        <v>17</v>
      </c>
      <c r="G65" s="8" t="s">
        <v>17</v>
      </c>
      <c r="H65" t="str">
        <f t="shared" si="0"/>
        <v>YES</v>
      </c>
    </row>
    <row r="66" spans="1:8" x14ac:dyDescent="0.2">
      <c r="A66" s="6" t="s">
        <v>79</v>
      </c>
      <c r="B66" s="7">
        <v>2</v>
      </c>
      <c r="C66" s="7">
        <v>2</v>
      </c>
      <c r="D66" s="7">
        <v>1</v>
      </c>
      <c r="E66" s="7">
        <v>0.34239999999999998</v>
      </c>
      <c r="F66" s="8" t="s">
        <v>17</v>
      </c>
      <c r="G66" s="8" t="s">
        <v>17</v>
      </c>
      <c r="H66" t="str">
        <f t="shared" si="0"/>
        <v>YES</v>
      </c>
    </row>
    <row r="67" spans="1:8" x14ac:dyDescent="0.2">
      <c r="A67" s="6" t="s">
        <v>80</v>
      </c>
      <c r="B67" s="7">
        <v>2</v>
      </c>
      <c r="C67" s="7">
        <v>2</v>
      </c>
      <c r="D67" s="7">
        <v>1</v>
      </c>
      <c r="E67" s="7">
        <v>0.34239999999999998</v>
      </c>
      <c r="F67" s="8" t="s">
        <v>17</v>
      </c>
      <c r="G67" s="8" t="s">
        <v>17</v>
      </c>
      <c r="H67" t="str">
        <f t="shared" si="0"/>
        <v>YES</v>
      </c>
    </row>
    <row r="68" spans="1:8" x14ac:dyDescent="0.2">
      <c r="A68" s="6" t="s">
        <v>81</v>
      </c>
      <c r="B68" s="7">
        <v>2</v>
      </c>
      <c r="C68" s="7">
        <v>2</v>
      </c>
      <c r="D68" s="7">
        <v>1</v>
      </c>
      <c r="E68" s="7">
        <v>0.34239999999999998</v>
      </c>
      <c r="F68" s="8" t="s">
        <v>17</v>
      </c>
      <c r="G68" s="8" t="s">
        <v>17</v>
      </c>
      <c r="H68" t="str">
        <f t="shared" si="0"/>
        <v>YES</v>
      </c>
    </row>
    <row r="69" spans="1:8" x14ac:dyDescent="0.2">
      <c r="A69" s="6" t="s">
        <v>82</v>
      </c>
      <c r="B69" s="7">
        <v>34</v>
      </c>
      <c r="C69" s="7">
        <v>17</v>
      </c>
      <c r="D69" s="7">
        <v>0.5</v>
      </c>
      <c r="E69" s="7">
        <v>0.3407</v>
      </c>
      <c r="F69" s="8" t="s">
        <v>17</v>
      </c>
      <c r="G69" s="8" t="s">
        <v>17</v>
      </c>
      <c r="H69" t="str">
        <f t="shared" ref="H69:H132" si="1">IF(F69=G69,"YES","NO")</f>
        <v>YES</v>
      </c>
    </row>
    <row r="70" spans="1:8" x14ac:dyDescent="0.2">
      <c r="A70" s="6" t="s">
        <v>83</v>
      </c>
      <c r="B70" s="7">
        <v>42</v>
      </c>
      <c r="C70" s="7">
        <v>20</v>
      </c>
      <c r="D70" s="7">
        <v>0.47620000000000001</v>
      </c>
      <c r="E70" s="7">
        <v>0.33360000000000001</v>
      </c>
      <c r="F70" s="8" t="s">
        <v>17</v>
      </c>
      <c r="G70" s="8" t="s">
        <v>17</v>
      </c>
      <c r="H70" t="str">
        <f t="shared" si="1"/>
        <v>YES</v>
      </c>
    </row>
    <row r="71" spans="1:8" x14ac:dyDescent="0.2">
      <c r="A71" s="6" t="s">
        <v>84</v>
      </c>
      <c r="B71" s="7">
        <v>16</v>
      </c>
      <c r="C71" s="7">
        <v>9</v>
      </c>
      <c r="D71" s="7">
        <v>0.5625</v>
      </c>
      <c r="E71" s="7">
        <v>0.33179999999999998</v>
      </c>
      <c r="F71" s="8" t="s">
        <v>17</v>
      </c>
      <c r="G71" s="8" t="s">
        <v>17</v>
      </c>
      <c r="H71" t="str">
        <f t="shared" si="1"/>
        <v>YES</v>
      </c>
    </row>
    <row r="72" spans="1:8" x14ac:dyDescent="0.2">
      <c r="A72" s="6" t="s">
        <v>85</v>
      </c>
      <c r="B72" s="7">
        <v>63</v>
      </c>
      <c r="C72" s="7">
        <v>28</v>
      </c>
      <c r="D72" s="7">
        <v>0.44440000000000002</v>
      </c>
      <c r="E72" s="7">
        <v>0.32850000000000001</v>
      </c>
      <c r="F72" s="8" t="s">
        <v>17</v>
      </c>
      <c r="G72" s="8" t="s">
        <v>17</v>
      </c>
      <c r="H72" t="str">
        <f t="shared" si="1"/>
        <v>YES</v>
      </c>
    </row>
    <row r="73" spans="1:8" x14ac:dyDescent="0.2">
      <c r="A73" s="6" t="s">
        <v>86</v>
      </c>
      <c r="B73" s="7">
        <v>346</v>
      </c>
      <c r="C73" s="7">
        <v>129</v>
      </c>
      <c r="D73" s="7">
        <v>0.37280000000000002</v>
      </c>
      <c r="E73" s="7">
        <v>0.32350000000000001</v>
      </c>
      <c r="F73" s="8" t="s">
        <v>17</v>
      </c>
      <c r="G73" s="8" t="s">
        <v>17</v>
      </c>
      <c r="H73" t="str">
        <f t="shared" si="1"/>
        <v>YES</v>
      </c>
    </row>
    <row r="74" spans="1:8" x14ac:dyDescent="0.2">
      <c r="A74" s="6" t="s">
        <v>87</v>
      </c>
      <c r="B74" s="7">
        <v>64</v>
      </c>
      <c r="C74" s="7">
        <v>28</v>
      </c>
      <c r="D74" s="7">
        <v>0.4375</v>
      </c>
      <c r="E74" s="7">
        <v>0.32290000000000002</v>
      </c>
      <c r="F74" s="8" t="s">
        <v>17</v>
      </c>
      <c r="G74" s="8" t="s">
        <v>35</v>
      </c>
      <c r="H74" t="str">
        <f t="shared" si="1"/>
        <v>NO</v>
      </c>
    </row>
    <row r="75" spans="1:8" x14ac:dyDescent="0.2">
      <c r="A75" s="6" t="s">
        <v>88</v>
      </c>
      <c r="B75" s="7">
        <v>466</v>
      </c>
      <c r="C75" s="7">
        <v>170</v>
      </c>
      <c r="D75" s="7">
        <v>0.36480000000000001</v>
      </c>
      <c r="E75" s="7">
        <v>0.32240000000000002</v>
      </c>
      <c r="F75" s="8" t="s">
        <v>17</v>
      </c>
      <c r="G75" s="8" t="s">
        <v>17</v>
      </c>
      <c r="H75" t="str">
        <f t="shared" si="1"/>
        <v>YES</v>
      </c>
    </row>
    <row r="76" spans="1:8" x14ac:dyDescent="0.2">
      <c r="A76" s="6" t="s">
        <v>89</v>
      </c>
      <c r="B76" s="7">
        <v>161</v>
      </c>
      <c r="C76" s="7">
        <v>63</v>
      </c>
      <c r="D76" s="7">
        <v>0.39129999999999998</v>
      </c>
      <c r="E76" s="7">
        <v>0.31929999999999997</v>
      </c>
      <c r="F76" s="8" t="s">
        <v>17</v>
      </c>
      <c r="G76" s="8" t="s">
        <v>17</v>
      </c>
      <c r="H76" t="str">
        <f t="shared" si="1"/>
        <v>YES</v>
      </c>
    </row>
    <row r="77" spans="1:8" x14ac:dyDescent="0.2">
      <c r="A77" s="6" t="s">
        <v>90</v>
      </c>
      <c r="B77" s="7">
        <v>49</v>
      </c>
      <c r="C77" s="7">
        <v>22</v>
      </c>
      <c r="D77" s="7">
        <v>0.44900000000000001</v>
      </c>
      <c r="E77" s="7">
        <v>0.31850000000000001</v>
      </c>
      <c r="F77" s="8" t="s">
        <v>17</v>
      </c>
      <c r="G77" s="8" t="s">
        <v>35</v>
      </c>
      <c r="H77" t="str">
        <f t="shared" si="1"/>
        <v>NO</v>
      </c>
    </row>
    <row r="78" spans="1:8" x14ac:dyDescent="0.2">
      <c r="A78" s="6" t="s">
        <v>91</v>
      </c>
      <c r="B78" s="7">
        <v>48</v>
      </c>
      <c r="C78" s="7">
        <v>21</v>
      </c>
      <c r="D78" s="7">
        <v>0.4375</v>
      </c>
      <c r="E78" s="7">
        <v>0.307</v>
      </c>
      <c r="F78" s="8" t="s">
        <v>17</v>
      </c>
      <c r="G78" s="8" t="s">
        <v>17</v>
      </c>
      <c r="H78" t="str">
        <f t="shared" si="1"/>
        <v>YES</v>
      </c>
    </row>
    <row r="79" spans="1:8" x14ac:dyDescent="0.2">
      <c r="A79" s="6" t="s">
        <v>92</v>
      </c>
      <c r="B79" s="7">
        <v>30</v>
      </c>
      <c r="C79" s="7">
        <v>14</v>
      </c>
      <c r="D79" s="7">
        <v>0.4667</v>
      </c>
      <c r="E79" s="7">
        <v>0.30230000000000001</v>
      </c>
      <c r="F79" s="8" t="s">
        <v>17</v>
      </c>
      <c r="G79" s="8" t="s">
        <v>17</v>
      </c>
      <c r="H79" t="str">
        <f t="shared" si="1"/>
        <v>YES</v>
      </c>
    </row>
    <row r="80" spans="1:8" x14ac:dyDescent="0.2">
      <c r="A80" s="6" t="s">
        <v>93</v>
      </c>
      <c r="B80" s="7">
        <v>4</v>
      </c>
      <c r="C80" s="7">
        <v>3</v>
      </c>
      <c r="D80" s="7">
        <v>0.75</v>
      </c>
      <c r="E80" s="7">
        <v>0.30059999999999998</v>
      </c>
      <c r="F80" s="8" t="s">
        <v>17</v>
      </c>
      <c r="G80" s="8" t="s">
        <v>94</v>
      </c>
      <c r="H80" t="str">
        <f t="shared" si="1"/>
        <v>NO</v>
      </c>
    </row>
    <row r="81" spans="1:8" x14ac:dyDescent="0.2">
      <c r="A81" s="6" t="s">
        <v>95</v>
      </c>
      <c r="B81" s="7">
        <v>13</v>
      </c>
      <c r="C81" s="7">
        <v>7</v>
      </c>
      <c r="D81" s="7">
        <v>0.53849999999999998</v>
      </c>
      <c r="E81" s="7">
        <v>0.29139999999999999</v>
      </c>
      <c r="F81" s="8" t="s">
        <v>17</v>
      </c>
      <c r="G81" s="8" t="s">
        <v>17</v>
      </c>
      <c r="H81" t="str">
        <f t="shared" si="1"/>
        <v>YES</v>
      </c>
    </row>
    <row r="82" spans="1:8" x14ac:dyDescent="0.2">
      <c r="A82" s="6" t="s">
        <v>96</v>
      </c>
      <c r="B82" s="7">
        <v>13</v>
      </c>
      <c r="C82" s="7">
        <v>7</v>
      </c>
      <c r="D82" s="7">
        <v>0.53849999999999998</v>
      </c>
      <c r="E82" s="7">
        <v>0.29139999999999999</v>
      </c>
      <c r="F82" s="8" t="s">
        <v>17</v>
      </c>
      <c r="G82" s="8" t="s">
        <v>17</v>
      </c>
      <c r="H82" t="str">
        <f t="shared" si="1"/>
        <v>YES</v>
      </c>
    </row>
    <row r="83" spans="1:8" x14ac:dyDescent="0.2">
      <c r="A83" s="6" t="s">
        <v>97</v>
      </c>
      <c r="B83" s="7">
        <v>548</v>
      </c>
      <c r="C83" s="7">
        <v>177</v>
      </c>
      <c r="D83" s="7">
        <v>0.32300000000000001</v>
      </c>
      <c r="E83" s="7">
        <v>0.28520000000000001</v>
      </c>
      <c r="F83" s="8" t="s">
        <v>17</v>
      </c>
      <c r="G83" s="8" t="s">
        <v>17</v>
      </c>
      <c r="H83" t="str">
        <f t="shared" si="1"/>
        <v>YES</v>
      </c>
    </row>
    <row r="84" spans="1:8" x14ac:dyDescent="0.2">
      <c r="A84" s="6" t="s">
        <v>98</v>
      </c>
      <c r="B84" s="7">
        <v>314</v>
      </c>
      <c r="C84" s="7">
        <v>104</v>
      </c>
      <c r="D84" s="7">
        <v>0.33119999999999999</v>
      </c>
      <c r="E84" s="7">
        <v>0.28149999999999997</v>
      </c>
      <c r="F84" s="8" t="s">
        <v>17</v>
      </c>
      <c r="G84" s="8" t="s">
        <v>17</v>
      </c>
      <c r="H84" t="str">
        <f t="shared" si="1"/>
        <v>YES</v>
      </c>
    </row>
    <row r="85" spans="1:8" x14ac:dyDescent="0.2">
      <c r="A85" s="6" t="s">
        <v>99</v>
      </c>
      <c r="B85" s="7">
        <v>433</v>
      </c>
      <c r="C85" s="7">
        <v>139</v>
      </c>
      <c r="D85" s="7">
        <v>0.32100000000000001</v>
      </c>
      <c r="E85" s="7">
        <v>0.27879999999999999</v>
      </c>
      <c r="F85" s="8" t="s">
        <v>17</v>
      </c>
      <c r="G85" s="8" t="s">
        <v>17</v>
      </c>
      <c r="H85" t="str">
        <f t="shared" si="1"/>
        <v>YES</v>
      </c>
    </row>
    <row r="86" spans="1:8" x14ac:dyDescent="0.2">
      <c r="A86" s="6" t="s">
        <v>100</v>
      </c>
      <c r="B86" s="7">
        <v>200</v>
      </c>
      <c r="C86" s="7">
        <v>67</v>
      </c>
      <c r="D86" s="7">
        <v>0.33500000000000002</v>
      </c>
      <c r="E86" s="7">
        <v>0.2732</v>
      </c>
      <c r="F86" s="8" t="s">
        <v>17</v>
      </c>
      <c r="G86" s="8" t="s">
        <v>17</v>
      </c>
      <c r="H86" t="str">
        <f t="shared" si="1"/>
        <v>YES</v>
      </c>
    </row>
    <row r="87" spans="1:8" x14ac:dyDescent="0.2">
      <c r="A87" s="6" t="s">
        <v>101</v>
      </c>
      <c r="B87" s="7">
        <v>51</v>
      </c>
      <c r="C87" s="7">
        <v>20</v>
      </c>
      <c r="D87" s="7">
        <v>0.39219999999999999</v>
      </c>
      <c r="E87" s="7">
        <v>0.27029999999999998</v>
      </c>
      <c r="F87" s="8" t="s">
        <v>17</v>
      </c>
      <c r="G87" s="8" t="s">
        <v>17</v>
      </c>
      <c r="H87" t="str">
        <f t="shared" si="1"/>
        <v>YES</v>
      </c>
    </row>
    <row r="88" spans="1:8" x14ac:dyDescent="0.2">
      <c r="A88" s="6" t="s">
        <v>102</v>
      </c>
      <c r="B88" s="7">
        <v>76</v>
      </c>
      <c r="C88" s="7">
        <v>28</v>
      </c>
      <c r="D88" s="7">
        <v>0.36840000000000001</v>
      </c>
      <c r="E88" s="7">
        <v>0.26879999999999998</v>
      </c>
      <c r="F88" s="8" t="s">
        <v>17</v>
      </c>
      <c r="G88" s="8" t="s">
        <v>35</v>
      </c>
      <c r="H88" t="str">
        <f t="shared" si="1"/>
        <v>NO</v>
      </c>
    </row>
    <row r="89" spans="1:8" x14ac:dyDescent="0.2">
      <c r="A89" s="6" t="s">
        <v>103</v>
      </c>
      <c r="B89" s="7">
        <v>374</v>
      </c>
      <c r="C89" s="7">
        <v>117</v>
      </c>
      <c r="D89" s="7">
        <v>0.31280000000000002</v>
      </c>
      <c r="E89" s="7">
        <v>0.26790000000000003</v>
      </c>
      <c r="F89" s="8" t="s">
        <v>17</v>
      </c>
      <c r="G89" s="8" t="s">
        <v>17</v>
      </c>
      <c r="H89" t="str">
        <f t="shared" si="1"/>
        <v>YES</v>
      </c>
    </row>
    <row r="90" spans="1:8" x14ac:dyDescent="0.2">
      <c r="A90" s="6" t="s">
        <v>104</v>
      </c>
      <c r="B90" s="7">
        <v>216</v>
      </c>
      <c r="C90" s="7">
        <v>69</v>
      </c>
      <c r="D90" s="7">
        <v>0.31940000000000002</v>
      </c>
      <c r="E90" s="7">
        <v>0.26090000000000002</v>
      </c>
      <c r="F90" s="8" t="s">
        <v>17</v>
      </c>
      <c r="G90" s="8" t="s">
        <v>17</v>
      </c>
      <c r="H90" t="str">
        <f t="shared" si="1"/>
        <v>YES</v>
      </c>
    </row>
    <row r="91" spans="1:8" x14ac:dyDescent="0.2">
      <c r="A91" s="6" t="s">
        <v>105</v>
      </c>
      <c r="B91" s="7">
        <v>524</v>
      </c>
      <c r="C91" s="7">
        <v>155</v>
      </c>
      <c r="D91" s="7">
        <v>0.29580000000000001</v>
      </c>
      <c r="E91" s="7">
        <v>0.25829999999999997</v>
      </c>
      <c r="F91" s="8" t="s">
        <v>17</v>
      </c>
      <c r="G91" s="8" t="s">
        <v>17</v>
      </c>
      <c r="H91" t="str">
        <f t="shared" si="1"/>
        <v>YES</v>
      </c>
    </row>
    <row r="92" spans="1:8" x14ac:dyDescent="0.2">
      <c r="A92" s="6" t="s">
        <v>106</v>
      </c>
      <c r="B92" s="7">
        <v>79</v>
      </c>
      <c r="C92" s="7">
        <v>28</v>
      </c>
      <c r="D92" s="7">
        <v>0.35439999999999999</v>
      </c>
      <c r="E92" s="7">
        <v>0.25800000000000001</v>
      </c>
      <c r="F92" s="8" t="s">
        <v>17</v>
      </c>
      <c r="G92" s="8" t="s">
        <v>17</v>
      </c>
      <c r="H92" t="str">
        <f t="shared" si="1"/>
        <v>YES</v>
      </c>
    </row>
    <row r="93" spans="1:8" x14ac:dyDescent="0.2">
      <c r="A93" s="6" t="s">
        <v>107</v>
      </c>
      <c r="B93" s="7">
        <v>32</v>
      </c>
      <c r="C93" s="7">
        <v>13</v>
      </c>
      <c r="D93" s="7">
        <v>0.40620000000000001</v>
      </c>
      <c r="E93" s="7">
        <v>0.25519999999999998</v>
      </c>
      <c r="F93" s="8" t="s">
        <v>17</v>
      </c>
      <c r="G93" s="8" t="s">
        <v>17</v>
      </c>
      <c r="H93" t="str">
        <f t="shared" si="1"/>
        <v>YES</v>
      </c>
    </row>
    <row r="94" spans="1:8" x14ac:dyDescent="0.2">
      <c r="A94" s="6" t="s">
        <v>108</v>
      </c>
      <c r="B94" s="7">
        <v>12</v>
      </c>
      <c r="C94" s="7">
        <v>6</v>
      </c>
      <c r="D94" s="7">
        <v>0.5</v>
      </c>
      <c r="E94" s="7">
        <v>0.25380000000000003</v>
      </c>
      <c r="F94" s="8" t="s">
        <v>17</v>
      </c>
      <c r="G94" s="8" t="s">
        <v>17</v>
      </c>
      <c r="H94" t="str">
        <f t="shared" si="1"/>
        <v>YES</v>
      </c>
    </row>
    <row r="95" spans="1:8" x14ac:dyDescent="0.2">
      <c r="A95" s="6" t="s">
        <v>109</v>
      </c>
      <c r="B95" s="7">
        <v>132</v>
      </c>
      <c r="C95" s="7">
        <v>42</v>
      </c>
      <c r="D95" s="7">
        <v>0.31819999999999998</v>
      </c>
      <c r="E95" s="7">
        <v>0.24479999999999999</v>
      </c>
      <c r="F95" s="8" t="s">
        <v>17</v>
      </c>
      <c r="G95" s="8" t="s">
        <v>17</v>
      </c>
      <c r="H95" t="str">
        <f t="shared" si="1"/>
        <v>YES</v>
      </c>
    </row>
    <row r="96" spans="1:8" x14ac:dyDescent="0.2">
      <c r="A96" s="6" t="s">
        <v>110</v>
      </c>
      <c r="B96" s="7">
        <v>64</v>
      </c>
      <c r="C96" s="7">
        <v>22</v>
      </c>
      <c r="D96" s="7">
        <v>0.34379999999999999</v>
      </c>
      <c r="E96" s="7">
        <v>0.2392</v>
      </c>
      <c r="F96" s="8" t="s">
        <v>17</v>
      </c>
      <c r="G96" s="8" t="s">
        <v>17</v>
      </c>
      <c r="H96" t="str">
        <f t="shared" si="1"/>
        <v>YES</v>
      </c>
    </row>
    <row r="97" spans="1:8" x14ac:dyDescent="0.2">
      <c r="A97" s="6" t="s">
        <v>111</v>
      </c>
      <c r="B97" s="7">
        <v>285</v>
      </c>
      <c r="C97" s="7">
        <v>82</v>
      </c>
      <c r="D97" s="7">
        <v>0.28770000000000001</v>
      </c>
      <c r="E97" s="7">
        <v>0.23830000000000001</v>
      </c>
      <c r="F97" s="8" t="s">
        <v>17</v>
      </c>
      <c r="G97" s="8" t="s">
        <v>17</v>
      </c>
      <c r="H97" t="str">
        <f t="shared" si="1"/>
        <v>YES</v>
      </c>
    </row>
    <row r="98" spans="1:8" x14ac:dyDescent="0.2">
      <c r="A98" s="6" t="s">
        <v>112</v>
      </c>
      <c r="B98" s="7">
        <v>54</v>
      </c>
      <c r="C98" s="7">
        <v>19</v>
      </c>
      <c r="D98" s="7">
        <v>0.35189999999999999</v>
      </c>
      <c r="E98" s="7">
        <v>0.2382</v>
      </c>
      <c r="F98" s="8" t="s">
        <v>17</v>
      </c>
      <c r="G98" s="8" t="s">
        <v>17</v>
      </c>
      <c r="H98" t="str">
        <f t="shared" si="1"/>
        <v>YES</v>
      </c>
    </row>
    <row r="99" spans="1:8" x14ac:dyDescent="0.2">
      <c r="A99" s="6" t="s">
        <v>113</v>
      </c>
      <c r="B99" s="7">
        <v>750</v>
      </c>
      <c r="C99" s="7">
        <v>201</v>
      </c>
      <c r="D99" s="7">
        <v>0.26800000000000002</v>
      </c>
      <c r="E99" s="7">
        <v>0.23749999999999999</v>
      </c>
      <c r="F99" s="8" t="s">
        <v>17</v>
      </c>
      <c r="G99" s="8" t="s">
        <v>17</v>
      </c>
      <c r="H99" t="str">
        <f t="shared" si="1"/>
        <v>YES</v>
      </c>
    </row>
    <row r="100" spans="1:8" x14ac:dyDescent="0.2">
      <c r="A100" s="6" t="s">
        <v>114</v>
      </c>
      <c r="B100" s="7">
        <v>233</v>
      </c>
      <c r="C100" s="7">
        <v>68</v>
      </c>
      <c r="D100" s="7">
        <v>0.2918</v>
      </c>
      <c r="E100" s="7">
        <v>0.23719999999999999</v>
      </c>
      <c r="F100" s="8" t="s">
        <v>17</v>
      </c>
      <c r="G100" s="8" t="s">
        <v>17</v>
      </c>
      <c r="H100" t="str">
        <f t="shared" si="1"/>
        <v>YES</v>
      </c>
    </row>
    <row r="101" spans="1:8" x14ac:dyDescent="0.2">
      <c r="A101" s="6" t="s">
        <v>115</v>
      </c>
      <c r="B101" s="7">
        <v>207</v>
      </c>
      <c r="C101" s="7">
        <v>61</v>
      </c>
      <c r="D101" s="7">
        <v>0.29470000000000002</v>
      </c>
      <c r="E101" s="7">
        <v>0.23680000000000001</v>
      </c>
      <c r="F101" s="8" t="s">
        <v>17</v>
      </c>
      <c r="G101" s="8" t="s">
        <v>17</v>
      </c>
      <c r="H101" t="str">
        <f t="shared" si="1"/>
        <v>YES</v>
      </c>
    </row>
    <row r="102" spans="1:8" x14ac:dyDescent="0.2">
      <c r="A102" s="6" t="s">
        <v>116</v>
      </c>
      <c r="B102" s="7">
        <v>2039</v>
      </c>
      <c r="C102" s="7">
        <v>518</v>
      </c>
      <c r="D102" s="7">
        <v>0.254</v>
      </c>
      <c r="E102" s="7">
        <v>0.2356</v>
      </c>
      <c r="F102" s="8" t="s">
        <v>17</v>
      </c>
      <c r="G102" s="8" t="s">
        <v>17</v>
      </c>
      <c r="H102" t="str">
        <f t="shared" si="1"/>
        <v>YES</v>
      </c>
    </row>
    <row r="103" spans="1:8" x14ac:dyDescent="0.2">
      <c r="A103" s="6" t="s">
        <v>117</v>
      </c>
      <c r="B103" s="7">
        <v>351</v>
      </c>
      <c r="C103" s="7">
        <v>98</v>
      </c>
      <c r="D103" s="7">
        <v>0.2792</v>
      </c>
      <c r="E103" s="7">
        <v>0.2349</v>
      </c>
      <c r="F103" s="8" t="s">
        <v>17</v>
      </c>
      <c r="G103" s="8" t="s">
        <v>17</v>
      </c>
      <c r="H103" t="str">
        <f t="shared" si="1"/>
        <v>YES</v>
      </c>
    </row>
    <row r="104" spans="1:8" x14ac:dyDescent="0.2">
      <c r="A104" s="6" t="s">
        <v>118</v>
      </c>
      <c r="B104" s="7">
        <v>368</v>
      </c>
      <c r="C104" s="7">
        <v>102</v>
      </c>
      <c r="D104" s="7">
        <v>0.2772</v>
      </c>
      <c r="E104" s="7">
        <v>0.2339</v>
      </c>
      <c r="F104" s="8" t="s">
        <v>17</v>
      </c>
      <c r="G104" s="8" t="s">
        <v>17</v>
      </c>
      <c r="H104" t="str">
        <f t="shared" si="1"/>
        <v>YES</v>
      </c>
    </row>
    <row r="105" spans="1:8" x14ac:dyDescent="0.2">
      <c r="A105" s="6" t="s">
        <v>119</v>
      </c>
      <c r="B105" s="7">
        <v>109</v>
      </c>
      <c r="C105" s="7">
        <v>34</v>
      </c>
      <c r="D105" s="7">
        <v>0.31190000000000001</v>
      </c>
      <c r="E105" s="7">
        <v>0.2326</v>
      </c>
      <c r="F105" s="8" t="s">
        <v>17</v>
      </c>
      <c r="G105" s="8" t="s">
        <v>17</v>
      </c>
      <c r="H105" t="str">
        <f t="shared" si="1"/>
        <v>YES</v>
      </c>
    </row>
    <row r="106" spans="1:8" x14ac:dyDescent="0.2">
      <c r="A106" s="6" t="s">
        <v>120</v>
      </c>
      <c r="B106" s="7">
        <v>150</v>
      </c>
      <c r="C106" s="7">
        <v>45</v>
      </c>
      <c r="D106" s="7">
        <v>0.3</v>
      </c>
      <c r="E106" s="7">
        <v>0.2324</v>
      </c>
      <c r="F106" s="8" t="s">
        <v>17</v>
      </c>
      <c r="G106" s="8" t="s">
        <v>17</v>
      </c>
      <c r="H106" t="str">
        <f t="shared" si="1"/>
        <v>YES</v>
      </c>
    </row>
    <row r="107" spans="1:8" x14ac:dyDescent="0.2">
      <c r="A107" s="6" t="s">
        <v>121</v>
      </c>
      <c r="B107" s="7">
        <v>5</v>
      </c>
      <c r="C107" s="7">
        <v>3</v>
      </c>
      <c r="D107" s="7">
        <v>0.6</v>
      </c>
      <c r="E107" s="7">
        <v>0.23069999999999999</v>
      </c>
      <c r="F107" s="8" t="s">
        <v>17</v>
      </c>
      <c r="G107" s="8" t="s">
        <v>17</v>
      </c>
      <c r="H107" t="str">
        <f t="shared" si="1"/>
        <v>YES</v>
      </c>
    </row>
    <row r="108" spans="1:8" x14ac:dyDescent="0.2">
      <c r="A108" s="6" t="s">
        <v>122</v>
      </c>
      <c r="B108" s="7">
        <v>359</v>
      </c>
      <c r="C108" s="7">
        <v>98</v>
      </c>
      <c r="D108" s="7">
        <v>0.27300000000000002</v>
      </c>
      <c r="E108" s="7">
        <v>0.22950000000000001</v>
      </c>
      <c r="F108" s="8" t="s">
        <v>17</v>
      </c>
      <c r="G108" s="8" t="s">
        <v>17</v>
      </c>
      <c r="H108" t="str">
        <f t="shared" si="1"/>
        <v>YES</v>
      </c>
    </row>
    <row r="109" spans="1:8" x14ac:dyDescent="0.2">
      <c r="A109" s="6" t="s">
        <v>123</v>
      </c>
      <c r="B109" s="7">
        <v>39</v>
      </c>
      <c r="C109" s="7">
        <v>14</v>
      </c>
      <c r="D109" s="7">
        <v>0.35899999999999999</v>
      </c>
      <c r="E109" s="7">
        <v>0.22739999999999999</v>
      </c>
      <c r="F109" s="8" t="s">
        <v>17</v>
      </c>
      <c r="G109" s="8" t="s">
        <v>17</v>
      </c>
      <c r="H109" t="str">
        <f t="shared" si="1"/>
        <v>YES</v>
      </c>
    </row>
    <row r="110" spans="1:8" x14ac:dyDescent="0.2">
      <c r="A110" s="6" t="s">
        <v>124</v>
      </c>
      <c r="B110" s="7">
        <v>60</v>
      </c>
      <c r="C110" s="7">
        <v>20</v>
      </c>
      <c r="D110" s="7">
        <v>0.33329999999999999</v>
      </c>
      <c r="E110" s="7">
        <v>0.2273</v>
      </c>
      <c r="F110" s="8" t="s">
        <v>17</v>
      </c>
      <c r="G110" s="8" t="s">
        <v>17</v>
      </c>
      <c r="H110" t="str">
        <f t="shared" si="1"/>
        <v>YES</v>
      </c>
    </row>
    <row r="111" spans="1:8" x14ac:dyDescent="0.2">
      <c r="A111" s="6" t="s">
        <v>125</v>
      </c>
      <c r="B111" s="7">
        <v>29</v>
      </c>
      <c r="C111" s="7">
        <v>11</v>
      </c>
      <c r="D111" s="7">
        <v>0.37930000000000003</v>
      </c>
      <c r="E111" s="7">
        <v>0.22689999999999999</v>
      </c>
      <c r="F111" s="8" t="s">
        <v>17</v>
      </c>
      <c r="G111" s="8" t="s">
        <v>35</v>
      </c>
      <c r="H111" t="str">
        <f t="shared" si="1"/>
        <v>NO</v>
      </c>
    </row>
    <row r="112" spans="1:8" x14ac:dyDescent="0.2">
      <c r="A112" s="6" t="s">
        <v>126</v>
      </c>
      <c r="B112" s="7">
        <v>26</v>
      </c>
      <c r="C112" s="7">
        <v>10</v>
      </c>
      <c r="D112" s="7">
        <v>0.3846</v>
      </c>
      <c r="E112" s="7">
        <v>0.2243</v>
      </c>
      <c r="F112" s="8" t="s">
        <v>17</v>
      </c>
      <c r="G112" s="8" t="s">
        <v>35</v>
      </c>
      <c r="H112" t="str">
        <f t="shared" si="1"/>
        <v>NO</v>
      </c>
    </row>
    <row r="113" spans="1:8" x14ac:dyDescent="0.2">
      <c r="A113" s="6" t="s">
        <v>127</v>
      </c>
      <c r="B113" s="7">
        <v>257</v>
      </c>
      <c r="C113" s="7">
        <v>70</v>
      </c>
      <c r="D113" s="7">
        <v>0.27239999999999998</v>
      </c>
      <c r="E113" s="7">
        <v>0.22159999999999999</v>
      </c>
      <c r="F113" s="8" t="s">
        <v>17</v>
      </c>
      <c r="G113" s="8" t="s">
        <v>35</v>
      </c>
      <c r="H113" t="str">
        <f t="shared" si="1"/>
        <v>NO</v>
      </c>
    </row>
    <row r="114" spans="1:8" x14ac:dyDescent="0.2">
      <c r="A114" s="6" t="s">
        <v>128</v>
      </c>
      <c r="B114" s="7">
        <v>69</v>
      </c>
      <c r="C114" s="7">
        <v>22</v>
      </c>
      <c r="D114" s="7">
        <v>0.31879999999999997</v>
      </c>
      <c r="E114" s="7">
        <v>0.22090000000000001</v>
      </c>
      <c r="F114" s="8" t="s">
        <v>17</v>
      </c>
      <c r="G114" s="8" t="s">
        <v>17</v>
      </c>
      <c r="H114" t="str">
        <f t="shared" si="1"/>
        <v>YES</v>
      </c>
    </row>
    <row r="115" spans="1:8" x14ac:dyDescent="0.2">
      <c r="A115" s="6" t="s">
        <v>129</v>
      </c>
      <c r="B115" s="7">
        <v>70</v>
      </c>
      <c r="C115" s="7">
        <v>22</v>
      </c>
      <c r="D115" s="7">
        <v>0.31430000000000002</v>
      </c>
      <c r="E115" s="7">
        <v>0.21759999999999999</v>
      </c>
      <c r="F115" s="8" t="s">
        <v>17</v>
      </c>
      <c r="G115" s="8" t="s">
        <v>35</v>
      </c>
      <c r="H115" t="str">
        <f t="shared" si="1"/>
        <v>NO</v>
      </c>
    </row>
    <row r="116" spans="1:8" x14ac:dyDescent="0.2">
      <c r="A116" s="6" t="s">
        <v>130</v>
      </c>
      <c r="B116" s="7">
        <v>8</v>
      </c>
      <c r="C116" s="7">
        <v>4</v>
      </c>
      <c r="D116" s="7">
        <v>0.5</v>
      </c>
      <c r="E116" s="7">
        <v>0.2152</v>
      </c>
      <c r="F116" s="8" t="s">
        <v>17</v>
      </c>
      <c r="G116" s="8" t="s">
        <v>94</v>
      </c>
      <c r="H116" t="str">
        <f t="shared" si="1"/>
        <v>NO</v>
      </c>
    </row>
    <row r="117" spans="1:8" x14ac:dyDescent="0.2">
      <c r="A117" s="6" t="s">
        <v>131</v>
      </c>
      <c r="B117" s="7">
        <v>507</v>
      </c>
      <c r="C117" s="7">
        <v>127</v>
      </c>
      <c r="D117" s="7">
        <v>0.2505</v>
      </c>
      <c r="E117" s="7">
        <v>0.2147</v>
      </c>
      <c r="F117" s="8" t="s">
        <v>17</v>
      </c>
      <c r="G117" s="8" t="s">
        <v>17</v>
      </c>
      <c r="H117" t="str">
        <f t="shared" si="1"/>
        <v>YES</v>
      </c>
    </row>
    <row r="118" spans="1:8" x14ac:dyDescent="0.2">
      <c r="A118" s="6" t="s">
        <v>132</v>
      </c>
      <c r="B118" s="7">
        <v>314</v>
      </c>
      <c r="C118" s="7">
        <v>81</v>
      </c>
      <c r="D118" s="7">
        <v>0.25800000000000001</v>
      </c>
      <c r="E118" s="7">
        <v>0.2127</v>
      </c>
      <c r="F118" s="8" t="s">
        <v>17</v>
      </c>
      <c r="G118" s="8" t="s">
        <v>17</v>
      </c>
      <c r="H118" t="str">
        <f t="shared" si="1"/>
        <v>YES</v>
      </c>
    </row>
    <row r="119" spans="1:8" x14ac:dyDescent="0.2">
      <c r="A119" s="6" t="s">
        <v>133</v>
      </c>
      <c r="B119" s="7">
        <v>31</v>
      </c>
      <c r="C119" s="7">
        <v>11</v>
      </c>
      <c r="D119" s="7">
        <v>0.3548</v>
      </c>
      <c r="E119" s="7">
        <v>0.2112</v>
      </c>
      <c r="F119" s="8" t="s">
        <v>17</v>
      </c>
      <c r="G119" s="8" t="s">
        <v>17</v>
      </c>
      <c r="H119" t="str">
        <f t="shared" si="1"/>
        <v>YES</v>
      </c>
    </row>
    <row r="120" spans="1:8" x14ac:dyDescent="0.2">
      <c r="A120" s="6" t="s">
        <v>134</v>
      </c>
      <c r="B120" s="7">
        <v>191</v>
      </c>
      <c r="C120" s="7">
        <v>51</v>
      </c>
      <c r="D120" s="7">
        <v>0.26700000000000002</v>
      </c>
      <c r="E120" s="7">
        <v>0.20930000000000001</v>
      </c>
      <c r="F120" s="8" t="s">
        <v>17</v>
      </c>
      <c r="G120" s="8" t="s">
        <v>35</v>
      </c>
      <c r="H120" t="str">
        <f t="shared" si="1"/>
        <v>NO</v>
      </c>
    </row>
    <row r="121" spans="1:8" x14ac:dyDescent="0.2">
      <c r="A121" s="6" t="s">
        <v>135</v>
      </c>
      <c r="B121" s="7">
        <v>209</v>
      </c>
      <c r="C121" s="7">
        <v>55</v>
      </c>
      <c r="D121" s="7">
        <v>0.26319999999999999</v>
      </c>
      <c r="E121" s="7">
        <v>0.20810000000000001</v>
      </c>
      <c r="F121" s="8" t="s">
        <v>17</v>
      </c>
      <c r="G121" s="8" t="s">
        <v>35</v>
      </c>
      <c r="H121" t="str">
        <f t="shared" si="1"/>
        <v>NO</v>
      </c>
    </row>
    <row r="122" spans="1:8" x14ac:dyDescent="0.2">
      <c r="A122" s="6" t="s">
        <v>136</v>
      </c>
      <c r="B122" s="7">
        <v>3</v>
      </c>
      <c r="C122" s="7">
        <v>2</v>
      </c>
      <c r="D122" s="7">
        <v>0.66669999999999996</v>
      </c>
      <c r="E122" s="7">
        <v>0.2077</v>
      </c>
      <c r="F122" s="8" t="s">
        <v>17</v>
      </c>
      <c r="G122" s="8" t="s">
        <v>17</v>
      </c>
      <c r="H122" t="str">
        <f t="shared" si="1"/>
        <v>YES</v>
      </c>
    </row>
    <row r="123" spans="1:8" x14ac:dyDescent="0.2">
      <c r="A123" s="6" t="s">
        <v>137</v>
      </c>
      <c r="B123" s="7">
        <v>3</v>
      </c>
      <c r="C123" s="7">
        <v>2</v>
      </c>
      <c r="D123" s="7">
        <v>0.66669999999999996</v>
      </c>
      <c r="E123" s="7">
        <v>0.2077</v>
      </c>
      <c r="F123" s="8" t="s">
        <v>17</v>
      </c>
      <c r="G123" s="8" t="s">
        <v>17</v>
      </c>
      <c r="H123" t="str">
        <f t="shared" si="1"/>
        <v>YES</v>
      </c>
    </row>
    <row r="124" spans="1:8" x14ac:dyDescent="0.2">
      <c r="A124" s="6" t="s">
        <v>138</v>
      </c>
      <c r="B124" s="7">
        <v>1</v>
      </c>
      <c r="C124" s="7">
        <v>1</v>
      </c>
      <c r="D124" s="7">
        <v>1</v>
      </c>
      <c r="E124" s="7">
        <v>0.20649999999999999</v>
      </c>
      <c r="F124" s="8" t="s">
        <v>17</v>
      </c>
      <c r="G124" s="8" t="s">
        <v>17</v>
      </c>
      <c r="H124" t="str">
        <f t="shared" si="1"/>
        <v>YES</v>
      </c>
    </row>
    <row r="125" spans="1:8" x14ac:dyDescent="0.2">
      <c r="A125" s="6" t="s">
        <v>139</v>
      </c>
      <c r="B125" s="7">
        <v>1</v>
      </c>
      <c r="C125" s="7">
        <v>1</v>
      </c>
      <c r="D125" s="7">
        <v>1</v>
      </c>
      <c r="E125" s="7">
        <v>0.20649999999999999</v>
      </c>
      <c r="F125" s="8" t="s">
        <v>17</v>
      </c>
      <c r="G125" s="8" t="s">
        <v>17</v>
      </c>
      <c r="H125" t="str">
        <f t="shared" si="1"/>
        <v>YES</v>
      </c>
    </row>
    <row r="126" spans="1:8" x14ac:dyDescent="0.2">
      <c r="A126" s="6" t="s">
        <v>140</v>
      </c>
      <c r="B126" s="7">
        <v>1</v>
      </c>
      <c r="C126" s="7">
        <v>1</v>
      </c>
      <c r="D126" s="7">
        <v>1</v>
      </c>
      <c r="E126" s="7">
        <v>0.20649999999999999</v>
      </c>
      <c r="F126" s="8" t="s">
        <v>17</v>
      </c>
      <c r="G126" s="8" t="s">
        <v>17</v>
      </c>
      <c r="H126" t="str">
        <f t="shared" si="1"/>
        <v>YES</v>
      </c>
    </row>
    <row r="127" spans="1:8" x14ac:dyDescent="0.2">
      <c r="A127" s="6" t="s">
        <v>141</v>
      </c>
      <c r="B127" s="7">
        <v>1</v>
      </c>
      <c r="C127" s="7">
        <v>1</v>
      </c>
      <c r="D127" s="7">
        <v>1</v>
      </c>
      <c r="E127" s="7">
        <v>0.20649999999999999</v>
      </c>
      <c r="F127" s="8" t="s">
        <v>17</v>
      </c>
      <c r="G127" s="8" t="s">
        <v>17</v>
      </c>
      <c r="H127" t="str">
        <f t="shared" si="1"/>
        <v>YES</v>
      </c>
    </row>
    <row r="128" spans="1:8" x14ac:dyDescent="0.2">
      <c r="A128" s="6" t="s">
        <v>142</v>
      </c>
      <c r="B128" s="7">
        <v>1</v>
      </c>
      <c r="C128" s="7">
        <v>1</v>
      </c>
      <c r="D128" s="7">
        <v>1</v>
      </c>
      <c r="E128" s="7">
        <v>0.20649999999999999</v>
      </c>
      <c r="F128" s="8" t="s">
        <v>17</v>
      </c>
      <c r="G128" s="8" t="s">
        <v>35</v>
      </c>
      <c r="H128" t="str">
        <f t="shared" si="1"/>
        <v>NO</v>
      </c>
    </row>
    <row r="129" spans="1:8" x14ac:dyDescent="0.2">
      <c r="A129" s="6" t="s">
        <v>143</v>
      </c>
      <c r="B129" s="7">
        <v>82</v>
      </c>
      <c r="C129" s="7">
        <v>24</v>
      </c>
      <c r="D129" s="7">
        <v>0.29270000000000002</v>
      </c>
      <c r="E129" s="7">
        <v>0.20530000000000001</v>
      </c>
      <c r="F129" s="8" t="s">
        <v>17</v>
      </c>
      <c r="G129" s="8" t="s">
        <v>17</v>
      </c>
      <c r="H129" t="str">
        <f t="shared" si="1"/>
        <v>YES</v>
      </c>
    </row>
    <row r="130" spans="1:8" x14ac:dyDescent="0.2">
      <c r="A130" s="6" t="s">
        <v>144</v>
      </c>
      <c r="B130" s="7">
        <v>115</v>
      </c>
      <c r="C130" s="7">
        <v>32</v>
      </c>
      <c r="D130" s="7">
        <v>0.27829999999999999</v>
      </c>
      <c r="E130" s="7">
        <v>0.20449999999999999</v>
      </c>
      <c r="F130" s="8" t="s">
        <v>17</v>
      </c>
      <c r="G130" s="8" t="s">
        <v>17</v>
      </c>
      <c r="H130" t="str">
        <f t="shared" si="1"/>
        <v>YES</v>
      </c>
    </row>
    <row r="131" spans="1:8" x14ac:dyDescent="0.2">
      <c r="A131" s="6" t="s">
        <v>145</v>
      </c>
      <c r="B131" s="7">
        <v>83</v>
      </c>
      <c r="C131" s="7">
        <v>24</v>
      </c>
      <c r="D131" s="7">
        <v>0.28920000000000001</v>
      </c>
      <c r="E131" s="7">
        <v>0.20269999999999999</v>
      </c>
      <c r="F131" s="8" t="s">
        <v>17</v>
      </c>
      <c r="G131" s="8" t="s">
        <v>17</v>
      </c>
      <c r="H131" t="str">
        <f t="shared" si="1"/>
        <v>YES</v>
      </c>
    </row>
    <row r="132" spans="1:8" x14ac:dyDescent="0.2">
      <c r="A132" s="6" t="s">
        <v>146</v>
      </c>
      <c r="B132" s="7">
        <v>63</v>
      </c>
      <c r="C132" s="7">
        <v>19</v>
      </c>
      <c r="D132" s="7">
        <v>0.30159999999999998</v>
      </c>
      <c r="E132" s="7">
        <v>0.2024</v>
      </c>
      <c r="F132" s="8" t="s">
        <v>17</v>
      </c>
      <c r="G132" s="8" t="s">
        <v>35</v>
      </c>
      <c r="H132" t="str">
        <f t="shared" si="1"/>
        <v>NO</v>
      </c>
    </row>
    <row r="133" spans="1:8" x14ac:dyDescent="0.2">
      <c r="A133" s="6" t="s">
        <v>147</v>
      </c>
      <c r="B133" s="7">
        <v>150</v>
      </c>
      <c r="C133" s="7">
        <v>39</v>
      </c>
      <c r="D133" s="7">
        <v>0.26</v>
      </c>
      <c r="E133" s="7">
        <v>0.19639999999999999</v>
      </c>
      <c r="F133" s="8" t="s">
        <v>17</v>
      </c>
      <c r="G133" s="8" t="s">
        <v>17</v>
      </c>
      <c r="H133" t="str">
        <f t="shared" ref="H133:H196" si="2">IF(F133=G133,"YES","NO")</f>
        <v>YES</v>
      </c>
    </row>
    <row r="134" spans="1:8" x14ac:dyDescent="0.2">
      <c r="A134" s="6" t="s">
        <v>148</v>
      </c>
      <c r="B134" s="7">
        <v>30</v>
      </c>
      <c r="C134" s="7">
        <v>10</v>
      </c>
      <c r="D134" s="7">
        <v>0.33329999999999999</v>
      </c>
      <c r="E134" s="7">
        <v>0.1923</v>
      </c>
      <c r="F134" s="8" t="s">
        <v>17</v>
      </c>
      <c r="G134" s="8" t="s">
        <v>17</v>
      </c>
      <c r="H134" t="str">
        <f t="shared" si="2"/>
        <v>YES</v>
      </c>
    </row>
    <row r="135" spans="1:8" x14ac:dyDescent="0.2">
      <c r="A135" s="6" t="s">
        <v>149</v>
      </c>
      <c r="B135" s="7">
        <v>30</v>
      </c>
      <c r="C135" s="7">
        <v>10</v>
      </c>
      <c r="D135" s="7">
        <v>0.33329999999999999</v>
      </c>
      <c r="E135" s="7">
        <v>0.1923</v>
      </c>
      <c r="F135" s="8" t="s">
        <v>17</v>
      </c>
      <c r="G135" s="8" t="s">
        <v>17</v>
      </c>
      <c r="H135" t="str">
        <f t="shared" si="2"/>
        <v>YES</v>
      </c>
    </row>
    <row r="136" spans="1:8" x14ac:dyDescent="0.2">
      <c r="A136" s="6" t="s">
        <v>150</v>
      </c>
      <c r="B136" s="7">
        <v>38</v>
      </c>
      <c r="C136" s="7">
        <v>12</v>
      </c>
      <c r="D136" s="7">
        <v>0.31580000000000003</v>
      </c>
      <c r="E136" s="7">
        <v>0.1908</v>
      </c>
      <c r="F136" s="8" t="s">
        <v>17</v>
      </c>
      <c r="G136" s="8" t="s">
        <v>35</v>
      </c>
      <c r="H136" t="str">
        <f t="shared" si="2"/>
        <v>NO</v>
      </c>
    </row>
    <row r="137" spans="1:8" x14ac:dyDescent="0.2">
      <c r="A137" s="6" t="s">
        <v>151</v>
      </c>
      <c r="B137" s="7">
        <v>67</v>
      </c>
      <c r="C137" s="7">
        <v>19</v>
      </c>
      <c r="D137" s="7">
        <v>0.28360000000000002</v>
      </c>
      <c r="E137" s="7">
        <v>0.18970000000000001</v>
      </c>
      <c r="F137" s="8" t="s">
        <v>17</v>
      </c>
      <c r="G137" s="8" t="s">
        <v>17</v>
      </c>
      <c r="H137" t="str">
        <f t="shared" si="2"/>
        <v>YES</v>
      </c>
    </row>
    <row r="138" spans="1:8" x14ac:dyDescent="0.2">
      <c r="A138" s="6" t="s">
        <v>152</v>
      </c>
      <c r="B138" s="7">
        <v>143</v>
      </c>
      <c r="C138" s="7">
        <v>36</v>
      </c>
      <c r="D138" s="7">
        <v>0.25169999999999998</v>
      </c>
      <c r="E138" s="7">
        <v>0.18770000000000001</v>
      </c>
      <c r="F138" s="8" t="s">
        <v>17</v>
      </c>
      <c r="G138" s="8" t="s">
        <v>35</v>
      </c>
      <c r="H138" t="str">
        <f t="shared" si="2"/>
        <v>NO</v>
      </c>
    </row>
    <row r="139" spans="1:8" x14ac:dyDescent="0.2">
      <c r="A139" s="6" t="s">
        <v>153</v>
      </c>
      <c r="B139" s="7">
        <v>6</v>
      </c>
      <c r="C139" s="7">
        <v>3</v>
      </c>
      <c r="D139" s="7">
        <v>0.5</v>
      </c>
      <c r="E139" s="7">
        <v>0.18759999999999999</v>
      </c>
      <c r="F139" s="8" t="s">
        <v>17</v>
      </c>
      <c r="G139" s="8" t="s">
        <v>17</v>
      </c>
      <c r="H139" t="str">
        <f t="shared" si="2"/>
        <v>YES</v>
      </c>
    </row>
    <row r="140" spans="1:8" x14ac:dyDescent="0.2">
      <c r="A140" s="6" t="s">
        <v>154</v>
      </c>
      <c r="B140" s="7">
        <v>6</v>
      </c>
      <c r="C140" s="7">
        <v>3</v>
      </c>
      <c r="D140" s="7">
        <v>0.5</v>
      </c>
      <c r="E140" s="7">
        <v>0.18759999999999999</v>
      </c>
      <c r="F140" s="8" t="s">
        <v>17</v>
      </c>
      <c r="G140" s="8" t="s">
        <v>94</v>
      </c>
      <c r="H140" t="str">
        <f t="shared" si="2"/>
        <v>NO</v>
      </c>
    </row>
    <row r="141" spans="1:8" x14ac:dyDescent="0.2">
      <c r="A141" s="6" t="s">
        <v>155</v>
      </c>
      <c r="B141" s="7">
        <v>72</v>
      </c>
      <c r="C141" s="7">
        <v>20</v>
      </c>
      <c r="D141" s="7">
        <v>0.27779999999999999</v>
      </c>
      <c r="E141" s="7">
        <v>0.18759999999999999</v>
      </c>
      <c r="F141" s="8" t="s">
        <v>17</v>
      </c>
      <c r="G141" s="8" t="s">
        <v>17</v>
      </c>
      <c r="H141" t="str">
        <f t="shared" si="2"/>
        <v>YES</v>
      </c>
    </row>
    <row r="142" spans="1:8" x14ac:dyDescent="0.2">
      <c r="A142" s="6" t="s">
        <v>156</v>
      </c>
      <c r="B142" s="7">
        <v>35</v>
      </c>
      <c r="C142" s="7">
        <v>11</v>
      </c>
      <c r="D142" s="7">
        <v>0.31430000000000002</v>
      </c>
      <c r="E142" s="7">
        <v>0.1855</v>
      </c>
      <c r="F142" s="8" t="s">
        <v>17</v>
      </c>
      <c r="G142" s="8" t="s">
        <v>17</v>
      </c>
      <c r="H142" t="str">
        <f t="shared" si="2"/>
        <v>YES</v>
      </c>
    </row>
    <row r="143" spans="1:8" x14ac:dyDescent="0.2">
      <c r="A143" s="6" t="s">
        <v>157</v>
      </c>
      <c r="B143" s="7">
        <v>20</v>
      </c>
      <c r="C143" s="7">
        <v>7</v>
      </c>
      <c r="D143" s="7">
        <v>0.35</v>
      </c>
      <c r="E143" s="7">
        <v>0.1812</v>
      </c>
      <c r="F143" s="8" t="s">
        <v>17</v>
      </c>
      <c r="G143" s="8" t="s">
        <v>17</v>
      </c>
      <c r="H143" t="str">
        <f t="shared" si="2"/>
        <v>YES</v>
      </c>
    </row>
    <row r="144" spans="1:8" x14ac:dyDescent="0.2">
      <c r="A144" s="6" t="s">
        <v>158</v>
      </c>
      <c r="B144" s="7">
        <v>40</v>
      </c>
      <c r="C144" s="7">
        <v>12</v>
      </c>
      <c r="D144" s="7">
        <v>0.3</v>
      </c>
      <c r="E144" s="7">
        <v>0.1807</v>
      </c>
      <c r="F144" s="8" t="s">
        <v>17</v>
      </c>
      <c r="G144" s="8" t="s">
        <v>17</v>
      </c>
      <c r="H144" t="str">
        <f t="shared" si="2"/>
        <v>YES</v>
      </c>
    </row>
    <row r="145" spans="1:8" x14ac:dyDescent="0.2">
      <c r="A145" s="6" t="s">
        <v>159</v>
      </c>
      <c r="B145" s="7">
        <v>53</v>
      </c>
      <c r="C145" s="7">
        <v>15</v>
      </c>
      <c r="D145" s="7">
        <v>0.28299999999999997</v>
      </c>
      <c r="E145" s="7">
        <v>0.1797</v>
      </c>
      <c r="F145" s="8" t="s">
        <v>17</v>
      </c>
      <c r="G145" s="8" t="s">
        <v>17</v>
      </c>
      <c r="H145" t="str">
        <f t="shared" si="2"/>
        <v>YES</v>
      </c>
    </row>
    <row r="146" spans="1:8" x14ac:dyDescent="0.2">
      <c r="A146" s="6" t="s">
        <v>160</v>
      </c>
      <c r="B146" s="7">
        <v>67</v>
      </c>
      <c r="C146" s="7">
        <v>18</v>
      </c>
      <c r="D146" s="7">
        <v>0.26869999999999999</v>
      </c>
      <c r="E146" s="7">
        <v>0.1772</v>
      </c>
      <c r="F146" s="8" t="s">
        <v>17</v>
      </c>
      <c r="G146" s="8" t="s">
        <v>17</v>
      </c>
      <c r="H146" t="str">
        <f t="shared" si="2"/>
        <v>YES</v>
      </c>
    </row>
    <row r="147" spans="1:8" x14ac:dyDescent="0.2">
      <c r="A147" s="6" t="s">
        <v>161</v>
      </c>
      <c r="B147" s="7">
        <v>13</v>
      </c>
      <c r="C147" s="7">
        <v>5</v>
      </c>
      <c r="D147" s="7">
        <v>0.3846</v>
      </c>
      <c r="E147" s="7">
        <v>0.17710000000000001</v>
      </c>
      <c r="F147" s="8" t="s">
        <v>17</v>
      </c>
      <c r="G147" s="8" t="s">
        <v>17</v>
      </c>
      <c r="H147" t="str">
        <f t="shared" si="2"/>
        <v>YES</v>
      </c>
    </row>
    <row r="148" spans="1:8" x14ac:dyDescent="0.2">
      <c r="A148" s="6" t="s">
        <v>162</v>
      </c>
      <c r="B148" s="7">
        <v>13</v>
      </c>
      <c r="C148" s="7">
        <v>5</v>
      </c>
      <c r="D148" s="7">
        <v>0.3846</v>
      </c>
      <c r="E148" s="7">
        <v>0.17710000000000001</v>
      </c>
      <c r="F148" s="8" t="s">
        <v>17</v>
      </c>
      <c r="G148" s="8" t="s">
        <v>17</v>
      </c>
      <c r="H148" t="str">
        <f t="shared" si="2"/>
        <v>YES</v>
      </c>
    </row>
    <row r="149" spans="1:8" x14ac:dyDescent="0.2">
      <c r="A149" s="6" t="s">
        <v>163</v>
      </c>
      <c r="B149" s="7">
        <v>137</v>
      </c>
      <c r="C149" s="7">
        <v>33</v>
      </c>
      <c r="D149" s="7">
        <v>0.2409</v>
      </c>
      <c r="E149" s="7">
        <v>0.17699999999999999</v>
      </c>
      <c r="F149" s="8" t="s">
        <v>17</v>
      </c>
      <c r="G149" s="8" t="s">
        <v>17</v>
      </c>
      <c r="H149" t="str">
        <f t="shared" si="2"/>
        <v>YES</v>
      </c>
    </row>
    <row r="150" spans="1:8" x14ac:dyDescent="0.2">
      <c r="A150" s="6" t="s">
        <v>164</v>
      </c>
      <c r="B150" s="7">
        <v>158</v>
      </c>
      <c r="C150" s="7">
        <v>37</v>
      </c>
      <c r="D150" s="7">
        <v>0.23419999999999999</v>
      </c>
      <c r="E150" s="7">
        <v>0.1749</v>
      </c>
      <c r="F150" s="8" t="s">
        <v>17</v>
      </c>
      <c r="G150" s="8" t="s">
        <v>17</v>
      </c>
      <c r="H150" t="str">
        <f t="shared" si="2"/>
        <v>YES</v>
      </c>
    </row>
    <row r="151" spans="1:8" x14ac:dyDescent="0.2">
      <c r="A151" s="6" t="s">
        <v>165</v>
      </c>
      <c r="B151" s="7">
        <v>37</v>
      </c>
      <c r="C151" s="7">
        <v>11</v>
      </c>
      <c r="D151" s="7">
        <v>0.29730000000000001</v>
      </c>
      <c r="E151" s="7">
        <v>0.1749</v>
      </c>
      <c r="F151" s="8" t="s">
        <v>17</v>
      </c>
      <c r="G151" s="8" t="s">
        <v>94</v>
      </c>
      <c r="H151" t="str">
        <f t="shared" si="2"/>
        <v>NO</v>
      </c>
    </row>
    <row r="152" spans="1:8" x14ac:dyDescent="0.2">
      <c r="A152" s="6" t="s">
        <v>166</v>
      </c>
      <c r="B152" s="7">
        <v>592</v>
      </c>
      <c r="C152" s="7">
        <v>120</v>
      </c>
      <c r="D152" s="7">
        <v>0.20269999999999999</v>
      </c>
      <c r="E152" s="7">
        <v>0.17230000000000001</v>
      </c>
      <c r="F152" s="8" t="s">
        <v>17</v>
      </c>
      <c r="G152" s="8" t="s">
        <v>17</v>
      </c>
      <c r="H152" t="str">
        <f t="shared" si="2"/>
        <v>YES</v>
      </c>
    </row>
    <row r="153" spans="1:8" x14ac:dyDescent="0.2">
      <c r="A153" s="6" t="s">
        <v>167</v>
      </c>
      <c r="B153" s="7">
        <v>21</v>
      </c>
      <c r="C153" s="7">
        <v>7</v>
      </c>
      <c r="D153" s="7">
        <v>0.33329999999999999</v>
      </c>
      <c r="E153" s="7">
        <v>0.1719</v>
      </c>
      <c r="F153" s="8" t="s">
        <v>17</v>
      </c>
      <c r="G153" s="8" t="s">
        <v>17</v>
      </c>
      <c r="H153" t="str">
        <f t="shared" si="2"/>
        <v>YES</v>
      </c>
    </row>
    <row r="154" spans="1:8" x14ac:dyDescent="0.2">
      <c r="A154" s="6" t="s">
        <v>168</v>
      </c>
      <c r="B154" s="7">
        <v>171</v>
      </c>
      <c r="C154" s="7">
        <v>39</v>
      </c>
      <c r="D154" s="7">
        <v>0.2281</v>
      </c>
      <c r="E154" s="7">
        <v>0.1716</v>
      </c>
      <c r="F154" s="8" t="s">
        <v>17</v>
      </c>
      <c r="G154" s="8" t="s">
        <v>17</v>
      </c>
      <c r="H154" t="str">
        <f t="shared" si="2"/>
        <v>YES</v>
      </c>
    </row>
    <row r="155" spans="1:8" x14ac:dyDescent="0.2">
      <c r="A155" s="6" t="s">
        <v>169</v>
      </c>
      <c r="B155" s="7">
        <v>56</v>
      </c>
      <c r="C155" s="7">
        <v>15</v>
      </c>
      <c r="D155" s="7">
        <v>0.26790000000000003</v>
      </c>
      <c r="E155" s="7">
        <v>0.1696</v>
      </c>
      <c r="F155" s="8" t="s">
        <v>17</v>
      </c>
      <c r="G155" s="8" t="s">
        <v>17</v>
      </c>
      <c r="H155" t="str">
        <f t="shared" si="2"/>
        <v>YES</v>
      </c>
    </row>
    <row r="156" spans="1:8" x14ac:dyDescent="0.2">
      <c r="A156" s="6" t="s">
        <v>170</v>
      </c>
      <c r="B156" s="7">
        <v>158</v>
      </c>
      <c r="C156" s="7">
        <v>36</v>
      </c>
      <c r="D156" s="7">
        <v>0.2278</v>
      </c>
      <c r="E156" s="7">
        <v>0.1694</v>
      </c>
      <c r="F156" s="8" t="s">
        <v>17</v>
      </c>
      <c r="G156" s="8" t="s">
        <v>35</v>
      </c>
      <c r="H156" t="str">
        <f t="shared" si="2"/>
        <v>NO</v>
      </c>
    </row>
    <row r="157" spans="1:8" x14ac:dyDescent="0.2">
      <c r="A157" s="6" t="s">
        <v>171</v>
      </c>
      <c r="B157" s="7">
        <v>261</v>
      </c>
      <c r="C157" s="7">
        <v>55</v>
      </c>
      <c r="D157" s="7">
        <v>0.2107</v>
      </c>
      <c r="E157" s="7">
        <v>0.1656</v>
      </c>
      <c r="F157" s="8" t="s">
        <v>17</v>
      </c>
      <c r="G157" s="8" t="s">
        <v>17</v>
      </c>
      <c r="H157" t="str">
        <f t="shared" si="2"/>
        <v>YES</v>
      </c>
    </row>
    <row r="158" spans="1:8" x14ac:dyDescent="0.2">
      <c r="A158" s="6" t="s">
        <v>172</v>
      </c>
      <c r="B158" s="7">
        <v>26</v>
      </c>
      <c r="C158" s="7">
        <v>8</v>
      </c>
      <c r="D158" s="7">
        <v>0.30769999999999997</v>
      </c>
      <c r="E158" s="7">
        <v>0.16500000000000001</v>
      </c>
      <c r="F158" s="8" t="s">
        <v>17</v>
      </c>
      <c r="G158" s="8" t="s">
        <v>17</v>
      </c>
      <c r="H158" t="str">
        <f t="shared" si="2"/>
        <v>YES</v>
      </c>
    </row>
    <row r="159" spans="1:8" x14ac:dyDescent="0.2">
      <c r="A159" s="6" t="s">
        <v>173</v>
      </c>
      <c r="B159" s="7">
        <v>67</v>
      </c>
      <c r="C159" s="7">
        <v>17</v>
      </c>
      <c r="D159" s="7">
        <v>0.25369999999999998</v>
      </c>
      <c r="E159" s="7">
        <v>0.16489999999999999</v>
      </c>
      <c r="F159" s="8" t="s">
        <v>17</v>
      </c>
      <c r="G159" s="8" t="s">
        <v>17</v>
      </c>
      <c r="H159" t="str">
        <f t="shared" si="2"/>
        <v>YES</v>
      </c>
    </row>
    <row r="160" spans="1:8" x14ac:dyDescent="0.2">
      <c r="A160" s="6" t="s">
        <v>174</v>
      </c>
      <c r="B160" s="7">
        <v>63</v>
      </c>
      <c r="C160" s="7">
        <v>16</v>
      </c>
      <c r="D160" s="7">
        <v>0.254</v>
      </c>
      <c r="E160" s="7">
        <v>0.1628</v>
      </c>
      <c r="F160" s="8" t="s">
        <v>17</v>
      </c>
      <c r="G160" s="8" t="s">
        <v>17</v>
      </c>
      <c r="H160" t="str">
        <f t="shared" si="2"/>
        <v>YES</v>
      </c>
    </row>
    <row r="161" spans="1:8" x14ac:dyDescent="0.2">
      <c r="A161" s="6" t="s">
        <v>175</v>
      </c>
      <c r="B161" s="7">
        <v>18</v>
      </c>
      <c r="C161" s="7">
        <v>6</v>
      </c>
      <c r="D161" s="7">
        <v>0.33329999999999999</v>
      </c>
      <c r="E161" s="7">
        <v>0.1628</v>
      </c>
      <c r="F161" s="8" t="s">
        <v>17</v>
      </c>
      <c r="G161" s="8" t="s">
        <v>17</v>
      </c>
      <c r="H161" t="str">
        <f t="shared" si="2"/>
        <v>YES</v>
      </c>
    </row>
    <row r="162" spans="1:8" x14ac:dyDescent="0.2">
      <c r="A162" s="6" t="s">
        <v>176</v>
      </c>
      <c r="B162" s="7">
        <v>157</v>
      </c>
      <c r="C162" s="7">
        <v>34</v>
      </c>
      <c r="D162" s="7">
        <v>0.21659999999999999</v>
      </c>
      <c r="E162" s="7">
        <v>0.1593</v>
      </c>
      <c r="F162" s="8" t="s">
        <v>17</v>
      </c>
      <c r="G162" s="8" t="s">
        <v>35</v>
      </c>
      <c r="H162" t="str">
        <f t="shared" si="2"/>
        <v>NO</v>
      </c>
    </row>
    <row r="163" spans="1:8" x14ac:dyDescent="0.2">
      <c r="A163" s="6" t="s">
        <v>177</v>
      </c>
      <c r="B163" s="7">
        <v>36</v>
      </c>
      <c r="C163" s="7">
        <v>10</v>
      </c>
      <c r="D163" s="7">
        <v>0.27779999999999999</v>
      </c>
      <c r="E163" s="7">
        <v>0.1585</v>
      </c>
      <c r="F163" s="8" t="s">
        <v>17</v>
      </c>
      <c r="G163" s="8" t="s">
        <v>35</v>
      </c>
      <c r="H163" t="str">
        <f t="shared" si="2"/>
        <v>NO</v>
      </c>
    </row>
    <row r="164" spans="1:8" x14ac:dyDescent="0.2">
      <c r="A164" s="6" t="s">
        <v>178</v>
      </c>
      <c r="B164" s="7">
        <v>7</v>
      </c>
      <c r="C164" s="7">
        <v>3</v>
      </c>
      <c r="D164" s="7">
        <v>0.42859999999999998</v>
      </c>
      <c r="E164" s="7">
        <v>0.15820000000000001</v>
      </c>
      <c r="F164" s="8" t="s">
        <v>17</v>
      </c>
      <c r="G164" s="8" t="s">
        <v>17</v>
      </c>
      <c r="H164" t="str">
        <f t="shared" si="2"/>
        <v>YES</v>
      </c>
    </row>
    <row r="165" spans="1:8" x14ac:dyDescent="0.2">
      <c r="A165" s="6" t="s">
        <v>179</v>
      </c>
      <c r="B165" s="7">
        <v>7</v>
      </c>
      <c r="C165" s="7">
        <v>3</v>
      </c>
      <c r="D165" s="7">
        <v>0.42859999999999998</v>
      </c>
      <c r="E165" s="7">
        <v>0.15820000000000001</v>
      </c>
      <c r="F165" s="8" t="s">
        <v>17</v>
      </c>
      <c r="G165" s="8" t="s">
        <v>35</v>
      </c>
      <c r="H165" t="str">
        <f t="shared" si="2"/>
        <v>NO</v>
      </c>
    </row>
    <row r="166" spans="1:8" x14ac:dyDescent="0.2">
      <c r="A166" s="6" t="s">
        <v>180</v>
      </c>
      <c r="B166" s="7">
        <v>7</v>
      </c>
      <c r="C166" s="7">
        <v>3</v>
      </c>
      <c r="D166" s="7">
        <v>0.42859999999999998</v>
      </c>
      <c r="E166" s="7">
        <v>0.15820000000000001</v>
      </c>
      <c r="F166" s="8" t="s">
        <v>17</v>
      </c>
      <c r="G166" s="8" t="s">
        <v>35</v>
      </c>
      <c r="H166" t="str">
        <f t="shared" si="2"/>
        <v>NO</v>
      </c>
    </row>
    <row r="167" spans="1:8" x14ac:dyDescent="0.2">
      <c r="A167" s="6" t="s">
        <v>181</v>
      </c>
      <c r="B167" s="7">
        <v>7</v>
      </c>
      <c r="C167" s="7">
        <v>3</v>
      </c>
      <c r="D167" s="7">
        <v>0.42859999999999998</v>
      </c>
      <c r="E167" s="7">
        <v>0.15820000000000001</v>
      </c>
      <c r="F167" s="8" t="s">
        <v>17</v>
      </c>
      <c r="G167" s="8" t="s">
        <v>35</v>
      </c>
      <c r="H167" t="str">
        <f t="shared" si="2"/>
        <v>NO</v>
      </c>
    </row>
    <row r="168" spans="1:8" x14ac:dyDescent="0.2">
      <c r="A168" s="6" t="s">
        <v>182</v>
      </c>
      <c r="B168" s="7">
        <v>688</v>
      </c>
      <c r="C168" s="7">
        <v>127</v>
      </c>
      <c r="D168" s="7">
        <v>0.18459999999999999</v>
      </c>
      <c r="E168" s="7">
        <v>0.15740000000000001</v>
      </c>
      <c r="F168" s="8" t="s">
        <v>17</v>
      </c>
      <c r="G168" s="8" t="s">
        <v>17</v>
      </c>
      <c r="H168" t="str">
        <f t="shared" si="2"/>
        <v>YES</v>
      </c>
    </row>
    <row r="169" spans="1:8" x14ac:dyDescent="0.2">
      <c r="A169" s="6" t="s">
        <v>183</v>
      </c>
      <c r="B169" s="7">
        <v>41</v>
      </c>
      <c r="C169" s="7">
        <v>11</v>
      </c>
      <c r="D169" s="7">
        <v>0.26829999999999998</v>
      </c>
      <c r="E169" s="7">
        <v>0.15690000000000001</v>
      </c>
      <c r="F169" s="8" t="s">
        <v>17</v>
      </c>
      <c r="G169" s="8" t="s">
        <v>17</v>
      </c>
      <c r="H169" t="str">
        <f t="shared" si="2"/>
        <v>YES</v>
      </c>
    </row>
    <row r="170" spans="1:8" x14ac:dyDescent="0.2">
      <c r="A170" s="6" t="s">
        <v>184</v>
      </c>
      <c r="B170" s="7">
        <v>117</v>
      </c>
      <c r="C170" s="7">
        <v>26</v>
      </c>
      <c r="D170" s="7">
        <v>0.22220000000000001</v>
      </c>
      <c r="E170" s="7">
        <v>0.15640000000000001</v>
      </c>
      <c r="F170" s="8" t="s">
        <v>17</v>
      </c>
      <c r="G170" s="8" t="s">
        <v>17</v>
      </c>
      <c r="H170" t="str">
        <f t="shared" si="2"/>
        <v>YES</v>
      </c>
    </row>
    <row r="171" spans="1:8" x14ac:dyDescent="0.2">
      <c r="A171" s="6" t="s">
        <v>185</v>
      </c>
      <c r="B171" s="7">
        <v>586</v>
      </c>
      <c r="C171" s="7">
        <v>107</v>
      </c>
      <c r="D171" s="7">
        <v>0.18260000000000001</v>
      </c>
      <c r="E171" s="7">
        <v>0.15340000000000001</v>
      </c>
      <c r="F171" s="8" t="s">
        <v>17</v>
      </c>
      <c r="G171" s="8" t="s">
        <v>17</v>
      </c>
      <c r="H171" t="str">
        <f t="shared" si="2"/>
        <v>YES</v>
      </c>
    </row>
    <row r="172" spans="1:8" x14ac:dyDescent="0.2">
      <c r="A172" s="6" t="s">
        <v>186</v>
      </c>
      <c r="B172" s="7">
        <v>136</v>
      </c>
      <c r="C172" s="7">
        <v>29</v>
      </c>
      <c r="D172" s="7">
        <v>0.2132</v>
      </c>
      <c r="E172" s="7">
        <v>0.15279999999999999</v>
      </c>
      <c r="F172" s="8" t="s">
        <v>17</v>
      </c>
      <c r="G172" s="8" t="s">
        <v>17</v>
      </c>
      <c r="H172" t="str">
        <f t="shared" si="2"/>
        <v>YES</v>
      </c>
    </row>
    <row r="173" spans="1:8" x14ac:dyDescent="0.2">
      <c r="A173" s="6" t="s">
        <v>187</v>
      </c>
      <c r="B173" s="7">
        <v>62</v>
      </c>
      <c r="C173" s="7">
        <v>15</v>
      </c>
      <c r="D173" s="7">
        <v>0.2419</v>
      </c>
      <c r="E173" s="7">
        <v>0.1525</v>
      </c>
      <c r="F173" s="8" t="s">
        <v>17</v>
      </c>
      <c r="G173" s="8" t="s">
        <v>17</v>
      </c>
      <c r="H173" t="str">
        <f t="shared" si="2"/>
        <v>YES</v>
      </c>
    </row>
    <row r="174" spans="1:8" x14ac:dyDescent="0.2">
      <c r="A174" s="6" t="s">
        <v>188</v>
      </c>
      <c r="B174" s="7">
        <v>57</v>
      </c>
      <c r="C174" s="7">
        <v>14</v>
      </c>
      <c r="D174" s="7">
        <v>0.24560000000000001</v>
      </c>
      <c r="E174" s="7">
        <v>0.15229999999999999</v>
      </c>
      <c r="F174" s="8" t="s">
        <v>17</v>
      </c>
      <c r="G174" s="8" t="s">
        <v>17</v>
      </c>
      <c r="H174" t="str">
        <f t="shared" si="2"/>
        <v>YES</v>
      </c>
    </row>
    <row r="175" spans="1:8" x14ac:dyDescent="0.2">
      <c r="A175" s="6" t="s">
        <v>189</v>
      </c>
      <c r="B175" s="7">
        <v>15</v>
      </c>
      <c r="C175" s="7">
        <v>5</v>
      </c>
      <c r="D175" s="7">
        <v>0.33329999999999999</v>
      </c>
      <c r="E175" s="7">
        <v>0.15179999999999999</v>
      </c>
      <c r="F175" s="8" t="s">
        <v>17</v>
      </c>
      <c r="G175" s="8" t="s">
        <v>17</v>
      </c>
      <c r="H175" t="str">
        <f t="shared" si="2"/>
        <v>YES</v>
      </c>
    </row>
    <row r="176" spans="1:8" x14ac:dyDescent="0.2">
      <c r="A176" s="6" t="s">
        <v>190</v>
      </c>
      <c r="B176" s="7">
        <v>4</v>
      </c>
      <c r="C176" s="7">
        <v>2</v>
      </c>
      <c r="D176" s="7">
        <v>0.5</v>
      </c>
      <c r="E176" s="7">
        <v>0.15</v>
      </c>
      <c r="F176" s="8" t="s">
        <v>17</v>
      </c>
      <c r="G176" s="8" t="s">
        <v>17</v>
      </c>
      <c r="H176" t="str">
        <f t="shared" si="2"/>
        <v>YES</v>
      </c>
    </row>
    <row r="177" spans="1:8" x14ac:dyDescent="0.2">
      <c r="A177" s="6" t="s">
        <v>191</v>
      </c>
      <c r="B177" s="7">
        <v>4</v>
      </c>
      <c r="C177" s="7">
        <v>2</v>
      </c>
      <c r="D177" s="7">
        <v>0.5</v>
      </c>
      <c r="E177" s="7">
        <v>0.15</v>
      </c>
      <c r="F177" s="8" t="s">
        <v>17</v>
      </c>
      <c r="G177" s="8" t="s">
        <v>17</v>
      </c>
      <c r="H177" t="str">
        <f t="shared" si="2"/>
        <v>YES</v>
      </c>
    </row>
    <row r="178" spans="1:8" x14ac:dyDescent="0.2">
      <c r="A178" s="6" t="s">
        <v>192</v>
      </c>
      <c r="B178" s="7">
        <v>4</v>
      </c>
      <c r="C178" s="7">
        <v>2</v>
      </c>
      <c r="D178" s="7">
        <v>0.5</v>
      </c>
      <c r="E178" s="7">
        <v>0.15</v>
      </c>
      <c r="F178" s="8" t="s">
        <v>17</v>
      </c>
      <c r="G178" s="8" t="s">
        <v>17</v>
      </c>
      <c r="H178" t="str">
        <f t="shared" si="2"/>
        <v>YES</v>
      </c>
    </row>
    <row r="179" spans="1:8" x14ac:dyDescent="0.2">
      <c r="A179" s="6" t="s">
        <v>193</v>
      </c>
      <c r="B179" s="7">
        <v>190</v>
      </c>
      <c r="C179" s="7">
        <v>38</v>
      </c>
      <c r="D179" s="7">
        <v>0.2</v>
      </c>
      <c r="E179" s="7">
        <v>0.14929999999999999</v>
      </c>
      <c r="F179" s="8" t="s">
        <v>17</v>
      </c>
      <c r="G179" s="8" t="s">
        <v>17</v>
      </c>
      <c r="H179" t="str">
        <f t="shared" si="2"/>
        <v>YES</v>
      </c>
    </row>
    <row r="180" spans="1:8" x14ac:dyDescent="0.2">
      <c r="A180" s="6" t="s">
        <v>194</v>
      </c>
      <c r="B180" s="7">
        <v>20</v>
      </c>
      <c r="C180" s="7">
        <v>6</v>
      </c>
      <c r="D180" s="7">
        <v>0.3</v>
      </c>
      <c r="E180" s="7">
        <v>0.14549999999999999</v>
      </c>
      <c r="F180" s="8" t="s">
        <v>17</v>
      </c>
      <c r="G180" s="8" t="s">
        <v>17</v>
      </c>
      <c r="H180" t="str">
        <f t="shared" si="2"/>
        <v>YES</v>
      </c>
    </row>
    <row r="181" spans="1:8" x14ac:dyDescent="0.2">
      <c r="A181" s="6" t="s">
        <v>195</v>
      </c>
      <c r="B181" s="7">
        <v>98</v>
      </c>
      <c r="C181" s="7">
        <v>21</v>
      </c>
      <c r="D181" s="7">
        <v>0.21429999999999999</v>
      </c>
      <c r="E181" s="7">
        <v>0.14460000000000001</v>
      </c>
      <c r="F181" s="8" t="s">
        <v>17</v>
      </c>
      <c r="G181" s="8" t="s">
        <v>35</v>
      </c>
      <c r="H181" t="str">
        <f t="shared" si="2"/>
        <v>NO</v>
      </c>
    </row>
    <row r="182" spans="1:8" x14ac:dyDescent="0.2">
      <c r="A182" s="6" t="s">
        <v>196</v>
      </c>
      <c r="B182" s="7">
        <v>268</v>
      </c>
      <c r="C182" s="7">
        <v>50</v>
      </c>
      <c r="D182" s="7">
        <v>0.18659999999999999</v>
      </c>
      <c r="E182" s="7">
        <v>0.14449999999999999</v>
      </c>
      <c r="F182" s="8" t="s">
        <v>17</v>
      </c>
      <c r="G182" s="8" t="s">
        <v>17</v>
      </c>
      <c r="H182" t="str">
        <f t="shared" si="2"/>
        <v>YES</v>
      </c>
    </row>
    <row r="183" spans="1:8" x14ac:dyDescent="0.2">
      <c r="A183" s="6" t="s">
        <v>197</v>
      </c>
      <c r="B183" s="7">
        <v>66</v>
      </c>
      <c r="C183" s="7">
        <v>15</v>
      </c>
      <c r="D183" s="7">
        <v>0.2273</v>
      </c>
      <c r="E183" s="7">
        <v>0.1429</v>
      </c>
      <c r="F183" s="8" t="s">
        <v>17</v>
      </c>
      <c r="G183" s="8" t="s">
        <v>17</v>
      </c>
      <c r="H183" t="str">
        <f t="shared" si="2"/>
        <v>YES</v>
      </c>
    </row>
    <row r="184" spans="1:8" x14ac:dyDescent="0.2">
      <c r="A184" s="6" t="s">
        <v>198</v>
      </c>
      <c r="B184" s="7">
        <v>16</v>
      </c>
      <c r="C184" s="7">
        <v>5</v>
      </c>
      <c r="D184" s="7">
        <v>0.3125</v>
      </c>
      <c r="E184" s="7">
        <v>0.1416</v>
      </c>
      <c r="F184" s="8" t="s">
        <v>17</v>
      </c>
      <c r="G184" s="8" t="s">
        <v>35</v>
      </c>
      <c r="H184" t="str">
        <f t="shared" si="2"/>
        <v>NO</v>
      </c>
    </row>
    <row r="185" spans="1:8" x14ac:dyDescent="0.2">
      <c r="A185" s="6" t="s">
        <v>199</v>
      </c>
      <c r="B185" s="7">
        <v>85</v>
      </c>
      <c r="C185" s="7">
        <v>18</v>
      </c>
      <c r="D185" s="7">
        <v>0.21179999999999999</v>
      </c>
      <c r="E185" s="7">
        <v>0.1384</v>
      </c>
      <c r="F185" s="8" t="s">
        <v>17</v>
      </c>
      <c r="G185" s="8" t="s">
        <v>17</v>
      </c>
      <c r="H185" t="str">
        <f t="shared" si="2"/>
        <v>YES</v>
      </c>
    </row>
    <row r="186" spans="1:8" x14ac:dyDescent="0.2">
      <c r="A186" s="6" t="s">
        <v>200</v>
      </c>
      <c r="B186" s="7">
        <v>12</v>
      </c>
      <c r="C186" s="7">
        <v>4</v>
      </c>
      <c r="D186" s="7">
        <v>0.33329999999999999</v>
      </c>
      <c r="E186" s="7">
        <v>0.1381</v>
      </c>
      <c r="F186" s="8" t="s">
        <v>17</v>
      </c>
      <c r="G186" s="8" t="s">
        <v>17</v>
      </c>
      <c r="H186" t="str">
        <f t="shared" si="2"/>
        <v>YES</v>
      </c>
    </row>
    <row r="187" spans="1:8" x14ac:dyDescent="0.2">
      <c r="A187" s="6" t="s">
        <v>201</v>
      </c>
      <c r="B187" s="7">
        <v>12</v>
      </c>
      <c r="C187" s="7">
        <v>4</v>
      </c>
      <c r="D187" s="7">
        <v>0.33329999999999999</v>
      </c>
      <c r="E187" s="7">
        <v>0.1381</v>
      </c>
      <c r="F187" s="8" t="s">
        <v>17</v>
      </c>
      <c r="G187" s="8" t="s">
        <v>17</v>
      </c>
      <c r="H187" t="str">
        <f t="shared" si="2"/>
        <v>YES</v>
      </c>
    </row>
    <row r="188" spans="1:8" x14ac:dyDescent="0.2">
      <c r="A188" s="6" t="s">
        <v>202</v>
      </c>
      <c r="B188" s="7">
        <v>218</v>
      </c>
      <c r="C188" s="7">
        <v>40</v>
      </c>
      <c r="D188" s="7">
        <v>0.1835</v>
      </c>
      <c r="E188" s="7">
        <v>0.13769999999999999</v>
      </c>
      <c r="F188" s="8" t="s">
        <v>17</v>
      </c>
      <c r="G188" s="8" t="s">
        <v>17</v>
      </c>
      <c r="H188" t="str">
        <f t="shared" si="2"/>
        <v>YES</v>
      </c>
    </row>
    <row r="189" spans="1:8" x14ac:dyDescent="0.2">
      <c r="A189" s="6" t="s">
        <v>203</v>
      </c>
      <c r="B189" s="7">
        <v>332</v>
      </c>
      <c r="C189" s="7">
        <v>58</v>
      </c>
      <c r="D189" s="7">
        <v>0.17469999999999999</v>
      </c>
      <c r="E189" s="7">
        <v>0.1376</v>
      </c>
      <c r="F189" s="8" t="s">
        <v>17</v>
      </c>
      <c r="G189" s="8" t="s">
        <v>35</v>
      </c>
      <c r="H189" t="str">
        <f t="shared" si="2"/>
        <v>NO</v>
      </c>
    </row>
    <row r="190" spans="1:8" x14ac:dyDescent="0.2">
      <c r="A190" s="6" t="s">
        <v>204</v>
      </c>
      <c r="B190" s="7">
        <v>8</v>
      </c>
      <c r="C190" s="7">
        <v>3</v>
      </c>
      <c r="D190" s="7">
        <v>0.375</v>
      </c>
      <c r="E190" s="7">
        <v>0.1368</v>
      </c>
      <c r="F190" s="8" t="s">
        <v>17</v>
      </c>
      <c r="G190" s="8" t="s">
        <v>17</v>
      </c>
      <c r="H190" t="str">
        <f t="shared" si="2"/>
        <v>YES</v>
      </c>
    </row>
    <row r="191" spans="1:8" x14ac:dyDescent="0.2">
      <c r="A191" s="6" t="s">
        <v>205</v>
      </c>
      <c r="B191" s="7">
        <v>183</v>
      </c>
      <c r="C191" s="7">
        <v>34</v>
      </c>
      <c r="D191" s="7">
        <v>0.18579999999999999</v>
      </c>
      <c r="E191" s="7">
        <v>0.1361</v>
      </c>
      <c r="F191" s="8" t="s">
        <v>17</v>
      </c>
      <c r="G191" s="8" t="s">
        <v>35</v>
      </c>
      <c r="H191" t="str">
        <f t="shared" si="2"/>
        <v>NO</v>
      </c>
    </row>
    <row r="192" spans="1:8" x14ac:dyDescent="0.2">
      <c r="A192" s="6" t="s">
        <v>206</v>
      </c>
      <c r="B192" s="7">
        <v>272</v>
      </c>
      <c r="C192" s="7">
        <v>48</v>
      </c>
      <c r="D192" s="7">
        <v>0.17649999999999999</v>
      </c>
      <c r="E192" s="7">
        <v>0.1358</v>
      </c>
      <c r="F192" s="8" t="s">
        <v>17</v>
      </c>
      <c r="G192" s="8" t="s">
        <v>17</v>
      </c>
      <c r="H192" t="str">
        <f t="shared" si="2"/>
        <v>YES</v>
      </c>
    </row>
    <row r="193" spans="1:8" x14ac:dyDescent="0.2">
      <c r="A193" s="6" t="s">
        <v>207</v>
      </c>
      <c r="B193" s="7">
        <v>42</v>
      </c>
      <c r="C193" s="7">
        <v>10</v>
      </c>
      <c r="D193" s="7">
        <v>0.23810000000000001</v>
      </c>
      <c r="E193" s="7">
        <v>0.1348</v>
      </c>
      <c r="F193" s="8" t="s">
        <v>17</v>
      </c>
      <c r="G193" s="8" t="s">
        <v>17</v>
      </c>
      <c r="H193" t="str">
        <f t="shared" si="2"/>
        <v>YES</v>
      </c>
    </row>
    <row r="194" spans="1:8" x14ac:dyDescent="0.2">
      <c r="A194" s="6" t="s">
        <v>208</v>
      </c>
      <c r="B194" s="7">
        <v>139</v>
      </c>
      <c r="C194" s="7">
        <v>26</v>
      </c>
      <c r="D194" s="7">
        <v>0.18709999999999999</v>
      </c>
      <c r="E194" s="7">
        <v>0.13100000000000001</v>
      </c>
      <c r="F194" s="8" t="s">
        <v>17</v>
      </c>
      <c r="G194" s="8" t="s">
        <v>17</v>
      </c>
      <c r="H194" t="str">
        <f t="shared" si="2"/>
        <v>YES</v>
      </c>
    </row>
    <row r="195" spans="1:8" x14ac:dyDescent="0.2">
      <c r="A195" s="6" t="s">
        <v>209</v>
      </c>
      <c r="B195" s="7">
        <v>716</v>
      </c>
      <c r="C195" s="7">
        <v>111</v>
      </c>
      <c r="D195" s="7">
        <v>0.155</v>
      </c>
      <c r="E195" s="7">
        <v>0.13039999999999999</v>
      </c>
      <c r="F195" s="8" t="s">
        <v>17</v>
      </c>
      <c r="G195" s="8" t="s">
        <v>17</v>
      </c>
      <c r="H195" t="str">
        <f t="shared" si="2"/>
        <v>YES</v>
      </c>
    </row>
    <row r="196" spans="1:8" x14ac:dyDescent="0.2">
      <c r="A196" s="6" t="s">
        <v>210</v>
      </c>
      <c r="B196" s="7">
        <v>44</v>
      </c>
      <c r="C196" s="7">
        <v>10</v>
      </c>
      <c r="D196" s="7">
        <v>0.2273</v>
      </c>
      <c r="E196" s="7">
        <v>0.12839999999999999</v>
      </c>
      <c r="F196" s="8" t="s">
        <v>17</v>
      </c>
      <c r="G196" s="8" t="s">
        <v>17</v>
      </c>
      <c r="H196" t="str">
        <f t="shared" si="2"/>
        <v>YES</v>
      </c>
    </row>
    <row r="197" spans="1:8" x14ac:dyDescent="0.2">
      <c r="A197" s="6" t="s">
        <v>211</v>
      </c>
      <c r="B197" s="7">
        <v>360</v>
      </c>
      <c r="C197" s="7">
        <v>58</v>
      </c>
      <c r="D197" s="7">
        <v>0.16109999999999999</v>
      </c>
      <c r="E197" s="7">
        <v>0.12670000000000001</v>
      </c>
      <c r="F197" s="8" t="s">
        <v>17</v>
      </c>
      <c r="G197" s="8" t="s">
        <v>17</v>
      </c>
      <c r="H197" t="str">
        <f t="shared" ref="H197:H260" si="3">IF(F197=G197,"YES","NO")</f>
        <v>YES</v>
      </c>
    </row>
    <row r="198" spans="1:8" x14ac:dyDescent="0.2">
      <c r="A198" s="6" t="s">
        <v>212</v>
      </c>
      <c r="B198" s="7">
        <v>148</v>
      </c>
      <c r="C198" s="7">
        <v>26</v>
      </c>
      <c r="D198" s="7">
        <v>0.1757</v>
      </c>
      <c r="E198" s="7">
        <v>0.12280000000000001</v>
      </c>
      <c r="F198" s="8" t="s">
        <v>17</v>
      </c>
      <c r="G198" s="8" t="s">
        <v>35</v>
      </c>
      <c r="H198" t="str">
        <f t="shared" si="3"/>
        <v>NO</v>
      </c>
    </row>
    <row r="199" spans="1:8" x14ac:dyDescent="0.2">
      <c r="A199" s="6" t="s">
        <v>213</v>
      </c>
      <c r="B199" s="7">
        <v>46</v>
      </c>
      <c r="C199" s="7">
        <v>10</v>
      </c>
      <c r="D199" s="7">
        <v>0.21740000000000001</v>
      </c>
      <c r="E199" s="7">
        <v>0.1226</v>
      </c>
      <c r="F199" s="8" t="s">
        <v>17</v>
      </c>
      <c r="G199" s="8" t="s">
        <v>35</v>
      </c>
      <c r="H199" t="str">
        <f t="shared" si="3"/>
        <v>NO</v>
      </c>
    </row>
    <row r="200" spans="1:8" x14ac:dyDescent="0.2">
      <c r="A200" s="6" t="s">
        <v>214</v>
      </c>
      <c r="B200" s="7">
        <v>77</v>
      </c>
      <c r="C200" s="7">
        <v>15</v>
      </c>
      <c r="D200" s="7">
        <v>0.1948</v>
      </c>
      <c r="E200" s="7">
        <v>0.12180000000000001</v>
      </c>
      <c r="F200" s="8" t="s">
        <v>17</v>
      </c>
      <c r="G200" s="8" t="s">
        <v>35</v>
      </c>
      <c r="H200" t="str">
        <f t="shared" si="3"/>
        <v>NO</v>
      </c>
    </row>
    <row r="201" spans="1:8" x14ac:dyDescent="0.2">
      <c r="A201" s="6" t="s">
        <v>215</v>
      </c>
      <c r="B201" s="7">
        <v>137</v>
      </c>
      <c r="C201" s="7">
        <v>24</v>
      </c>
      <c r="D201" s="7">
        <v>0.17519999999999999</v>
      </c>
      <c r="E201" s="7">
        <v>0.1206</v>
      </c>
      <c r="F201" s="8" t="s">
        <v>17</v>
      </c>
      <c r="G201" s="8" t="s">
        <v>17</v>
      </c>
      <c r="H201" t="str">
        <f t="shared" si="3"/>
        <v>YES</v>
      </c>
    </row>
    <row r="202" spans="1:8" x14ac:dyDescent="0.2">
      <c r="A202" s="6" t="s">
        <v>216</v>
      </c>
      <c r="B202" s="7">
        <v>213</v>
      </c>
      <c r="C202" s="7">
        <v>35</v>
      </c>
      <c r="D202" s="7">
        <v>0.1643</v>
      </c>
      <c r="E202" s="7">
        <v>0.1206</v>
      </c>
      <c r="F202" s="8" t="s">
        <v>17</v>
      </c>
      <c r="G202" s="8" t="s">
        <v>17</v>
      </c>
      <c r="H202" t="str">
        <f t="shared" si="3"/>
        <v>YES</v>
      </c>
    </row>
    <row r="203" spans="1:8" x14ac:dyDescent="0.2">
      <c r="A203" s="6" t="s">
        <v>217</v>
      </c>
      <c r="B203" s="7">
        <v>256</v>
      </c>
      <c r="C203" s="7">
        <v>41</v>
      </c>
      <c r="D203" s="7">
        <v>0.16020000000000001</v>
      </c>
      <c r="E203" s="7">
        <v>0.1203</v>
      </c>
      <c r="F203" s="8" t="s">
        <v>17</v>
      </c>
      <c r="G203" s="8" t="s">
        <v>17</v>
      </c>
      <c r="H203" t="str">
        <f t="shared" si="3"/>
        <v>YES</v>
      </c>
    </row>
    <row r="204" spans="1:8" x14ac:dyDescent="0.2">
      <c r="A204" s="6" t="s">
        <v>218</v>
      </c>
      <c r="B204" s="7">
        <v>179</v>
      </c>
      <c r="C204" s="7">
        <v>30</v>
      </c>
      <c r="D204" s="7">
        <v>0.1676</v>
      </c>
      <c r="E204" s="7">
        <v>0.12</v>
      </c>
      <c r="F204" s="8" t="s">
        <v>17</v>
      </c>
      <c r="G204" s="8" t="s">
        <v>17</v>
      </c>
      <c r="H204" t="str">
        <f t="shared" si="3"/>
        <v>YES</v>
      </c>
    </row>
    <row r="205" spans="1:8" x14ac:dyDescent="0.2">
      <c r="A205" s="6" t="s">
        <v>219</v>
      </c>
      <c r="B205" s="7">
        <v>111</v>
      </c>
      <c r="C205" s="7">
        <v>20</v>
      </c>
      <c r="D205" s="7">
        <v>0.1802</v>
      </c>
      <c r="E205" s="7">
        <v>0.1198</v>
      </c>
      <c r="F205" s="8" t="s">
        <v>17</v>
      </c>
      <c r="G205" s="8" t="s">
        <v>17</v>
      </c>
      <c r="H205" t="str">
        <f t="shared" si="3"/>
        <v>YES</v>
      </c>
    </row>
    <row r="206" spans="1:8" x14ac:dyDescent="0.2">
      <c r="A206" s="6" t="s">
        <v>220</v>
      </c>
      <c r="B206" s="7">
        <v>99</v>
      </c>
      <c r="C206" s="7">
        <v>18</v>
      </c>
      <c r="D206" s="7">
        <v>0.18179999999999999</v>
      </c>
      <c r="E206" s="7">
        <v>0.1182</v>
      </c>
      <c r="F206" s="8" t="s">
        <v>17</v>
      </c>
      <c r="G206" s="8" t="s">
        <v>17</v>
      </c>
      <c r="H206" t="str">
        <f t="shared" si="3"/>
        <v>YES</v>
      </c>
    </row>
    <row r="207" spans="1:8" x14ac:dyDescent="0.2">
      <c r="A207" s="6" t="s">
        <v>221</v>
      </c>
      <c r="B207" s="7">
        <v>5</v>
      </c>
      <c r="C207" s="7">
        <v>2</v>
      </c>
      <c r="D207" s="7">
        <v>0.4</v>
      </c>
      <c r="E207" s="7">
        <v>0.1176</v>
      </c>
      <c r="F207" s="8" t="s">
        <v>17</v>
      </c>
      <c r="G207" s="8" t="s">
        <v>94</v>
      </c>
      <c r="H207" t="str">
        <f t="shared" si="3"/>
        <v>NO</v>
      </c>
    </row>
    <row r="208" spans="1:8" x14ac:dyDescent="0.2">
      <c r="A208" s="6" t="s">
        <v>222</v>
      </c>
      <c r="B208" s="7">
        <v>5</v>
      </c>
      <c r="C208" s="7">
        <v>2</v>
      </c>
      <c r="D208" s="7">
        <v>0.4</v>
      </c>
      <c r="E208" s="7">
        <v>0.1176</v>
      </c>
      <c r="F208" s="8" t="s">
        <v>17</v>
      </c>
      <c r="G208" s="8" t="s">
        <v>17</v>
      </c>
      <c r="H208" t="str">
        <f t="shared" si="3"/>
        <v>YES</v>
      </c>
    </row>
    <row r="209" spans="1:8" x14ac:dyDescent="0.2">
      <c r="A209" s="6" t="s">
        <v>223</v>
      </c>
      <c r="B209" s="7">
        <v>48</v>
      </c>
      <c r="C209" s="7">
        <v>10</v>
      </c>
      <c r="D209" s="7">
        <v>0.20830000000000001</v>
      </c>
      <c r="E209" s="7">
        <v>0.1173</v>
      </c>
      <c r="F209" s="8" t="s">
        <v>17</v>
      </c>
      <c r="G209" s="8" t="s">
        <v>94</v>
      </c>
      <c r="H209" t="str">
        <f t="shared" si="3"/>
        <v>NO</v>
      </c>
    </row>
    <row r="210" spans="1:8" x14ac:dyDescent="0.2">
      <c r="A210" s="6" t="s">
        <v>224</v>
      </c>
      <c r="B210" s="7">
        <v>14</v>
      </c>
      <c r="C210" s="7">
        <v>4</v>
      </c>
      <c r="D210" s="7">
        <v>0.28570000000000001</v>
      </c>
      <c r="E210" s="7">
        <v>0.1172</v>
      </c>
      <c r="F210" s="8" t="s">
        <v>17</v>
      </c>
      <c r="G210" s="8" t="s">
        <v>17</v>
      </c>
      <c r="H210" t="str">
        <f t="shared" si="3"/>
        <v>YES</v>
      </c>
    </row>
    <row r="211" spans="1:8" x14ac:dyDescent="0.2">
      <c r="A211" s="6" t="s">
        <v>225</v>
      </c>
      <c r="B211" s="7">
        <v>14</v>
      </c>
      <c r="C211" s="7">
        <v>4</v>
      </c>
      <c r="D211" s="7">
        <v>0.28570000000000001</v>
      </c>
      <c r="E211" s="7">
        <v>0.1172</v>
      </c>
      <c r="F211" s="8" t="s">
        <v>17</v>
      </c>
      <c r="G211" s="8" t="s">
        <v>17</v>
      </c>
      <c r="H211" t="str">
        <f t="shared" si="3"/>
        <v>YES</v>
      </c>
    </row>
    <row r="212" spans="1:8" x14ac:dyDescent="0.2">
      <c r="A212" s="6" t="s">
        <v>226</v>
      </c>
      <c r="B212" s="7">
        <v>31</v>
      </c>
      <c r="C212" s="7">
        <v>7</v>
      </c>
      <c r="D212" s="7">
        <v>0.2258</v>
      </c>
      <c r="E212" s="7">
        <v>0.1139</v>
      </c>
      <c r="F212" s="8" t="s">
        <v>17</v>
      </c>
      <c r="G212" s="8" t="s">
        <v>17</v>
      </c>
      <c r="H212" t="str">
        <f t="shared" si="3"/>
        <v>YES</v>
      </c>
    </row>
    <row r="213" spans="1:8" x14ac:dyDescent="0.2">
      <c r="A213" s="6" t="s">
        <v>227</v>
      </c>
      <c r="B213" s="7">
        <v>44</v>
      </c>
      <c r="C213" s="7">
        <v>9</v>
      </c>
      <c r="D213" s="7">
        <v>0.20449999999999999</v>
      </c>
      <c r="E213" s="7">
        <v>0.1115</v>
      </c>
      <c r="F213" s="8" t="s">
        <v>17</v>
      </c>
      <c r="G213" s="8" t="s">
        <v>17</v>
      </c>
      <c r="H213" t="str">
        <f t="shared" si="3"/>
        <v>YES</v>
      </c>
    </row>
    <row r="214" spans="1:8" x14ac:dyDescent="0.2">
      <c r="A214" s="6" t="s">
        <v>228</v>
      </c>
      <c r="B214" s="7">
        <v>217</v>
      </c>
      <c r="C214" s="7">
        <v>33</v>
      </c>
      <c r="D214" s="7">
        <v>0.15210000000000001</v>
      </c>
      <c r="E214" s="7">
        <v>0.1104</v>
      </c>
      <c r="F214" s="8" t="s">
        <v>17</v>
      </c>
      <c r="G214" s="8" t="s">
        <v>35</v>
      </c>
      <c r="H214" t="str">
        <f t="shared" si="3"/>
        <v>NO</v>
      </c>
    </row>
    <row r="215" spans="1:8" x14ac:dyDescent="0.2">
      <c r="A215" s="6" t="s">
        <v>229</v>
      </c>
      <c r="B215" s="7">
        <v>143</v>
      </c>
      <c r="C215" s="7">
        <v>23</v>
      </c>
      <c r="D215" s="7">
        <v>0.1608</v>
      </c>
      <c r="E215" s="7">
        <v>0.1096</v>
      </c>
      <c r="F215" s="8" t="s">
        <v>17</v>
      </c>
      <c r="G215" s="8" t="s">
        <v>17</v>
      </c>
      <c r="H215" t="str">
        <f t="shared" si="3"/>
        <v>YES</v>
      </c>
    </row>
    <row r="216" spans="1:8" x14ac:dyDescent="0.2">
      <c r="A216" s="6" t="s">
        <v>230</v>
      </c>
      <c r="B216" s="7">
        <v>45</v>
      </c>
      <c r="C216" s="7">
        <v>9</v>
      </c>
      <c r="D216" s="7">
        <v>0.2</v>
      </c>
      <c r="E216" s="7">
        <v>0.109</v>
      </c>
      <c r="F216" s="8" t="s">
        <v>17</v>
      </c>
      <c r="G216" s="8" t="s">
        <v>35</v>
      </c>
      <c r="H216" t="str">
        <f t="shared" si="3"/>
        <v>NO</v>
      </c>
    </row>
    <row r="217" spans="1:8" x14ac:dyDescent="0.2">
      <c r="A217" s="6" t="s">
        <v>231</v>
      </c>
      <c r="B217" s="7">
        <v>443</v>
      </c>
      <c r="C217" s="7">
        <v>61</v>
      </c>
      <c r="D217" s="7">
        <v>0.13769999999999999</v>
      </c>
      <c r="E217" s="7">
        <v>0.1087</v>
      </c>
      <c r="F217" s="8" t="s">
        <v>17</v>
      </c>
      <c r="G217" s="8" t="s">
        <v>35</v>
      </c>
      <c r="H217" t="str">
        <f t="shared" si="3"/>
        <v>NO</v>
      </c>
    </row>
    <row r="218" spans="1:8" x14ac:dyDescent="0.2">
      <c r="A218" s="6" t="s">
        <v>232</v>
      </c>
      <c r="B218" s="7">
        <v>116</v>
      </c>
      <c r="C218" s="7">
        <v>19</v>
      </c>
      <c r="D218" s="7">
        <v>0.1638</v>
      </c>
      <c r="E218" s="7">
        <v>0.1074</v>
      </c>
      <c r="F218" s="8" t="s">
        <v>17</v>
      </c>
      <c r="G218" s="8" t="s">
        <v>17</v>
      </c>
      <c r="H218" t="str">
        <f t="shared" si="3"/>
        <v>YES</v>
      </c>
    </row>
    <row r="219" spans="1:8" x14ac:dyDescent="0.2">
      <c r="A219" s="6" t="s">
        <v>233</v>
      </c>
      <c r="B219" s="7">
        <v>33</v>
      </c>
      <c r="C219" s="7">
        <v>7</v>
      </c>
      <c r="D219" s="7">
        <v>0.21210000000000001</v>
      </c>
      <c r="E219" s="7">
        <v>0.10680000000000001</v>
      </c>
      <c r="F219" s="8" t="s">
        <v>17</v>
      </c>
      <c r="G219" s="8" t="s">
        <v>17</v>
      </c>
      <c r="H219" t="str">
        <f t="shared" si="3"/>
        <v>YES</v>
      </c>
    </row>
    <row r="220" spans="1:8" x14ac:dyDescent="0.2">
      <c r="A220" s="6" t="s">
        <v>234</v>
      </c>
      <c r="B220" s="7">
        <v>330</v>
      </c>
      <c r="C220" s="7">
        <v>46</v>
      </c>
      <c r="D220" s="7">
        <v>0.1394</v>
      </c>
      <c r="E220" s="7">
        <v>0.1062</v>
      </c>
      <c r="F220" s="8" t="s">
        <v>17</v>
      </c>
      <c r="G220" s="8" t="s">
        <v>17</v>
      </c>
      <c r="H220" t="str">
        <f t="shared" si="3"/>
        <v>YES</v>
      </c>
    </row>
    <row r="221" spans="1:8" x14ac:dyDescent="0.2">
      <c r="A221" s="6" t="s">
        <v>235</v>
      </c>
      <c r="B221" s="7">
        <v>41</v>
      </c>
      <c r="C221" s="7">
        <v>8</v>
      </c>
      <c r="D221" s="7">
        <v>0.1951</v>
      </c>
      <c r="E221" s="7">
        <v>0.1023</v>
      </c>
      <c r="F221" s="8" t="s">
        <v>17</v>
      </c>
      <c r="G221" s="8" t="s">
        <v>17</v>
      </c>
      <c r="H221" t="str">
        <f t="shared" si="3"/>
        <v>YES</v>
      </c>
    </row>
    <row r="222" spans="1:8" x14ac:dyDescent="0.2">
      <c r="A222" s="6" t="s">
        <v>236</v>
      </c>
      <c r="B222" s="7">
        <v>41</v>
      </c>
      <c r="C222" s="7">
        <v>8</v>
      </c>
      <c r="D222" s="7">
        <v>0.1951</v>
      </c>
      <c r="E222" s="7">
        <v>0.1023</v>
      </c>
      <c r="F222" s="8" t="s">
        <v>17</v>
      </c>
      <c r="G222" s="8" t="s">
        <v>17</v>
      </c>
      <c r="H222" t="str">
        <f t="shared" si="3"/>
        <v>YES</v>
      </c>
    </row>
    <row r="223" spans="1:8" x14ac:dyDescent="0.2">
      <c r="A223" s="6" t="s">
        <v>237</v>
      </c>
      <c r="B223" s="7">
        <v>202</v>
      </c>
      <c r="C223" s="7">
        <v>29</v>
      </c>
      <c r="D223" s="7">
        <v>0.14360000000000001</v>
      </c>
      <c r="E223" s="7">
        <v>0.1019</v>
      </c>
      <c r="F223" s="8" t="s">
        <v>17</v>
      </c>
      <c r="G223" s="8" t="s">
        <v>35</v>
      </c>
      <c r="H223" t="str">
        <f t="shared" si="3"/>
        <v>NO</v>
      </c>
    </row>
    <row r="224" spans="1:8" x14ac:dyDescent="0.2">
      <c r="A224" s="6" t="s">
        <v>238</v>
      </c>
      <c r="B224" s="7">
        <v>79</v>
      </c>
      <c r="C224" s="7">
        <v>13</v>
      </c>
      <c r="D224" s="7">
        <v>0.1646</v>
      </c>
      <c r="E224" s="7">
        <v>9.8799999999999999E-2</v>
      </c>
      <c r="F224" s="8" t="s">
        <v>94</v>
      </c>
      <c r="G224" s="8" t="s">
        <v>94</v>
      </c>
      <c r="H224" t="str">
        <f t="shared" si="3"/>
        <v>YES</v>
      </c>
    </row>
    <row r="225" spans="1:8" x14ac:dyDescent="0.2">
      <c r="A225" s="6" t="s">
        <v>239</v>
      </c>
      <c r="B225" s="7">
        <v>95</v>
      </c>
      <c r="C225" s="7">
        <v>15</v>
      </c>
      <c r="D225" s="7">
        <v>0.15790000000000001</v>
      </c>
      <c r="E225" s="7">
        <v>9.8100000000000007E-2</v>
      </c>
      <c r="F225" s="8" t="s">
        <v>94</v>
      </c>
      <c r="G225" s="8" t="s">
        <v>17</v>
      </c>
      <c r="H225" t="str">
        <f t="shared" si="3"/>
        <v>NO</v>
      </c>
    </row>
    <row r="226" spans="1:8" x14ac:dyDescent="0.2">
      <c r="A226" s="6" t="s">
        <v>240</v>
      </c>
      <c r="B226" s="7">
        <v>6</v>
      </c>
      <c r="C226" s="7">
        <v>2</v>
      </c>
      <c r="D226" s="7">
        <v>0.33329999999999999</v>
      </c>
      <c r="E226" s="7">
        <v>9.6799999999999997E-2</v>
      </c>
      <c r="F226" s="8" t="s">
        <v>94</v>
      </c>
      <c r="G226" s="8" t="s">
        <v>17</v>
      </c>
      <c r="H226" t="str">
        <f t="shared" si="3"/>
        <v>NO</v>
      </c>
    </row>
    <row r="227" spans="1:8" x14ac:dyDescent="0.2">
      <c r="A227" s="6" t="s">
        <v>241</v>
      </c>
      <c r="B227" s="7">
        <v>6</v>
      </c>
      <c r="C227" s="7">
        <v>2</v>
      </c>
      <c r="D227" s="7">
        <v>0.33329999999999999</v>
      </c>
      <c r="E227" s="7">
        <v>9.6799999999999997E-2</v>
      </c>
      <c r="F227" s="8" t="s">
        <v>94</v>
      </c>
      <c r="G227" s="8" t="s">
        <v>35</v>
      </c>
      <c r="H227" t="str">
        <f t="shared" si="3"/>
        <v>NO</v>
      </c>
    </row>
    <row r="228" spans="1:8" x14ac:dyDescent="0.2">
      <c r="A228" s="6" t="s">
        <v>242</v>
      </c>
      <c r="B228" s="7">
        <v>6</v>
      </c>
      <c r="C228" s="7">
        <v>2</v>
      </c>
      <c r="D228" s="7">
        <v>0.33329999999999999</v>
      </c>
      <c r="E228" s="7">
        <v>9.6799999999999997E-2</v>
      </c>
      <c r="F228" s="8" t="s">
        <v>94</v>
      </c>
      <c r="G228" s="8" t="s">
        <v>35</v>
      </c>
      <c r="H228" t="str">
        <f t="shared" si="3"/>
        <v>NO</v>
      </c>
    </row>
    <row r="229" spans="1:8" x14ac:dyDescent="0.2">
      <c r="A229" s="6" t="s">
        <v>243</v>
      </c>
      <c r="B229" s="7">
        <v>73</v>
      </c>
      <c r="C229" s="7">
        <v>12</v>
      </c>
      <c r="D229" s="7">
        <v>0.16439999999999999</v>
      </c>
      <c r="E229" s="7">
        <v>9.6600000000000005E-2</v>
      </c>
      <c r="F229" s="8" t="s">
        <v>94</v>
      </c>
      <c r="G229" s="8" t="s">
        <v>35</v>
      </c>
      <c r="H229" t="str">
        <f t="shared" si="3"/>
        <v>NO</v>
      </c>
    </row>
    <row r="230" spans="1:8" x14ac:dyDescent="0.2">
      <c r="A230" s="6" t="s">
        <v>244</v>
      </c>
      <c r="B230" s="7">
        <v>17</v>
      </c>
      <c r="C230" s="7">
        <v>4</v>
      </c>
      <c r="D230" s="7">
        <v>0.23530000000000001</v>
      </c>
      <c r="E230" s="7">
        <v>9.5500000000000002E-2</v>
      </c>
      <c r="F230" s="8" t="s">
        <v>94</v>
      </c>
      <c r="G230" s="8" t="s">
        <v>94</v>
      </c>
      <c r="H230" t="str">
        <f t="shared" si="3"/>
        <v>YES</v>
      </c>
    </row>
    <row r="231" spans="1:8" x14ac:dyDescent="0.2">
      <c r="A231" s="6" t="s">
        <v>245</v>
      </c>
      <c r="B231" s="7">
        <v>17</v>
      </c>
      <c r="C231" s="7">
        <v>4</v>
      </c>
      <c r="D231" s="7">
        <v>0.23530000000000001</v>
      </c>
      <c r="E231" s="7">
        <v>9.5500000000000002E-2</v>
      </c>
      <c r="F231" s="8" t="s">
        <v>94</v>
      </c>
      <c r="G231" s="8" t="s">
        <v>94</v>
      </c>
      <c r="H231" t="str">
        <f t="shared" si="3"/>
        <v>YES</v>
      </c>
    </row>
    <row r="232" spans="1:8" x14ac:dyDescent="0.2">
      <c r="A232" s="6" t="s">
        <v>246</v>
      </c>
      <c r="B232" s="7">
        <v>83</v>
      </c>
      <c r="C232" s="7">
        <v>13</v>
      </c>
      <c r="D232" s="7">
        <v>0.15659999999999999</v>
      </c>
      <c r="E232" s="7">
        <v>9.3899999999999997E-2</v>
      </c>
      <c r="F232" s="8" t="s">
        <v>94</v>
      </c>
      <c r="G232" s="8" t="s">
        <v>35</v>
      </c>
      <c r="H232" t="str">
        <f t="shared" si="3"/>
        <v>NO</v>
      </c>
    </row>
    <row r="233" spans="1:8" x14ac:dyDescent="0.2">
      <c r="A233" s="6" t="s">
        <v>247</v>
      </c>
      <c r="B233" s="7">
        <v>31</v>
      </c>
      <c r="C233" s="7">
        <v>6</v>
      </c>
      <c r="D233" s="7">
        <v>0.19350000000000001</v>
      </c>
      <c r="E233" s="7">
        <v>9.1899999999999996E-2</v>
      </c>
      <c r="F233" s="8" t="s">
        <v>94</v>
      </c>
      <c r="G233" s="8" t="s">
        <v>35</v>
      </c>
      <c r="H233" t="str">
        <f t="shared" si="3"/>
        <v>NO</v>
      </c>
    </row>
    <row r="234" spans="1:8" x14ac:dyDescent="0.2">
      <c r="A234" s="6" t="s">
        <v>248</v>
      </c>
      <c r="B234" s="7">
        <v>18</v>
      </c>
      <c r="C234" s="7">
        <v>4</v>
      </c>
      <c r="D234" s="7">
        <v>0.22220000000000001</v>
      </c>
      <c r="E234" s="7">
        <v>0.09</v>
      </c>
      <c r="F234" s="8" t="s">
        <v>94</v>
      </c>
      <c r="G234" s="8" t="s">
        <v>17</v>
      </c>
      <c r="H234" t="str">
        <f t="shared" si="3"/>
        <v>NO</v>
      </c>
    </row>
    <row r="235" spans="1:8" x14ac:dyDescent="0.2">
      <c r="A235" s="6" t="s">
        <v>249</v>
      </c>
      <c r="B235" s="7">
        <v>12</v>
      </c>
      <c r="C235" s="7">
        <v>3</v>
      </c>
      <c r="D235" s="7">
        <v>0.25</v>
      </c>
      <c r="E235" s="7">
        <v>8.8900000000000007E-2</v>
      </c>
      <c r="F235" s="8" t="s">
        <v>94</v>
      </c>
      <c r="G235" s="8" t="s">
        <v>17</v>
      </c>
      <c r="H235" t="str">
        <f t="shared" si="3"/>
        <v>NO</v>
      </c>
    </row>
    <row r="236" spans="1:8" x14ac:dyDescent="0.2">
      <c r="A236" s="6" t="s">
        <v>250</v>
      </c>
      <c r="B236" s="7">
        <v>12</v>
      </c>
      <c r="C236" s="7">
        <v>3</v>
      </c>
      <c r="D236" s="7">
        <v>0.25</v>
      </c>
      <c r="E236" s="7">
        <v>8.8900000000000007E-2</v>
      </c>
      <c r="F236" s="8" t="s">
        <v>94</v>
      </c>
      <c r="G236" s="8" t="s">
        <v>35</v>
      </c>
      <c r="H236" t="str">
        <f t="shared" si="3"/>
        <v>NO</v>
      </c>
    </row>
    <row r="237" spans="1:8" x14ac:dyDescent="0.2">
      <c r="A237" s="6" t="s">
        <v>251</v>
      </c>
      <c r="B237" s="7">
        <v>33</v>
      </c>
      <c r="C237" s="7">
        <v>6</v>
      </c>
      <c r="D237" s="7">
        <v>0.18179999999999999</v>
      </c>
      <c r="E237" s="7">
        <v>8.6099999999999996E-2</v>
      </c>
      <c r="F237" s="8" t="s">
        <v>94</v>
      </c>
      <c r="G237" s="8" t="s">
        <v>35</v>
      </c>
      <c r="H237" t="str">
        <f t="shared" si="3"/>
        <v>NO</v>
      </c>
    </row>
    <row r="238" spans="1:8" x14ac:dyDescent="0.2">
      <c r="A238" s="6" t="s">
        <v>252</v>
      </c>
      <c r="B238" s="7">
        <v>19</v>
      </c>
      <c r="C238" s="7">
        <v>4</v>
      </c>
      <c r="D238" s="7">
        <v>0.21049999999999999</v>
      </c>
      <c r="E238" s="7">
        <v>8.5099999999999995E-2</v>
      </c>
      <c r="F238" s="8" t="s">
        <v>94</v>
      </c>
      <c r="G238" s="8" t="s">
        <v>35</v>
      </c>
      <c r="H238" t="str">
        <f t="shared" si="3"/>
        <v>NO</v>
      </c>
    </row>
    <row r="239" spans="1:8" x14ac:dyDescent="0.2">
      <c r="A239" s="6" t="s">
        <v>253</v>
      </c>
      <c r="B239" s="7">
        <v>26</v>
      </c>
      <c r="C239" s="7">
        <v>5</v>
      </c>
      <c r="D239" s="7">
        <v>0.1923</v>
      </c>
      <c r="E239" s="7">
        <v>8.5099999999999995E-2</v>
      </c>
      <c r="F239" s="8" t="s">
        <v>94</v>
      </c>
      <c r="G239" s="8" t="s">
        <v>17</v>
      </c>
      <c r="H239" t="str">
        <f t="shared" si="3"/>
        <v>NO</v>
      </c>
    </row>
    <row r="240" spans="1:8" x14ac:dyDescent="0.2">
      <c r="A240" s="6" t="s">
        <v>254</v>
      </c>
      <c r="B240" s="7">
        <v>36</v>
      </c>
      <c r="C240" s="7">
        <v>6</v>
      </c>
      <c r="D240" s="7">
        <v>0.16669999999999999</v>
      </c>
      <c r="E240" s="7">
        <v>7.8700000000000006E-2</v>
      </c>
      <c r="F240" s="8" t="s">
        <v>94</v>
      </c>
      <c r="G240" s="8" t="s">
        <v>94</v>
      </c>
      <c r="H240" t="str">
        <f t="shared" si="3"/>
        <v>YES</v>
      </c>
    </row>
    <row r="241" spans="1:8" x14ac:dyDescent="0.2">
      <c r="A241" s="6" t="s">
        <v>255</v>
      </c>
      <c r="B241" s="7">
        <v>14</v>
      </c>
      <c r="C241" s="7">
        <v>3</v>
      </c>
      <c r="D241" s="7">
        <v>0.21429999999999999</v>
      </c>
      <c r="E241" s="7">
        <v>7.5700000000000003E-2</v>
      </c>
      <c r="F241" s="8" t="s">
        <v>94</v>
      </c>
      <c r="G241" s="8" t="s">
        <v>35</v>
      </c>
      <c r="H241" t="str">
        <f t="shared" si="3"/>
        <v>NO</v>
      </c>
    </row>
    <row r="242" spans="1:8" x14ac:dyDescent="0.2">
      <c r="A242" s="6" t="s">
        <v>256</v>
      </c>
      <c r="B242" s="7">
        <v>14</v>
      </c>
      <c r="C242" s="7">
        <v>3</v>
      </c>
      <c r="D242" s="7">
        <v>0.21429999999999999</v>
      </c>
      <c r="E242" s="7">
        <v>7.5700000000000003E-2</v>
      </c>
      <c r="F242" s="8" t="s">
        <v>94</v>
      </c>
      <c r="G242" s="8" t="s">
        <v>17</v>
      </c>
      <c r="H242" t="str">
        <f t="shared" si="3"/>
        <v>NO</v>
      </c>
    </row>
    <row r="243" spans="1:8" x14ac:dyDescent="0.2">
      <c r="A243" s="6" t="s">
        <v>257</v>
      </c>
      <c r="B243" s="7">
        <v>30</v>
      </c>
      <c r="C243" s="7">
        <v>5</v>
      </c>
      <c r="D243" s="7">
        <v>0.16669999999999999</v>
      </c>
      <c r="E243" s="7">
        <v>7.3400000000000007E-2</v>
      </c>
      <c r="F243" s="8" t="s">
        <v>94</v>
      </c>
      <c r="G243" s="8" t="s">
        <v>94</v>
      </c>
      <c r="H243" t="str">
        <f t="shared" si="3"/>
        <v>YES</v>
      </c>
    </row>
    <row r="244" spans="1:8" x14ac:dyDescent="0.2">
      <c r="A244" s="6" t="s">
        <v>258</v>
      </c>
      <c r="B244" s="7">
        <v>22</v>
      </c>
      <c r="C244" s="7">
        <v>4</v>
      </c>
      <c r="D244" s="7">
        <v>0.18179999999999999</v>
      </c>
      <c r="E244" s="7">
        <v>7.3099999999999998E-2</v>
      </c>
      <c r="F244" s="8" t="s">
        <v>94</v>
      </c>
      <c r="G244" s="8" t="s">
        <v>17</v>
      </c>
      <c r="H244" t="str">
        <f t="shared" si="3"/>
        <v>NO</v>
      </c>
    </row>
    <row r="245" spans="1:8" x14ac:dyDescent="0.2">
      <c r="A245" s="6" t="s">
        <v>259</v>
      </c>
      <c r="B245" s="7">
        <v>8</v>
      </c>
      <c r="C245" s="7">
        <v>2</v>
      </c>
      <c r="D245" s="7">
        <v>0.25</v>
      </c>
      <c r="E245" s="7">
        <v>7.1499999999999994E-2</v>
      </c>
      <c r="F245" s="8" t="s">
        <v>94</v>
      </c>
      <c r="G245" s="8" t="s">
        <v>94</v>
      </c>
      <c r="H245" t="str">
        <f t="shared" si="3"/>
        <v>YES</v>
      </c>
    </row>
    <row r="246" spans="1:8" x14ac:dyDescent="0.2">
      <c r="A246" s="6" t="s">
        <v>260</v>
      </c>
      <c r="B246" s="7">
        <v>8</v>
      </c>
      <c r="C246" s="7">
        <v>2</v>
      </c>
      <c r="D246" s="7">
        <v>0.25</v>
      </c>
      <c r="E246" s="7">
        <v>7.1499999999999994E-2</v>
      </c>
      <c r="F246" s="8" t="s">
        <v>94</v>
      </c>
      <c r="G246" s="8" t="s">
        <v>17</v>
      </c>
      <c r="H246" t="str">
        <f t="shared" si="3"/>
        <v>NO</v>
      </c>
    </row>
    <row r="247" spans="1:8" x14ac:dyDescent="0.2">
      <c r="A247" s="6" t="s">
        <v>261</v>
      </c>
      <c r="B247" s="7">
        <v>15</v>
      </c>
      <c r="C247" s="7">
        <v>3</v>
      </c>
      <c r="D247" s="7">
        <v>0.2</v>
      </c>
      <c r="E247" s="7">
        <v>7.0499999999999993E-2</v>
      </c>
      <c r="F247" s="8" t="s">
        <v>94</v>
      </c>
      <c r="G247" s="8" t="s">
        <v>94</v>
      </c>
      <c r="H247" t="str">
        <f t="shared" si="3"/>
        <v>YES</v>
      </c>
    </row>
    <row r="248" spans="1:8" x14ac:dyDescent="0.2">
      <c r="A248" s="6" t="s">
        <v>262</v>
      </c>
      <c r="B248" s="7">
        <v>15</v>
      </c>
      <c r="C248" s="7">
        <v>3</v>
      </c>
      <c r="D248" s="7">
        <v>0.2</v>
      </c>
      <c r="E248" s="7">
        <v>7.0499999999999993E-2</v>
      </c>
      <c r="F248" s="8" t="s">
        <v>94</v>
      </c>
      <c r="G248" s="8" t="s">
        <v>94</v>
      </c>
      <c r="H248" t="str">
        <f t="shared" si="3"/>
        <v>YES</v>
      </c>
    </row>
    <row r="249" spans="1:8" x14ac:dyDescent="0.2">
      <c r="A249" s="6" t="s">
        <v>263</v>
      </c>
      <c r="B249" s="7">
        <v>23</v>
      </c>
      <c r="C249" s="7">
        <v>4</v>
      </c>
      <c r="D249" s="7">
        <v>0.1739</v>
      </c>
      <c r="E249" s="7">
        <v>6.9800000000000001E-2</v>
      </c>
      <c r="F249" s="8" t="s">
        <v>94</v>
      </c>
      <c r="G249" s="8" t="s">
        <v>35</v>
      </c>
      <c r="H249" t="str">
        <f t="shared" si="3"/>
        <v>NO</v>
      </c>
    </row>
    <row r="250" spans="1:8" x14ac:dyDescent="0.2">
      <c r="A250" s="6" t="s">
        <v>264</v>
      </c>
      <c r="B250" s="7">
        <v>23</v>
      </c>
      <c r="C250" s="7">
        <v>4</v>
      </c>
      <c r="D250" s="7">
        <v>0.1739</v>
      </c>
      <c r="E250" s="7">
        <v>6.9800000000000001E-2</v>
      </c>
      <c r="F250" s="8" t="s">
        <v>94</v>
      </c>
      <c r="G250" s="8" t="s">
        <v>17</v>
      </c>
      <c r="H250" t="str">
        <f t="shared" si="3"/>
        <v>NO</v>
      </c>
    </row>
    <row r="251" spans="1:8" x14ac:dyDescent="0.2">
      <c r="A251" s="6" t="s">
        <v>265</v>
      </c>
      <c r="B251" s="7">
        <v>166</v>
      </c>
      <c r="C251" s="7">
        <v>24</v>
      </c>
      <c r="D251" s="7">
        <v>0.14460000000000001</v>
      </c>
      <c r="E251" s="7">
        <v>9.9099999999999994E-2</v>
      </c>
      <c r="F251" s="8" t="s">
        <v>35</v>
      </c>
      <c r="G251" s="8" t="s">
        <v>35</v>
      </c>
      <c r="H251" t="str">
        <f t="shared" si="3"/>
        <v>YES</v>
      </c>
    </row>
    <row r="252" spans="1:8" x14ac:dyDescent="0.2">
      <c r="A252" s="6" t="s">
        <v>266</v>
      </c>
      <c r="B252" s="7">
        <v>242</v>
      </c>
      <c r="C252" s="7">
        <v>33</v>
      </c>
      <c r="D252" s="7">
        <v>0.13639999999999999</v>
      </c>
      <c r="E252" s="7">
        <v>9.8799999999999999E-2</v>
      </c>
      <c r="F252" s="8" t="s">
        <v>35</v>
      </c>
      <c r="G252" s="8" t="s">
        <v>17</v>
      </c>
      <c r="H252" t="str">
        <f t="shared" si="3"/>
        <v>NO</v>
      </c>
    </row>
    <row r="253" spans="1:8" x14ac:dyDescent="0.2">
      <c r="A253" s="6" t="s">
        <v>267</v>
      </c>
      <c r="B253" s="7">
        <v>357</v>
      </c>
      <c r="C253" s="7">
        <v>45</v>
      </c>
      <c r="D253" s="7">
        <v>0.12609999999999999</v>
      </c>
      <c r="E253" s="7">
        <v>9.5600000000000004E-2</v>
      </c>
      <c r="F253" s="8" t="s">
        <v>35</v>
      </c>
      <c r="G253" s="8" t="s">
        <v>35</v>
      </c>
      <c r="H253" t="str">
        <f t="shared" si="3"/>
        <v>YES</v>
      </c>
    </row>
    <row r="254" spans="1:8" x14ac:dyDescent="0.2">
      <c r="A254" s="6" t="s">
        <v>268</v>
      </c>
      <c r="B254" s="7">
        <v>114</v>
      </c>
      <c r="C254" s="7">
        <v>17</v>
      </c>
      <c r="D254" s="7">
        <v>0.14910000000000001</v>
      </c>
      <c r="E254" s="7">
        <v>9.5200000000000007E-2</v>
      </c>
      <c r="F254" s="8" t="s">
        <v>35</v>
      </c>
      <c r="G254" s="8" t="s">
        <v>35</v>
      </c>
      <c r="H254" t="str">
        <f t="shared" si="3"/>
        <v>YES</v>
      </c>
    </row>
    <row r="255" spans="1:8" x14ac:dyDescent="0.2">
      <c r="A255" s="6" t="s">
        <v>269</v>
      </c>
      <c r="B255" s="7">
        <v>173</v>
      </c>
      <c r="C255" s="7">
        <v>24</v>
      </c>
      <c r="D255" s="7">
        <v>0.13869999999999999</v>
      </c>
      <c r="E255" s="7">
        <v>9.5000000000000001E-2</v>
      </c>
      <c r="F255" s="8" t="s">
        <v>35</v>
      </c>
      <c r="G255" s="8" t="s">
        <v>17</v>
      </c>
      <c r="H255" t="str">
        <f t="shared" si="3"/>
        <v>NO</v>
      </c>
    </row>
    <row r="256" spans="1:8" x14ac:dyDescent="0.2">
      <c r="A256" s="6" t="s">
        <v>270</v>
      </c>
      <c r="B256" s="7">
        <v>2</v>
      </c>
      <c r="C256" s="7">
        <v>1</v>
      </c>
      <c r="D256" s="7">
        <v>0.5</v>
      </c>
      <c r="E256" s="7">
        <v>9.4500000000000001E-2</v>
      </c>
      <c r="F256" s="8" t="s">
        <v>35</v>
      </c>
      <c r="G256" s="8" t="s">
        <v>35</v>
      </c>
      <c r="H256" t="str">
        <f t="shared" si="3"/>
        <v>YES</v>
      </c>
    </row>
    <row r="257" spans="1:8" x14ac:dyDescent="0.2">
      <c r="A257" s="6" t="s">
        <v>271</v>
      </c>
      <c r="B257" s="7">
        <v>2</v>
      </c>
      <c r="C257" s="7">
        <v>1</v>
      </c>
      <c r="D257" s="7">
        <v>0.5</v>
      </c>
      <c r="E257" s="7">
        <v>9.4500000000000001E-2</v>
      </c>
      <c r="F257" s="8" t="s">
        <v>35</v>
      </c>
      <c r="G257" s="8" t="s">
        <v>94</v>
      </c>
      <c r="H257" t="str">
        <f t="shared" si="3"/>
        <v>NO</v>
      </c>
    </row>
    <row r="258" spans="1:8" x14ac:dyDescent="0.2">
      <c r="A258" s="6" t="s">
        <v>272</v>
      </c>
      <c r="B258" s="7">
        <v>2</v>
      </c>
      <c r="C258" s="7">
        <v>1</v>
      </c>
      <c r="D258" s="7">
        <v>0.5</v>
      </c>
      <c r="E258" s="7">
        <v>9.4500000000000001E-2</v>
      </c>
      <c r="F258" s="8" t="s">
        <v>35</v>
      </c>
      <c r="G258" s="8" t="s">
        <v>17</v>
      </c>
      <c r="H258" t="str">
        <f t="shared" si="3"/>
        <v>NO</v>
      </c>
    </row>
    <row r="259" spans="1:8" x14ac:dyDescent="0.2">
      <c r="A259" s="6" t="s">
        <v>273</v>
      </c>
      <c r="B259" s="7">
        <v>2</v>
      </c>
      <c r="C259" s="7">
        <v>1</v>
      </c>
      <c r="D259" s="7">
        <v>0.5</v>
      </c>
      <c r="E259" s="7">
        <v>9.4500000000000001E-2</v>
      </c>
      <c r="F259" s="8" t="s">
        <v>35</v>
      </c>
      <c r="G259" s="8" t="s">
        <v>94</v>
      </c>
      <c r="H259" t="str">
        <f t="shared" si="3"/>
        <v>NO</v>
      </c>
    </row>
    <row r="260" spans="1:8" x14ac:dyDescent="0.2">
      <c r="A260" s="6" t="s">
        <v>274</v>
      </c>
      <c r="B260" s="7">
        <v>298</v>
      </c>
      <c r="C260" s="7">
        <v>38</v>
      </c>
      <c r="D260" s="7">
        <v>0.1275</v>
      </c>
      <c r="E260" s="7">
        <v>9.4299999999999995E-2</v>
      </c>
      <c r="F260" s="8" t="s">
        <v>35</v>
      </c>
      <c r="G260" s="8" t="s">
        <v>35</v>
      </c>
      <c r="H260" t="str">
        <f t="shared" si="3"/>
        <v>YES</v>
      </c>
    </row>
    <row r="261" spans="1:8" x14ac:dyDescent="0.2">
      <c r="A261" s="6" t="s">
        <v>275</v>
      </c>
      <c r="B261" s="7">
        <v>401</v>
      </c>
      <c r="C261" s="7">
        <v>49</v>
      </c>
      <c r="D261" s="7">
        <v>0.1222</v>
      </c>
      <c r="E261" s="7">
        <v>9.3700000000000006E-2</v>
      </c>
      <c r="F261" s="8" t="s">
        <v>35</v>
      </c>
      <c r="G261" s="8" t="s">
        <v>17</v>
      </c>
      <c r="H261" t="str">
        <f t="shared" ref="H261:H324" si="4">IF(F261=G261,"YES","NO")</f>
        <v>NO</v>
      </c>
    </row>
    <row r="262" spans="1:8" x14ac:dyDescent="0.2">
      <c r="A262" s="6" t="s">
        <v>276</v>
      </c>
      <c r="B262" s="7">
        <v>255</v>
      </c>
      <c r="C262" s="7">
        <v>33</v>
      </c>
      <c r="D262" s="7">
        <v>0.12939999999999999</v>
      </c>
      <c r="E262" s="7">
        <v>9.3700000000000006E-2</v>
      </c>
      <c r="F262" s="8" t="s">
        <v>35</v>
      </c>
      <c r="G262" s="8" t="s">
        <v>35</v>
      </c>
      <c r="H262" t="str">
        <f t="shared" si="4"/>
        <v>YES</v>
      </c>
    </row>
    <row r="263" spans="1:8" x14ac:dyDescent="0.2">
      <c r="A263" s="6" t="s">
        <v>277</v>
      </c>
      <c r="B263" s="7">
        <v>697</v>
      </c>
      <c r="C263" s="7">
        <v>79</v>
      </c>
      <c r="D263" s="7">
        <v>0.1133</v>
      </c>
      <c r="E263" s="7">
        <v>9.1899999999999996E-2</v>
      </c>
      <c r="F263" s="8" t="s">
        <v>35</v>
      </c>
      <c r="G263" s="8" t="s">
        <v>17</v>
      </c>
      <c r="H263" t="str">
        <f t="shared" si="4"/>
        <v>NO</v>
      </c>
    </row>
    <row r="264" spans="1:8" x14ac:dyDescent="0.2">
      <c r="A264" s="6" t="s">
        <v>278</v>
      </c>
      <c r="B264" s="7">
        <v>243</v>
      </c>
      <c r="C264" s="7">
        <v>31</v>
      </c>
      <c r="D264" s="7">
        <v>0.12759999999999999</v>
      </c>
      <c r="E264" s="7">
        <v>9.1300000000000006E-2</v>
      </c>
      <c r="F264" s="8" t="s">
        <v>35</v>
      </c>
      <c r="G264" s="8" t="s">
        <v>35</v>
      </c>
      <c r="H264" t="str">
        <f t="shared" si="4"/>
        <v>YES</v>
      </c>
    </row>
    <row r="265" spans="1:8" x14ac:dyDescent="0.2">
      <c r="A265" s="6" t="s">
        <v>279</v>
      </c>
      <c r="B265" s="7">
        <v>324</v>
      </c>
      <c r="C265" s="7">
        <v>39</v>
      </c>
      <c r="D265" s="7">
        <v>0.12039999999999999</v>
      </c>
      <c r="E265" s="7">
        <v>8.9300000000000004E-2</v>
      </c>
      <c r="F265" s="8" t="s">
        <v>35</v>
      </c>
      <c r="G265" s="8" t="s">
        <v>35</v>
      </c>
      <c r="H265" t="str">
        <f t="shared" si="4"/>
        <v>YES</v>
      </c>
    </row>
    <row r="266" spans="1:8" x14ac:dyDescent="0.2">
      <c r="A266" s="6" t="s">
        <v>280</v>
      </c>
      <c r="B266" s="7">
        <v>794</v>
      </c>
      <c r="C266" s="7">
        <v>86</v>
      </c>
      <c r="D266" s="7">
        <v>0.10829999999999999</v>
      </c>
      <c r="E266" s="7">
        <v>8.8599999999999998E-2</v>
      </c>
      <c r="F266" s="8" t="s">
        <v>35</v>
      </c>
      <c r="G266" s="8" t="s">
        <v>35</v>
      </c>
      <c r="H266" t="str">
        <f t="shared" si="4"/>
        <v>YES</v>
      </c>
    </row>
    <row r="267" spans="1:8" x14ac:dyDescent="0.2">
      <c r="A267" s="6" t="s">
        <v>281</v>
      </c>
      <c r="B267" s="7">
        <v>183</v>
      </c>
      <c r="C267" s="7">
        <v>23</v>
      </c>
      <c r="D267" s="7">
        <v>0.12570000000000001</v>
      </c>
      <c r="E267" s="7">
        <v>8.5199999999999998E-2</v>
      </c>
      <c r="F267" s="8" t="s">
        <v>35</v>
      </c>
      <c r="G267" s="8" t="s">
        <v>35</v>
      </c>
      <c r="H267" t="str">
        <f t="shared" si="4"/>
        <v>YES</v>
      </c>
    </row>
    <row r="268" spans="1:8" x14ac:dyDescent="0.2">
      <c r="A268" s="6" t="s">
        <v>282</v>
      </c>
      <c r="B268" s="7">
        <v>118</v>
      </c>
      <c r="C268" s="7">
        <v>16</v>
      </c>
      <c r="D268" s="7">
        <v>0.1356</v>
      </c>
      <c r="E268" s="7">
        <v>8.5199999999999998E-2</v>
      </c>
      <c r="F268" s="8" t="s">
        <v>35</v>
      </c>
      <c r="G268" s="8" t="s">
        <v>35</v>
      </c>
      <c r="H268" t="str">
        <f t="shared" si="4"/>
        <v>YES</v>
      </c>
    </row>
    <row r="269" spans="1:8" x14ac:dyDescent="0.2">
      <c r="A269" s="6" t="s">
        <v>283</v>
      </c>
      <c r="B269" s="7">
        <v>258</v>
      </c>
      <c r="C269" s="7">
        <v>30</v>
      </c>
      <c r="D269" s="7">
        <v>0.1163</v>
      </c>
      <c r="E269" s="7">
        <v>8.2699999999999996E-2</v>
      </c>
      <c r="F269" s="8" t="s">
        <v>35</v>
      </c>
      <c r="G269" s="8" t="s">
        <v>35</v>
      </c>
      <c r="H269" t="str">
        <f t="shared" si="4"/>
        <v>YES</v>
      </c>
    </row>
    <row r="270" spans="1:8" x14ac:dyDescent="0.2">
      <c r="A270" s="6" t="s">
        <v>284</v>
      </c>
      <c r="B270" s="7">
        <v>361</v>
      </c>
      <c r="C270" s="7">
        <v>40</v>
      </c>
      <c r="D270" s="7">
        <v>0.1108</v>
      </c>
      <c r="E270" s="7">
        <v>8.2400000000000001E-2</v>
      </c>
      <c r="F270" s="8" t="s">
        <v>35</v>
      </c>
      <c r="G270" s="8" t="s">
        <v>35</v>
      </c>
      <c r="H270" t="str">
        <f t="shared" si="4"/>
        <v>YES</v>
      </c>
    </row>
    <row r="271" spans="1:8" x14ac:dyDescent="0.2">
      <c r="A271" s="6" t="s">
        <v>285</v>
      </c>
      <c r="B271" s="7">
        <v>70</v>
      </c>
      <c r="C271" s="7">
        <v>10</v>
      </c>
      <c r="D271" s="7">
        <v>0.1429</v>
      </c>
      <c r="E271" s="7">
        <v>7.9500000000000001E-2</v>
      </c>
      <c r="F271" s="8" t="s">
        <v>35</v>
      </c>
      <c r="G271" s="8" t="s">
        <v>35</v>
      </c>
      <c r="H271" t="str">
        <f t="shared" si="4"/>
        <v>YES</v>
      </c>
    </row>
    <row r="272" spans="1:8" x14ac:dyDescent="0.2">
      <c r="A272" s="6" t="s">
        <v>286</v>
      </c>
      <c r="B272" s="7">
        <v>322</v>
      </c>
      <c r="C272" s="7">
        <v>35</v>
      </c>
      <c r="D272" s="7">
        <v>0.1087</v>
      </c>
      <c r="E272" s="7">
        <v>7.9200000000000007E-2</v>
      </c>
      <c r="F272" s="8" t="s">
        <v>35</v>
      </c>
      <c r="G272" s="8" t="s">
        <v>35</v>
      </c>
      <c r="H272" t="str">
        <f t="shared" si="4"/>
        <v>YES</v>
      </c>
    </row>
    <row r="273" spans="1:8" x14ac:dyDescent="0.2">
      <c r="A273" s="6" t="s">
        <v>287</v>
      </c>
      <c r="B273" s="7">
        <v>128</v>
      </c>
      <c r="C273" s="7">
        <v>16</v>
      </c>
      <c r="D273" s="7">
        <v>0.125</v>
      </c>
      <c r="E273" s="7">
        <v>7.8399999999999997E-2</v>
      </c>
      <c r="F273" s="8" t="s">
        <v>35</v>
      </c>
      <c r="G273" s="8" t="s">
        <v>35</v>
      </c>
      <c r="H273" t="str">
        <f t="shared" si="4"/>
        <v>YES</v>
      </c>
    </row>
    <row r="274" spans="1:8" x14ac:dyDescent="0.2">
      <c r="A274" s="6" t="s">
        <v>288</v>
      </c>
      <c r="B274" s="7">
        <v>62</v>
      </c>
      <c r="C274" s="7">
        <v>9</v>
      </c>
      <c r="D274" s="7">
        <v>0.1452</v>
      </c>
      <c r="E274" s="7">
        <v>7.8299999999999995E-2</v>
      </c>
      <c r="F274" s="8" t="s">
        <v>35</v>
      </c>
      <c r="G274" s="8" t="s">
        <v>17</v>
      </c>
      <c r="H274" t="str">
        <f t="shared" si="4"/>
        <v>NO</v>
      </c>
    </row>
    <row r="275" spans="1:8" x14ac:dyDescent="0.2">
      <c r="A275" s="6" t="s">
        <v>289</v>
      </c>
      <c r="B275" s="7">
        <v>100</v>
      </c>
      <c r="C275" s="7">
        <v>13</v>
      </c>
      <c r="D275" s="7">
        <v>0.13</v>
      </c>
      <c r="E275" s="7">
        <v>7.7600000000000002E-2</v>
      </c>
      <c r="F275" s="8" t="s">
        <v>35</v>
      </c>
      <c r="G275" s="8" t="s">
        <v>35</v>
      </c>
      <c r="H275" t="str">
        <f t="shared" si="4"/>
        <v>YES</v>
      </c>
    </row>
    <row r="276" spans="1:8" x14ac:dyDescent="0.2">
      <c r="A276" s="6" t="s">
        <v>290</v>
      </c>
      <c r="B276" s="7">
        <v>325</v>
      </c>
      <c r="C276" s="7">
        <v>34</v>
      </c>
      <c r="D276" s="7">
        <v>0.1046</v>
      </c>
      <c r="E276" s="7">
        <v>7.5800000000000006E-2</v>
      </c>
      <c r="F276" s="8" t="s">
        <v>35</v>
      </c>
      <c r="G276" s="8" t="s">
        <v>35</v>
      </c>
      <c r="H276" t="str">
        <f t="shared" si="4"/>
        <v>YES</v>
      </c>
    </row>
    <row r="277" spans="1:8" x14ac:dyDescent="0.2">
      <c r="A277" s="6" t="s">
        <v>291</v>
      </c>
      <c r="B277" s="7">
        <v>55</v>
      </c>
      <c r="C277" s="7">
        <v>8</v>
      </c>
      <c r="D277" s="7">
        <v>0.14549999999999999</v>
      </c>
      <c r="E277" s="7">
        <v>7.5600000000000001E-2</v>
      </c>
      <c r="F277" s="8" t="s">
        <v>35</v>
      </c>
      <c r="G277" s="8" t="s">
        <v>35</v>
      </c>
      <c r="H277" t="str">
        <f t="shared" si="4"/>
        <v>YES</v>
      </c>
    </row>
    <row r="278" spans="1:8" x14ac:dyDescent="0.2">
      <c r="A278" s="6" t="s">
        <v>292</v>
      </c>
      <c r="B278" s="7">
        <v>93</v>
      </c>
      <c r="C278" s="7">
        <v>12</v>
      </c>
      <c r="D278" s="7">
        <v>0.129</v>
      </c>
      <c r="E278" s="7">
        <v>7.5399999999999995E-2</v>
      </c>
      <c r="F278" s="8" t="s">
        <v>35</v>
      </c>
      <c r="G278" s="8" t="s">
        <v>35</v>
      </c>
      <c r="H278" t="str">
        <f t="shared" si="4"/>
        <v>YES</v>
      </c>
    </row>
    <row r="279" spans="1:8" x14ac:dyDescent="0.2">
      <c r="A279" s="6" t="s">
        <v>293</v>
      </c>
      <c r="B279" s="7">
        <v>75</v>
      </c>
      <c r="C279" s="7">
        <v>10</v>
      </c>
      <c r="D279" s="7">
        <v>0.1333</v>
      </c>
      <c r="E279" s="7">
        <v>7.4099999999999999E-2</v>
      </c>
      <c r="F279" s="8" t="s">
        <v>35</v>
      </c>
      <c r="G279" s="8" t="s">
        <v>35</v>
      </c>
      <c r="H279" t="str">
        <f t="shared" si="4"/>
        <v>YES</v>
      </c>
    </row>
    <row r="280" spans="1:8" x14ac:dyDescent="0.2">
      <c r="A280" s="6" t="s">
        <v>294</v>
      </c>
      <c r="B280" s="7">
        <v>76</v>
      </c>
      <c r="C280" s="7">
        <v>10</v>
      </c>
      <c r="D280" s="7">
        <v>0.13159999999999999</v>
      </c>
      <c r="E280" s="7">
        <v>7.3099999999999998E-2</v>
      </c>
      <c r="F280" s="8" t="s">
        <v>35</v>
      </c>
      <c r="G280" s="8" t="s">
        <v>35</v>
      </c>
      <c r="H280" t="str">
        <f t="shared" si="4"/>
        <v>YES</v>
      </c>
    </row>
    <row r="281" spans="1:8" x14ac:dyDescent="0.2">
      <c r="A281" s="6" t="s">
        <v>295</v>
      </c>
      <c r="B281" s="7">
        <v>397</v>
      </c>
      <c r="C281" s="7">
        <v>38</v>
      </c>
      <c r="D281" s="7">
        <v>9.5699999999999993E-2</v>
      </c>
      <c r="E281" s="7">
        <v>7.0499999999999993E-2</v>
      </c>
      <c r="F281" s="8" t="s">
        <v>35</v>
      </c>
      <c r="G281" s="8" t="s">
        <v>35</v>
      </c>
      <c r="H281" t="str">
        <f t="shared" si="4"/>
        <v>YES</v>
      </c>
    </row>
    <row r="282" spans="1:8" x14ac:dyDescent="0.2">
      <c r="A282" s="6" t="s">
        <v>296</v>
      </c>
      <c r="B282" s="7">
        <v>50</v>
      </c>
      <c r="C282" s="7">
        <v>7</v>
      </c>
      <c r="D282" s="7">
        <v>0.14000000000000001</v>
      </c>
      <c r="E282" s="7">
        <v>6.9500000000000006E-2</v>
      </c>
      <c r="F282" s="8" t="s">
        <v>35</v>
      </c>
      <c r="G282" s="8" t="s">
        <v>17</v>
      </c>
      <c r="H282" t="str">
        <f t="shared" si="4"/>
        <v>NO</v>
      </c>
    </row>
    <row r="283" spans="1:8" x14ac:dyDescent="0.2">
      <c r="A283" s="6" t="s">
        <v>297</v>
      </c>
      <c r="B283" s="7">
        <v>380</v>
      </c>
      <c r="C283" s="7">
        <v>36</v>
      </c>
      <c r="D283" s="7">
        <v>9.4700000000000006E-2</v>
      </c>
      <c r="E283" s="7">
        <v>6.9199999999999998E-2</v>
      </c>
      <c r="F283" s="8" t="s">
        <v>35</v>
      </c>
      <c r="G283" s="8" t="s">
        <v>35</v>
      </c>
      <c r="H283" t="str">
        <f t="shared" si="4"/>
        <v>YES</v>
      </c>
    </row>
    <row r="284" spans="1:8" x14ac:dyDescent="0.2">
      <c r="A284" s="6" t="s">
        <v>298</v>
      </c>
      <c r="B284" s="7">
        <v>225</v>
      </c>
      <c r="C284" s="7">
        <v>23</v>
      </c>
      <c r="D284" s="7">
        <v>0.1022</v>
      </c>
      <c r="E284" s="7">
        <v>6.9099999999999995E-2</v>
      </c>
      <c r="F284" s="8" t="s">
        <v>35</v>
      </c>
      <c r="G284" s="8" t="s">
        <v>17</v>
      </c>
      <c r="H284" t="str">
        <f t="shared" si="4"/>
        <v>NO</v>
      </c>
    </row>
    <row r="285" spans="1:8" x14ac:dyDescent="0.2">
      <c r="A285" s="6" t="s">
        <v>299</v>
      </c>
      <c r="B285" s="7">
        <v>94</v>
      </c>
      <c r="C285" s="7">
        <v>11</v>
      </c>
      <c r="D285" s="7">
        <v>0.11700000000000001</v>
      </c>
      <c r="E285" s="7">
        <v>6.6600000000000006E-2</v>
      </c>
      <c r="F285" s="8" t="s">
        <v>35</v>
      </c>
      <c r="G285" s="8" t="s">
        <v>35</v>
      </c>
      <c r="H285" t="str">
        <f t="shared" si="4"/>
        <v>YES</v>
      </c>
    </row>
    <row r="286" spans="1:8" x14ac:dyDescent="0.2">
      <c r="A286" s="6" t="s">
        <v>300</v>
      </c>
      <c r="B286" s="7">
        <v>16</v>
      </c>
      <c r="C286" s="7">
        <v>3</v>
      </c>
      <c r="D286" s="7">
        <v>0.1875</v>
      </c>
      <c r="E286" s="7">
        <v>6.59E-2</v>
      </c>
      <c r="F286" s="8" t="s">
        <v>35</v>
      </c>
      <c r="G286" s="8" t="s">
        <v>94</v>
      </c>
      <c r="H286" t="str">
        <f t="shared" si="4"/>
        <v>NO</v>
      </c>
    </row>
    <row r="287" spans="1:8" x14ac:dyDescent="0.2">
      <c r="A287" s="6" t="s">
        <v>301</v>
      </c>
      <c r="B287" s="7">
        <v>118</v>
      </c>
      <c r="C287" s="7">
        <v>13</v>
      </c>
      <c r="D287" s="7">
        <v>0.11020000000000001</v>
      </c>
      <c r="E287" s="7">
        <v>6.5500000000000003E-2</v>
      </c>
      <c r="F287" s="8" t="s">
        <v>35</v>
      </c>
      <c r="G287" s="8" t="s">
        <v>35</v>
      </c>
      <c r="H287" t="str">
        <f t="shared" si="4"/>
        <v>YES</v>
      </c>
    </row>
    <row r="288" spans="1:8" x14ac:dyDescent="0.2">
      <c r="A288" s="6" t="s">
        <v>302</v>
      </c>
      <c r="B288" s="7">
        <v>74</v>
      </c>
      <c r="C288" s="7">
        <v>9</v>
      </c>
      <c r="D288" s="7">
        <v>0.1216</v>
      </c>
      <c r="E288" s="7">
        <v>6.5299999999999997E-2</v>
      </c>
      <c r="F288" s="8" t="s">
        <v>35</v>
      </c>
      <c r="G288" s="8" t="s">
        <v>35</v>
      </c>
      <c r="H288" t="str">
        <f t="shared" si="4"/>
        <v>YES</v>
      </c>
    </row>
    <row r="289" spans="1:8" x14ac:dyDescent="0.2">
      <c r="A289" s="6" t="s">
        <v>303</v>
      </c>
      <c r="B289" s="7">
        <v>2264</v>
      </c>
      <c r="C289" s="7">
        <v>170</v>
      </c>
      <c r="D289" s="7">
        <v>7.51E-2</v>
      </c>
      <c r="E289" s="7">
        <v>6.4899999999999999E-2</v>
      </c>
      <c r="F289" s="8" t="s">
        <v>35</v>
      </c>
      <c r="G289" s="8" t="s">
        <v>35</v>
      </c>
      <c r="H289" t="str">
        <f t="shared" si="4"/>
        <v>YES</v>
      </c>
    </row>
    <row r="290" spans="1:8" x14ac:dyDescent="0.2">
      <c r="A290" s="6" t="s">
        <v>304</v>
      </c>
      <c r="B290" s="7">
        <v>54</v>
      </c>
      <c r="C290" s="7">
        <v>7</v>
      </c>
      <c r="D290" s="7">
        <v>0.12959999999999999</v>
      </c>
      <c r="E290" s="7">
        <v>6.4199999999999993E-2</v>
      </c>
      <c r="F290" s="8" t="s">
        <v>35</v>
      </c>
      <c r="G290" s="8" t="s">
        <v>94</v>
      </c>
      <c r="H290" t="str">
        <f t="shared" si="4"/>
        <v>NO</v>
      </c>
    </row>
    <row r="291" spans="1:8" x14ac:dyDescent="0.2">
      <c r="A291" s="6" t="s">
        <v>305</v>
      </c>
      <c r="B291" s="7">
        <v>217</v>
      </c>
      <c r="C291" s="7">
        <v>21</v>
      </c>
      <c r="D291" s="7">
        <v>9.6799999999999997E-2</v>
      </c>
      <c r="E291" s="7">
        <v>6.4199999999999993E-2</v>
      </c>
      <c r="F291" s="8" t="s">
        <v>35</v>
      </c>
      <c r="G291" s="8" t="s">
        <v>35</v>
      </c>
      <c r="H291" t="str">
        <f t="shared" si="4"/>
        <v>YES</v>
      </c>
    </row>
    <row r="292" spans="1:8" x14ac:dyDescent="0.2">
      <c r="A292" s="6" t="s">
        <v>306</v>
      </c>
      <c r="B292" s="7">
        <v>25</v>
      </c>
      <c r="C292" s="7">
        <v>4</v>
      </c>
      <c r="D292" s="7">
        <v>0.16</v>
      </c>
      <c r="E292" s="7">
        <v>6.4000000000000001E-2</v>
      </c>
      <c r="F292" s="8" t="s">
        <v>35</v>
      </c>
      <c r="G292" s="8" t="s">
        <v>17</v>
      </c>
      <c r="H292" t="str">
        <f t="shared" si="4"/>
        <v>NO</v>
      </c>
    </row>
    <row r="293" spans="1:8" x14ac:dyDescent="0.2">
      <c r="A293" s="6" t="s">
        <v>307</v>
      </c>
      <c r="B293" s="7">
        <v>44</v>
      </c>
      <c r="C293" s="7">
        <v>6</v>
      </c>
      <c r="D293" s="7">
        <v>0.13639999999999999</v>
      </c>
      <c r="E293" s="7">
        <v>6.4000000000000001E-2</v>
      </c>
      <c r="F293" s="8" t="s">
        <v>35</v>
      </c>
      <c r="G293" s="8" t="s">
        <v>35</v>
      </c>
      <c r="H293" t="str">
        <f t="shared" si="4"/>
        <v>YES</v>
      </c>
    </row>
    <row r="294" spans="1:8" x14ac:dyDescent="0.2">
      <c r="A294" s="6" t="s">
        <v>308</v>
      </c>
      <c r="B294" s="7">
        <v>44</v>
      </c>
      <c r="C294" s="7">
        <v>6</v>
      </c>
      <c r="D294" s="7">
        <v>0.13639999999999999</v>
      </c>
      <c r="E294" s="7">
        <v>6.4000000000000001E-2</v>
      </c>
      <c r="F294" s="8" t="s">
        <v>35</v>
      </c>
      <c r="G294" s="8" t="s">
        <v>17</v>
      </c>
      <c r="H294" t="str">
        <f t="shared" si="4"/>
        <v>NO</v>
      </c>
    </row>
    <row r="295" spans="1:8" x14ac:dyDescent="0.2">
      <c r="A295" s="6" t="s">
        <v>309</v>
      </c>
      <c r="B295" s="7">
        <v>146</v>
      </c>
      <c r="C295" s="7">
        <v>15</v>
      </c>
      <c r="D295" s="7">
        <v>0.1027</v>
      </c>
      <c r="E295" s="7">
        <v>6.3299999999999995E-2</v>
      </c>
      <c r="F295" s="8" t="s">
        <v>35</v>
      </c>
      <c r="G295" s="8" t="s">
        <v>35</v>
      </c>
      <c r="H295" t="str">
        <f t="shared" si="4"/>
        <v>YES</v>
      </c>
    </row>
    <row r="296" spans="1:8" x14ac:dyDescent="0.2">
      <c r="A296" s="6" t="s">
        <v>310</v>
      </c>
      <c r="B296" s="7">
        <v>300</v>
      </c>
      <c r="C296" s="7">
        <v>27</v>
      </c>
      <c r="D296" s="7">
        <v>0.09</v>
      </c>
      <c r="E296" s="7">
        <v>6.2600000000000003E-2</v>
      </c>
      <c r="F296" s="8" t="s">
        <v>35</v>
      </c>
      <c r="G296" s="8" t="s">
        <v>17</v>
      </c>
      <c r="H296" t="str">
        <f t="shared" si="4"/>
        <v>NO</v>
      </c>
    </row>
    <row r="297" spans="1:8" x14ac:dyDescent="0.2">
      <c r="A297" s="6" t="s">
        <v>311</v>
      </c>
      <c r="B297" s="7">
        <v>56</v>
      </c>
      <c r="C297" s="7">
        <v>7</v>
      </c>
      <c r="D297" s="7">
        <v>0.125</v>
      </c>
      <c r="E297" s="7">
        <v>6.1899999999999997E-2</v>
      </c>
      <c r="F297" s="8" t="s">
        <v>35</v>
      </c>
      <c r="G297" s="8" t="s">
        <v>35</v>
      </c>
      <c r="H297" t="str">
        <f t="shared" si="4"/>
        <v>YES</v>
      </c>
    </row>
    <row r="298" spans="1:8" x14ac:dyDescent="0.2">
      <c r="A298" s="6" t="s">
        <v>312</v>
      </c>
      <c r="B298" s="7">
        <v>412</v>
      </c>
      <c r="C298" s="7">
        <v>35</v>
      </c>
      <c r="D298" s="7">
        <v>8.5000000000000006E-2</v>
      </c>
      <c r="E298" s="7">
        <v>6.1699999999999998E-2</v>
      </c>
      <c r="F298" s="8" t="s">
        <v>35</v>
      </c>
      <c r="G298" s="8" t="s">
        <v>35</v>
      </c>
      <c r="H298" t="str">
        <f t="shared" si="4"/>
        <v>YES</v>
      </c>
    </row>
    <row r="299" spans="1:8" x14ac:dyDescent="0.2">
      <c r="A299" s="6" t="s">
        <v>313</v>
      </c>
      <c r="B299" s="7">
        <v>3</v>
      </c>
      <c r="C299" s="7">
        <v>1</v>
      </c>
      <c r="D299" s="7">
        <v>0.33329999999999999</v>
      </c>
      <c r="E299" s="7">
        <v>6.1499999999999999E-2</v>
      </c>
      <c r="F299" s="8" t="s">
        <v>35</v>
      </c>
      <c r="G299" s="8" t="s">
        <v>94</v>
      </c>
      <c r="H299" t="str">
        <f t="shared" si="4"/>
        <v>NO</v>
      </c>
    </row>
    <row r="300" spans="1:8" x14ac:dyDescent="0.2">
      <c r="A300" s="6" t="s">
        <v>314</v>
      </c>
      <c r="B300" s="7">
        <v>3</v>
      </c>
      <c r="C300" s="7">
        <v>1</v>
      </c>
      <c r="D300" s="7">
        <v>0.33329999999999999</v>
      </c>
      <c r="E300" s="7">
        <v>6.1499999999999999E-2</v>
      </c>
      <c r="F300" s="8" t="s">
        <v>35</v>
      </c>
      <c r="G300" s="8" t="s">
        <v>94</v>
      </c>
      <c r="H300" t="str">
        <f t="shared" si="4"/>
        <v>NO</v>
      </c>
    </row>
    <row r="301" spans="1:8" x14ac:dyDescent="0.2">
      <c r="A301" s="6" t="s">
        <v>315</v>
      </c>
      <c r="B301" s="7">
        <v>3</v>
      </c>
      <c r="C301" s="7">
        <v>1</v>
      </c>
      <c r="D301" s="7">
        <v>0.33329999999999999</v>
      </c>
      <c r="E301" s="7">
        <v>6.1499999999999999E-2</v>
      </c>
      <c r="F301" s="8" t="s">
        <v>35</v>
      </c>
      <c r="G301" s="8" t="s">
        <v>94</v>
      </c>
      <c r="H301" t="str">
        <f t="shared" si="4"/>
        <v>NO</v>
      </c>
    </row>
    <row r="302" spans="1:8" x14ac:dyDescent="0.2">
      <c r="A302" s="6" t="s">
        <v>316</v>
      </c>
      <c r="B302" s="7">
        <v>3</v>
      </c>
      <c r="C302" s="7">
        <v>1</v>
      </c>
      <c r="D302" s="7">
        <v>0.33329999999999999</v>
      </c>
      <c r="E302" s="7">
        <v>6.1499999999999999E-2</v>
      </c>
      <c r="F302" s="8" t="s">
        <v>35</v>
      </c>
      <c r="G302" s="8" t="s">
        <v>94</v>
      </c>
      <c r="H302" t="str">
        <f t="shared" si="4"/>
        <v>NO</v>
      </c>
    </row>
    <row r="303" spans="1:8" x14ac:dyDescent="0.2">
      <c r="A303" s="6" t="s">
        <v>317</v>
      </c>
      <c r="B303" s="7">
        <v>127</v>
      </c>
      <c r="C303" s="7">
        <v>13</v>
      </c>
      <c r="D303" s="7">
        <v>0.1024</v>
      </c>
      <c r="E303" s="7">
        <v>6.08E-2</v>
      </c>
      <c r="F303" s="8" t="s">
        <v>35</v>
      </c>
      <c r="G303" s="8" t="s">
        <v>35</v>
      </c>
      <c r="H303" t="str">
        <f t="shared" si="4"/>
        <v>YES</v>
      </c>
    </row>
    <row r="304" spans="1:8" x14ac:dyDescent="0.2">
      <c r="A304" s="6" t="s">
        <v>318</v>
      </c>
      <c r="B304" s="7">
        <v>47</v>
      </c>
      <c r="C304" s="7">
        <v>6</v>
      </c>
      <c r="D304" s="7">
        <v>0.12770000000000001</v>
      </c>
      <c r="E304" s="7">
        <v>5.9799999999999999E-2</v>
      </c>
      <c r="F304" s="8" t="s">
        <v>35</v>
      </c>
      <c r="G304" s="8" t="s">
        <v>35</v>
      </c>
      <c r="H304" t="str">
        <f t="shared" si="4"/>
        <v>YES</v>
      </c>
    </row>
    <row r="305" spans="1:8" x14ac:dyDescent="0.2">
      <c r="A305" s="6" t="s">
        <v>319</v>
      </c>
      <c r="B305" s="7">
        <v>93</v>
      </c>
      <c r="C305" s="7">
        <v>10</v>
      </c>
      <c r="D305" s="7">
        <v>0.1075</v>
      </c>
      <c r="E305" s="7">
        <v>5.9499999999999997E-2</v>
      </c>
      <c r="F305" s="8" t="s">
        <v>35</v>
      </c>
      <c r="G305" s="8" t="s">
        <v>35</v>
      </c>
      <c r="H305" t="str">
        <f t="shared" si="4"/>
        <v>YES</v>
      </c>
    </row>
    <row r="306" spans="1:8" x14ac:dyDescent="0.2">
      <c r="A306" s="6" t="s">
        <v>320</v>
      </c>
      <c r="B306" s="7">
        <v>27</v>
      </c>
      <c r="C306" s="7">
        <v>4</v>
      </c>
      <c r="D306" s="7">
        <v>0.14810000000000001</v>
      </c>
      <c r="E306" s="7">
        <v>5.9200000000000003E-2</v>
      </c>
      <c r="F306" s="8" t="s">
        <v>35</v>
      </c>
      <c r="G306" s="8" t="s">
        <v>17</v>
      </c>
      <c r="H306" t="str">
        <f t="shared" si="4"/>
        <v>NO</v>
      </c>
    </row>
    <row r="307" spans="1:8" x14ac:dyDescent="0.2">
      <c r="A307" s="6" t="s">
        <v>321</v>
      </c>
      <c r="B307" s="7">
        <v>517</v>
      </c>
      <c r="C307" s="7">
        <v>41</v>
      </c>
      <c r="D307" s="7">
        <v>7.9299999999999995E-2</v>
      </c>
      <c r="E307" s="7">
        <v>5.8999999999999997E-2</v>
      </c>
      <c r="F307" s="8" t="s">
        <v>35</v>
      </c>
      <c r="G307" s="8" t="s">
        <v>35</v>
      </c>
      <c r="H307" t="str">
        <f t="shared" si="4"/>
        <v>YES</v>
      </c>
    </row>
    <row r="308" spans="1:8" x14ac:dyDescent="0.2">
      <c r="A308" s="6" t="s">
        <v>322</v>
      </c>
      <c r="B308" s="7">
        <v>291</v>
      </c>
      <c r="C308" s="7">
        <v>25</v>
      </c>
      <c r="D308" s="7">
        <v>8.5900000000000004E-2</v>
      </c>
      <c r="E308" s="7">
        <v>5.8900000000000001E-2</v>
      </c>
      <c r="F308" s="8" t="s">
        <v>35</v>
      </c>
      <c r="G308" s="8" t="s">
        <v>17</v>
      </c>
      <c r="H308" t="str">
        <f t="shared" si="4"/>
        <v>NO</v>
      </c>
    </row>
    <row r="309" spans="1:8" x14ac:dyDescent="0.2">
      <c r="A309" s="6" t="s">
        <v>323</v>
      </c>
      <c r="B309" s="7">
        <v>279</v>
      </c>
      <c r="C309" s="7">
        <v>24</v>
      </c>
      <c r="D309" s="7">
        <v>8.5999999999999993E-2</v>
      </c>
      <c r="E309" s="7">
        <v>5.8500000000000003E-2</v>
      </c>
      <c r="F309" s="8" t="s">
        <v>35</v>
      </c>
      <c r="G309" s="8" t="s">
        <v>35</v>
      </c>
      <c r="H309" t="str">
        <f t="shared" si="4"/>
        <v>YES</v>
      </c>
    </row>
    <row r="310" spans="1:8" x14ac:dyDescent="0.2">
      <c r="A310" s="6" t="s">
        <v>324</v>
      </c>
      <c r="B310" s="7">
        <v>18</v>
      </c>
      <c r="C310" s="7">
        <v>3</v>
      </c>
      <c r="D310" s="7">
        <v>0.16669999999999999</v>
      </c>
      <c r="E310" s="7">
        <v>5.8400000000000001E-2</v>
      </c>
      <c r="F310" s="8" t="s">
        <v>35</v>
      </c>
      <c r="G310" s="8" t="s">
        <v>35</v>
      </c>
      <c r="H310" t="str">
        <f t="shared" si="4"/>
        <v>YES</v>
      </c>
    </row>
    <row r="311" spans="1:8" x14ac:dyDescent="0.2">
      <c r="A311" s="6" t="s">
        <v>325</v>
      </c>
      <c r="B311" s="7">
        <v>71</v>
      </c>
      <c r="C311" s="7">
        <v>8</v>
      </c>
      <c r="D311" s="7">
        <v>0.11269999999999999</v>
      </c>
      <c r="E311" s="7">
        <v>5.8200000000000002E-2</v>
      </c>
      <c r="F311" s="8" t="s">
        <v>35</v>
      </c>
      <c r="G311" s="8" t="s">
        <v>35</v>
      </c>
      <c r="H311" t="str">
        <f t="shared" si="4"/>
        <v>YES</v>
      </c>
    </row>
    <row r="312" spans="1:8" x14ac:dyDescent="0.2">
      <c r="A312" s="6" t="s">
        <v>326</v>
      </c>
      <c r="B312" s="7">
        <v>297</v>
      </c>
      <c r="C312" s="7">
        <v>25</v>
      </c>
      <c r="D312" s="7">
        <v>8.4199999999999997E-2</v>
      </c>
      <c r="E312" s="7">
        <v>5.7700000000000001E-2</v>
      </c>
      <c r="F312" s="8" t="s">
        <v>35</v>
      </c>
      <c r="G312" s="8" t="s">
        <v>35</v>
      </c>
      <c r="H312" t="str">
        <f t="shared" si="4"/>
        <v>YES</v>
      </c>
    </row>
    <row r="313" spans="1:8" x14ac:dyDescent="0.2">
      <c r="A313" s="6" t="s">
        <v>327</v>
      </c>
      <c r="B313" s="7">
        <v>38</v>
      </c>
      <c r="C313" s="7">
        <v>5</v>
      </c>
      <c r="D313" s="7">
        <v>0.13159999999999999</v>
      </c>
      <c r="E313" s="7">
        <v>5.7500000000000002E-2</v>
      </c>
      <c r="F313" s="8" t="s">
        <v>35</v>
      </c>
      <c r="G313" s="8" t="s">
        <v>35</v>
      </c>
      <c r="H313" t="str">
        <f t="shared" si="4"/>
        <v>YES</v>
      </c>
    </row>
    <row r="314" spans="1:8" x14ac:dyDescent="0.2">
      <c r="A314" s="6" t="s">
        <v>328</v>
      </c>
      <c r="B314" s="7">
        <v>72</v>
      </c>
      <c r="C314" s="7">
        <v>8</v>
      </c>
      <c r="D314" s="7">
        <v>0.1111</v>
      </c>
      <c r="E314" s="7">
        <v>5.74E-2</v>
      </c>
      <c r="F314" s="8" t="s">
        <v>35</v>
      </c>
      <c r="G314" s="8" t="s">
        <v>35</v>
      </c>
      <c r="H314" t="str">
        <f t="shared" si="4"/>
        <v>YES</v>
      </c>
    </row>
    <row r="315" spans="1:8" x14ac:dyDescent="0.2">
      <c r="A315" s="6" t="s">
        <v>329</v>
      </c>
      <c r="B315" s="7">
        <v>49</v>
      </c>
      <c r="C315" s="7">
        <v>6</v>
      </c>
      <c r="D315" s="7">
        <v>0.12239999999999999</v>
      </c>
      <c r="E315" s="7">
        <v>5.7299999999999997E-2</v>
      </c>
      <c r="F315" s="8" t="s">
        <v>35</v>
      </c>
      <c r="G315" s="8" t="s">
        <v>35</v>
      </c>
      <c r="H315" t="str">
        <f t="shared" si="4"/>
        <v>YES</v>
      </c>
    </row>
    <row r="316" spans="1:8" x14ac:dyDescent="0.2">
      <c r="A316" s="6" t="s">
        <v>330</v>
      </c>
      <c r="B316" s="7">
        <v>49</v>
      </c>
      <c r="C316" s="7">
        <v>6</v>
      </c>
      <c r="D316" s="7">
        <v>0.12239999999999999</v>
      </c>
      <c r="E316" s="7">
        <v>5.7299999999999997E-2</v>
      </c>
      <c r="F316" s="8" t="s">
        <v>35</v>
      </c>
      <c r="G316" s="8" t="s">
        <v>94</v>
      </c>
      <c r="H316" t="str">
        <f t="shared" si="4"/>
        <v>NO</v>
      </c>
    </row>
    <row r="317" spans="1:8" x14ac:dyDescent="0.2">
      <c r="A317" s="6" t="s">
        <v>331</v>
      </c>
      <c r="B317" s="7">
        <v>135</v>
      </c>
      <c r="C317" s="7">
        <v>13</v>
      </c>
      <c r="D317" s="7">
        <v>9.6299999999999997E-2</v>
      </c>
      <c r="E317" s="7">
        <v>5.7099999999999998E-2</v>
      </c>
      <c r="F317" s="8" t="s">
        <v>35</v>
      </c>
      <c r="G317" s="8" t="s">
        <v>35</v>
      </c>
      <c r="H317" t="str">
        <f t="shared" si="4"/>
        <v>YES</v>
      </c>
    </row>
    <row r="318" spans="1:8" x14ac:dyDescent="0.2">
      <c r="A318" s="6" t="s">
        <v>332</v>
      </c>
      <c r="B318" s="7">
        <v>230</v>
      </c>
      <c r="C318" s="7">
        <v>20</v>
      </c>
      <c r="D318" s="7">
        <v>8.6999999999999994E-2</v>
      </c>
      <c r="E318" s="7">
        <v>5.7000000000000002E-2</v>
      </c>
      <c r="F318" s="8" t="s">
        <v>35</v>
      </c>
      <c r="G318" s="8" t="s">
        <v>35</v>
      </c>
      <c r="H318" t="str">
        <f t="shared" si="4"/>
        <v>YES</v>
      </c>
    </row>
    <row r="319" spans="1:8" x14ac:dyDescent="0.2">
      <c r="A319" s="6" t="s">
        <v>333</v>
      </c>
      <c r="B319" s="7">
        <v>10</v>
      </c>
      <c r="C319" s="7">
        <v>2</v>
      </c>
      <c r="D319" s="7">
        <v>0.2</v>
      </c>
      <c r="E319" s="7">
        <v>5.67E-2</v>
      </c>
      <c r="F319" s="8" t="s">
        <v>35</v>
      </c>
      <c r="G319" s="8" t="s">
        <v>35</v>
      </c>
      <c r="H319" t="str">
        <f t="shared" si="4"/>
        <v>YES</v>
      </c>
    </row>
    <row r="320" spans="1:8" x14ac:dyDescent="0.2">
      <c r="A320" s="6" t="s">
        <v>334</v>
      </c>
      <c r="B320" s="7">
        <v>10</v>
      </c>
      <c r="C320" s="7">
        <v>2</v>
      </c>
      <c r="D320" s="7">
        <v>0.2</v>
      </c>
      <c r="E320" s="7">
        <v>5.67E-2</v>
      </c>
      <c r="F320" s="8" t="s">
        <v>35</v>
      </c>
      <c r="G320" s="8" t="s">
        <v>94</v>
      </c>
      <c r="H320" t="str">
        <f t="shared" si="4"/>
        <v>NO</v>
      </c>
    </row>
    <row r="321" spans="1:8" x14ac:dyDescent="0.2">
      <c r="A321" s="6" t="s">
        <v>335</v>
      </c>
      <c r="B321" s="7">
        <v>10</v>
      </c>
      <c r="C321" s="7">
        <v>2</v>
      </c>
      <c r="D321" s="7">
        <v>0.2</v>
      </c>
      <c r="E321" s="7">
        <v>5.67E-2</v>
      </c>
      <c r="F321" s="8" t="s">
        <v>35</v>
      </c>
      <c r="G321" s="8" t="s">
        <v>94</v>
      </c>
      <c r="H321" t="str">
        <f t="shared" si="4"/>
        <v>NO</v>
      </c>
    </row>
    <row r="322" spans="1:8" x14ac:dyDescent="0.2">
      <c r="A322" s="6" t="s">
        <v>336</v>
      </c>
      <c r="B322" s="7">
        <v>50</v>
      </c>
      <c r="C322" s="7">
        <v>6</v>
      </c>
      <c r="D322" s="7">
        <v>0.12</v>
      </c>
      <c r="E322" s="7">
        <v>5.62E-2</v>
      </c>
      <c r="F322" s="8" t="s">
        <v>35</v>
      </c>
      <c r="G322" s="8" t="s">
        <v>35</v>
      </c>
      <c r="H322" t="str">
        <f t="shared" si="4"/>
        <v>YES</v>
      </c>
    </row>
    <row r="323" spans="1:8" x14ac:dyDescent="0.2">
      <c r="A323" s="6" t="s">
        <v>337</v>
      </c>
      <c r="B323" s="7">
        <v>207</v>
      </c>
      <c r="C323" s="7">
        <v>18</v>
      </c>
      <c r="D323" s="7">
        <v>8.6999999999999994E-2</v>
      </c>
      <c r="E323" s="7">
        <v>5.57E-2</v>
      </c>
      <c r="F323" s="8" t="s">
        <v>35</v>
      </c>
      <c r="G323" s="8" t="s">
        <v>17</v>
      </c>
      <c r="H323" t="str">
        <f t="shared" si="4"/>
        <v>NO</v>
      </c>
    </row>
    <row r="324" spans="1:8" x14ac:dyDescent="0.2">
      <c r="A324" s="6" t="s">
        <v>338</v>
      </c>
      <c r="B324" s="7">
        <v>51</v>
      </c>
      <c r="C324" s="7">
        <v>6</v>
      </c>
      <c r="D324" s="7">
        <v>0.1176</v>
      </c>
      <c r="E324" s="7">
        <v>5.5E-2</v>
      </c>
      <c r="F324" s="8" t="s">
        <v>35</v>
      </c>
      <c r="G324" s="8" t="s">
        <v>35</v>
      </c>
      <c r="H324" t="str">
        <f t="shared" si="4"/>
        <v>YES</v>
      </c>
    </row>
    <row r="325" spans="1:8" x14ac:dyDescent="0.2">
      <c r="A325" s="6" t="s">
        <v>339</v>
      </c>
      <c r="B325" s="7">
        <v>29</v>
      </c>
      <c r="C325" s="7">
        <v>4</v>
      </c>
      <c r="D325" s="7">
        <v>0.13789999999999999</v>
      </c>
      <c r="E325" s="7">
        <v>5.5E-2</v>
      </c>
      <c r="F325" s="8" t="s">
        <v>35</v>
      </c>
      <c r="G325" s="8" t="s">
        <v>17</v>
      </c>
      <c r="H325" t="str">
        <f t="shared" ref="H325:H388" si="5">IF(F325=G325,"YES","NO")</f>
        <v>NO</v>
      </c>
    </row>
    <row r="326" spans="1:8" x14ac:dyDescent="0.2">
      <c r="A326" s="6" t="s">
        <v>340</v>
      </c>
      <c r="B326" s="7">
        <v>29</v>
      </c>
      <c r="C326" s="7">
        <v>4</v>
      </c>
      <c r="D326" s="7">
        <v>0.13789999999999999</v>
      </c>
      <c r="E326" s="7">
        <v>5.5E-2</v>
      </c>
      <c r="F326" s="8" t="s">
        <v>35</v>
      </c>
      <c r="G326" s="8" t="s">
        <v>17</v>
      </c>
      <c r="H326" t="str">
        <f t="shared" si="5"/>
        <v>NO</v>
      </c>
    </row>
    <row r="327" spans="1:8" x14ac:dyDescent="0.2">
      <c r="A327" s="6" t="s">
        <v>341</v>
      </c>
      <c r="B327" s="7">
        <v>52</v>
      </c>
      <c r="C327" s="7">
        <v>6</v>
      </c>
      <c r="D327" s="7">
        <v>0.1154</v>
      </c>
      <c r="E327" s="7">
        <v>5.3999999999999999E-2</v>
      </c>
      <c r="F327" s="8" t="s">
        <v>35</v>
      </c>
      <c r="G327" s="8" t="s">
        <v>94</v>
      </c>
      <c r="H327" t="str">
        <f t="shared" si="5"/>
        <v>NO</v>
      </c>
    </row>
    <row r="328" spans="1:8" x14ac:dyDescent="0.2">
      <c r="A328" s="6" t="s">
        <v>342</v>
      </c>
      <c r="B328" s="7">
        <v>41</v>
      </c>
      <c r="C328" s="7">
        <v>5</v>
      </c>
      <c r="D328" s="7">
        <v>0.122</v>
      </c>
      <c r="E328" s="7">
        <v>5.3199999999999997E-2</v>
      </c>
      <c r="F328" s="8" t="s">
        <v>35</v>
      </c>
      <c r="G328" s="8" t="s">
        <v>35</v>
      </c>
      <c r="H328" t="str">
        <f t="shared" si="5"/>
        <v>YES</v>
      </c>
    </row>
    <row r="329" spans="1:8" x14ac:dyDescent="0.2">
      <c r="A329" s="6" t="s">
        <v>343</v>
      </c>
      <c r="B329" s="7">
        <v>20</v>
      </c>
      <c r="C329" s="7">
        <v>3</v>
      </c>
      <c r="D329" s="7">
        <v>0.15</v>
      </c>
      <c r="E329" s="7">
        <v>5.2400000000000002E-2</v>
      </c>
      <c r="F329" s="8" t="s">
        <v>35</v>
      </c>
      <c r="G329" s="8" t="s">
        <v>35</v>
      </c>
      <c r="H329" t="str">
        <f t="shared" si="5"/>
        <v>YES</v>
      </c>
    </row>
    <row r="330" spans="1:8" x14ac:dyDescent="0.2">
      <c r="A330" s="6" t="s">
        <v>344</v>
      </c>
      <c r="B330" s="7">
        <v>31</v>
      </c>
      <c r="C330" s="7">
        <v>4</v>
      </c>
      <c r="D330" s="7">
        <v>0.129</v>
      </c>
      <c r="E330" s="7">
        <v>5.1299999999999998E-2</v>
      </c>
      <c r="F330" s="8" t="s">
        <v>35</v>
      </c>
      <c r="G330" s="8" t="s">
        <v>17</v>
      </c>
      <c r="H330" t="str">
        <f t="shared" si="5"/>
        <v>NO</v>
      </c>
    </row>
    <row r="331" spans="1:8" x14ac:dyDescent="0.2">
      <c r="A331" s="6" t="s">
        <v>345</v>
      </c>
      <c r="B331" s="7">
        <v>446</v>
      </c>
      <c r="C331" s="7">
        <v>32</v>
      </c>
      <c r="D331" s="7">
        <v>7.17E-2</v>
      </c>
      <c r="E331" s="7">
        <v>5.1299999999999998E-2</v>
      </c>
      <c r="F331" s="8" t="s">
        <v>35</v>
      </c>
      <c r="G331" s="8" t="s">
        <v>35</v>
      </c>
      <c r="H331" t="str">
        <f t="shared" si="5"/>
        <v>YES</v>
      </c>
    </row>
    <row r="332" spans="1:8" x14ac:dyDescent="0.2">
      <c r="A332" s="6" t="s">
        <v>346</v>
      </c>
      <c r="B332" s="7">
        <v>137</v>
      </c>
      <c r="C332" s="7">
        <v>12</v>
      </c>
      <c r="D332" s="7">
        <v>8.7599999999999997E-2</v>
      </c>
      <c r="E332" s="7">
        <v>5.0799999999999998E-2</v>
      </c>
      <c r="F332" s="8" t="s">
        <v>35</v>
      </c>
      <c r="G332" s="8" t="s">
        <v>35</v>
      </c>
      <c r="H332" t="str">
        <f t="shared" si="5"/>
        <v>YES</v>
      </c>
    </row>
    <row r="333" spans="1:8" x14ac:dyDescent="0.2">
      <c r="A333" s="6" t="s">
        <v>347</v>
      </c>
      <c r="B333" s="7">
        <v>96</v>
      </c>
      <c r="C333" s="7">
        <v>9</v>
      </c>
      <c r="D333" s="7">
        <v>9.3799999999999994E-2</v>
      </c>
      <c r="E333" s="7">
        <v>5.0099999999999999E-2</v>
      </c>
      <c r="F333" s="8" t="s">
        <v>35</v>
      </c>
      <c r="G333" s="8" t="s">
        <v>35</v>
      </c>
      <c r="H333" t="str">
        <f t="shared" si="5"/>
        <v>YES</v>
      </c>
    </row>
    <row r="334" spans="1:8" x14ac:dyDescent="0.2">
      <c r="A334" s="6" t="s">
        <v>348</v>
      </c>
      <c r="B334" s="7">
        <v>96</v>
      </c>
      <c r="C334" s="7">
        <v>9</v>
      </c>
      <c r="D334" s="7">
        <v>9.3799999999999994E-2</v>
      </c>
      <c r="E334" s="7">
        <v>5.0099999999999999E-2</v>
      </c>
      <c r="F334" s="8" t="s">
        <v>35</v>
      </c>
      <c r="G334" s="8" t="s">
        <v>35</v>
      </c>
      <c r="H334" t="str">
        <f t="shared" si="5"/>
        <v>YES</v>
      </c>
    </row>
    <row r="335" spans="1:8" x14ac:dyDescent="0.2">
      <c r="A335" s="6" t="s">
        <v>349</v>
      </c>
      <c r="B335" s="7">
        <v>143</v>
      </c>
      <c r="C335" s="7">
        <v>12</v>
      </c>
      <c r="D335" s="7">
        <v>8.3900000000000002E-2</v>
      </c>
      <c r="E335" s="7">
        <v>4.87E-2</v>
      </c>
      <c r="F335" s="8" t="s">
        <v>35</v>
      </c>
      <c r="G335" s="8" t="s">
        <v>17</v>
      </c>
      <c r="H335" t="str">
        <f t="shared" si="5"/>
        <v>NO</v>
      </c>
    </row>
    <row r="336" spans="1:8" x14ac:dyDescent="0.2">
      <c r="A336" s="6" t="s">
        <v>350</v>
      </c>
      <c r="B336" s="7">
        <v>306</v>
      </c>
      <c r="C336" s="7">
        <v>22</v>
      </c>
      <c r="D336" s="7">
        <v>7.1900000000000006E-2</v>
      </c>
      <c r="E336" s="7">
        <v>4.8000000000000001E-2</v>
      </c>
      <c r="F336" s="8" t="s">
        <v>35</v>
      </c>
      <c r="G336" s="8" t="s">
        <v>35</v>
      </c>
      <c r="H336" t="str">
        <f t="shared" si="5"/>
        <v>YES</v>
      </c>
    </row>
    <row r="337" spans="1:8" x14ac:dyDescent="0.2">
      <c r="A337" s="6" t="s">
        <v>351</v>
      </c>
      <c r="B337" s="7">
        <v>59</v>
      </c>
      <c r="C337" s="7">
        <v>6</v>
      </c>
      <c r="D337" s="7">
        <v>0.1017</v>
      </c>
      <c r="E337" s="7">
        <v>4.7399999999999998E-2</v>
      </c>
      <c r="F337" s="8" t="s">
        <v>35</v>
      </c>
      <c r="G337" s="8" t="s">
        <v>35</v>
      </c>
      <c r="H337" t="str">
        <f t="shared" si="5"/>
        <v>YES</v>
      </c>
    </row>
    <row r="338" spans="1:8" x14ac:dyDescent="0.2">
      <c r="A338" s="6" t="s">
        <v>352</v>
      </c>
      <c r="B338" s="7">
        <v>194</v>
      </c>
      <c r="C338" s="7">
        <v>15</v>
      </c>
      <c r="D338" s="7">
        <v>7.7299999999999994E-2</v>
      </c>
      <c r="E338" s="7">
        <v>4.7399999999999998E-2</v>
      </c>
      <c r="F338" s="8" t="s">
        <v>35</v>
      </c>
      <c r="G338" s="8" t="s">
        <v>35</v>
      </c>
      <c r="H338" t="str">
        <f t="shared" si="5"/>
        <v>YES</v>
      </c>
    </row>
    <row r="339" spans="1:8" x14ac:dyDescent="0.2">
      <c r="A339" s="6" t="s">
        <v>353</v>
      </c>
      <c r="B339" s="7">
        <v>73</v>
      </c>
      <c r="C339" s="7">
        <v>7</v>
      </c>
      <c r="D339" s="7">
        <v>9.5899999999999999E-2</v>
      </c>
      <c r="E339" s="7">
        <v>4.7199999999999999E-2</v>
      </c>
      <c r="F339" s="8" t="s">
        <v>35</v>
      </c>
      <c r="G339" s="8" t="s">
        <v>35</v>
      </c>
      <c r="H339" t="str">
        <f t="shared" si="5"/>
        <v>YES</v>
      </c>
    </row>
    <row r="340" spans="1:8" x14ac:dyDescent="0.2">
      <c r="A340" s="6" t="s">
        <v>354</v>
      </c>
      <c r="B340" s="7">
        <v>12</v>
      </c>
      <c r="C340" s="7">
        <v>2</v>
      </c>
      <c r="D340" s="7">
        <v>0.16669999999999999</v>
      </c>
      <c r="E340" s="7">
        <v>4.7E-2</v>
      </c>
      <c r="F340" s="8" t="s">
        <v>35</v>
      </c>
      <c r="G340" s="8" t="s">
        <v>17</v>
      </c>
      <c r="H340" t="str">
        <f t="shared" si="5"/>
        <v>NO</v>
      </c>
    </row>
    <row r="341" spans="1:8" x14ac:dyDescent="0.2">
      <c r="A341" s="6" t="s">
        <v>355</v>
      </c>
      <c r="B341" s="7">
        <v>47</v>
      </c>
      <c r="C341" s="7">
        <v>5</v>
      </c>
      <c r="D341" s="7">
        <v>0.10639999999999999</v>
      </c>
      <c r="E341" s="7">
        <v>4.6300000000000001E-2</v>
      </c>
      <c r="F341" s="8" t="s">
        <v>35</v>
      </c>
      <c r="G341" s="8" t="s">
        <v>17</v>
      </c>
      <c r="H341" t="str">
        <f t="shared" si="5"/>
        <v>NO</v>
      </c>
    </row>
    <row r="342" spans="1:8" x14ac:dyDescent="0.2">
      <c r="A342" s="6" t="s">
        <v>356</v>
      </c>
      <c r="B342" s="7">
        <v>517</v>
      </c>
      <c r="C342" s="7">
        <v>33</v>
      </c>
      <c r="D342" s="7">
        <v>6.3799999999999996E-2</v>
      </c>
      <c r="E342" s="7">
        <v>4.58E-2</v>
      </c>
      <c r="F342" s="8" t="s">
        <v>35</v>
      </c>
      <c r="G342" s="8" t="s">
        <v>35</v>
      </c>
      <c r="H342" t="str">
        <f t="shared" si="5"/>
        <v>YES</v>
      </c>
    </row>
    <row r="343" spans="1:8" x14ac:dyDescent="0.2">
      <c r="A343" s="6" t="s">
        <v>357</v>
      </c>
      <c r="B343" s="7">
        <v>4</v>
      </c>
      <c r="C343" s="7">
        <v>1</v>
      </c>
      <c r="D343" s="7">
        <v>0.25</v>
      </c>
      <c r="E343" s="7">
        <v>4.5600000000000002E-2</v>
      </c>
      <c r="F343" s="8" t="s">
        <v>35</v>
      </c>
      <c r="G343" s="8" t="s">
        <v>94</v>
      </c>
      <c r="H343" t="str">
        <f t="shared" si="5"/>
        <v>NO</v>
      </c>
    </row>
    <row r="344" spans="1:8" x14ac:dyDescent="0.2">
      <c r="A344" s="6" t="s">
        <v>358</v>
      </c>
      <c r="B344" s="7">
        <v>4</v>
      </c>
      <c r="C344" s="7">
        <v>1</v>
      </c>
      <c r="D344" s="7">
        <v>0.25</v>
      </c>
      <c r="E344" s="7">
        <v>4.5600000000000002E-2</v>
      </c>
      <c r="F344" s="8" t="s">
        <v>35</v>
      </c>
      <c r="G344" s="8" t="s">
        <v>94</v>
      </c>
      <c r="H344" t="str">
        <f t="shared" si="5"/>
        <v>NO</v>
      </c>
    </row>
    <row r="345" spans="1:8" x14ac:dyDescent="0.2">
      <c r="A345" s="6" t="s">
        <v>359</v>
      </c>
      <c r="B345" s="7">
        <v>4</v>
      </c>
      <c r="C345" s="7">
        <v>1</v>
      </c>
      <c r="D345" s="7">
        <v>0.25</v>
      </c>
      <c r="E345" s="7">
        <v>4.5600000000000002E-2</v>
      </c>
      <c r="F345" s="8" t="s">
        <v>35</v>
      </c>
      <c r="G345" s="8" t="s">
        <v>94</v>
      </c>
      <c r="H345" t="str">
        <f t="shared" si="5"/>
        <v>NO</v>
      </c>
    </row>
    <row r="346" spans="1:8" x14ac:dyDescent="0.2">
      <c r="A346" s="6" t="s">
        <v>360</v>
      </c>
      <c r="B346" s="7">
        <v>4</v>
      </c>
      <c r="C346" s="7">
        <v>1</v>
      </c>
      <c r="D346" s="7">
        <v>0.25</v>
      </c>
      <c r="E346" s="7">
        <v>4.5600000000000002E-2</v>
      </c>
      <c r="F346" s="8" t="s">
        <v>35</v>
      </c>
      <c r="G346" s="8" t="s">
        <v>35</v>
      </c>
      <c r="H346" t="str">
        <f t="shared" si="5"/>
        <v>YES</v>
      </c>
    </row>
    <row r="347" spans="1:8" x14ac:dyDescent="0.2">
      <c r="A347" s="6" t="s">
        <v>361</v>
      </c>
      <c r="B347" s="7">
        <v>4</v>
      </c>
      <c r="C347" s="7">
        <v>1</v>
      </c>
      <c r="D347" s="7">
        <v>0.25</v>
      </c>
      <c r="E347" s="7">
        <v>4.5600000000000002E-2</v>
      </c>
      <c r="F347" s="8" t="s">
        <v>35</v>
      </c>
      <c r="G347" s="8" t="s">
        <v>94</v>
      </c>
      <c r="H347" t="str">
        <f t="shared" si="5"/>
        <v>NO</v>
      </c>
    </row>
    <row r="348" spans="1:8" x14ac:dyDescent="0.2">
      <c r="A348" s="6" t="s">
        <v>362</v>
      </c>
      <c r="B348" s="7">
        <v>4</v>
      </c>
      <c r="C348" s="7">
        <v>1</v>
      </c>
      <c r="D348" s="7">
        <v>0.25</v>
      </c>
      <c r="E348" s="7">
        <v>4.5600000000000002E-2</v>
      </c>
      <c r="F348" s="8" t="s">
        <v>35</v>
      </c>
      <c r="G348" s="8" t="s">
        <v>94</v>
      </c>
      <c r="H348" t="str">
        <f t="shared" si="5"/>
        <v>NO</v>
      </c>
    </row>
    <row r="349" spans="1:8" x14ac:dyDescent="0.2">
      <c r="A349" s="6" t="s">
        <v>363</v>
      </c>
      <c r="B349" s="7">
        <v>4</v>
      </c>
      <c r="C349" s="7">
        <v>1</v>
      </c>
      <c r="D349" s="7">
        <v>0.25</v>
      </c>
      <c r="E349" s="7">
        <v>4.5600000000000002E-2</v>
      </c>
      <c r="F349" s="8" t="s">
        <v>35</v>
      </c>
      <c r="G349" s="8" t="s">
        <v>17</v>
      </c>
      <c r="H349" t="str">
        <f t="shared" si="5"/>
        <v>NO</v>
      </c>
    </row>
    <row r="350" spans="1:8" x14ac:dyDescent="0.2">
      <c r="A350" s="6" t="s">
        <v>364</v>
      </c>
      <c r="B350" s="7">
        <v>48</v>
      </c>
      <c r="C350" s="7">
        <v>5</v>
      </c>
      <c r="D350" s="7">
        <v>0.1042</v>
      </c>
      <c r="E350" s="7">
        <v>4.53E-2</v>
      </c>
      <c r="F350" s="8" t="s">
        <v>35</v>
      </c>
      <c r="G350" s="8" t="s">
        <v>35</v>
      </c>
      <c r="H350" t="str">
        <f t="shared" si="5"/>
        <v>YES</v>
      </c>
    </row>
    <row r="351" spans="1:8" x14ac:dyDescent="0.2">
      <c r="A351" s="6" t="s">
        <v>365</v>
      </c>
      <c r="B351" s="7">
        <v>48</v>
      </c>
      <c r="C351" s="7">
        <v>5</v>
      </c>
      <c r="D351" s="7">
        <v>0.1042</v>
      </c>
      <c r="E351" s="7">
        <v>4.53E-2</v>
      </c>
      <c r="F351" s="8" t="s">
        <v>35</v>
      </c>
      <c r="G351" s="8" t="s">
        <v>35</v>
      </c>
      <c r="H351" t="str">
        <f t="shared" si="5"/>
        <v>YES</v>
      </c>
    </row>
    <row r="352" spans="1:8" x14ac:dyDescent="0.2">
      <c r="A352" s="6" t="s">
        <v>366</v>
      </c>
      <c r="B352" s="7">
        <v>138</v>
      </c>
      <c r="C352" s="7">
        <v>11</v>
      </c>
      <c r="D352" s="7">
        <v>7.9699999999999993E-2</v>
      </c>
      <c r="E352" s="7">
        <v>4.5100000000000001E-2</v>
      </c>
      <c r="F352" s="8" t="s">
        <v>35</v>
      </c>
      <c r="G352" s="8" t="s">
        <v>35</v>
      </c>
      <c r="H352" t="str">
        <f t="shared" si="5"/>
        <v>YES</v>
      </c>
    </row>
    <row r="353" spans="1:8" x14ac:dyDescent="0.2">
      <c r="A353" s="6" t="s">
        <v>367</v>
      </c>
      <c r="B353" s="7">
        <v>367</v>
      </c>
      <c r="C353" s="7">
        <v>24</v>
      </c>
      <c r="D353" s="7">
        <v>6.54E-2</v>
      </c>
      <c r="E353" s="7">
        <v>4.4299999999999999E-2</v>
      </c>
      <c r="F353" s="8" t="s">
        <v>35</v>
      </c>
      <c r="G353" s="8" t="s">
        <v>35</v>
      </c>
      <c r="H353" t="str">
        <f t="shared" si="5"/>
        <v>YES</v>
      </c>
    </row>
    <row r="354" spans="1:8" x14ac:dyDescent="0.2">
      <c r="A354" s="6" t="s">
        <v>368</v>
      </c>
      <c r="B354" s="7">
        <v>36</v>
      </c>
      <c r="C354" s="7">
        <v>4</v>
      </c>
      <c r="D354" s="7">
        <v>0.1111</v>
      </c>
      <c r="E354" s="7">
        <v>4.41E-2</v>
      </c>
      <c r="F354" s="8" t="s">
        <v>35</v>
      </c>
      <c r="G354" s="8" t="s">
        <v>35</v>
      </c>
      <c r="H354" t="str">
        <f t="shared" si="5"/>
        <v>YES</v>
      </c>
    </row>
    <row r="355" spans="1:8" x14ac:dyDescent="0.2">
      <c r="A355" s="6" t="s">
        <v>369</v>
      </c>
      <c r="B355" s="7">
        <v>280</v>
      </c>
      <c r="C355" s="7">
        <v>19</v>
      </c>
      <c r="D355" s="7">
        <v>6.7900000000000002E-2</v>
      </c>
      <c r="E355" s="7">
        <v>4.3900000000000002E-2</v>
      </c>
      <c r="F355" s="8" t="s">
        <v>35</v>
      </c>
      <c r="G355" s="8" t="s">
        <v>35</v>
      </c>
      <c r="H355" t="str">
        <f t="shared" si="5"/>
        <v>YES</v>
      </c>
    </row>
    <row r="356" spans="1:8" x14ac:dyDescent="0.2">
      <c r="A356" s="6" t="s">
        <v>370</v>
      </c>
      <c r="B356" s="7">
        <v>210</v>
      </c>
      <c r="C356" s="7">
        <v>15</v>
      </c>
      <c r="D356" s="7">
        <v>7.1400000000000005E-2</v>
      </c>
      <c r="E356" s="7">
        <v>4.3799999999999999E-2</v>
      </c>
      <c r="F356" s="8" t="s">
        <v>35</v>
      </c>
      <c r="G356" s="8" t="s">
        <v>35</v>
      </c>
      <c r="H356" t="str">
        <f t="shared" si="5"/>
        <v>YES</v>
      </c>
    </row>
    <row r="357" spans="1:8" x14ac:dyDescent="0.2">
      <c r="A357" s="6" t="s">
        <v>371</v>
      </c>
      <c r="B357" s="7">
        <v>50</v>
      </c>
      <c r="C357" s="7">
        <v>5</v>
      </c>
      <c r="D357" s="7">
        <v>0.1</v>
      </c>
      <c r="E357" s="7">
        <v>4.3499999999999997E-2</v>
      </c>
      <c r="F357" s="8" t="s">
        <v>35</v>
      </c>
      <c r="G357" s="8" t="s">
        <v>35</v>
      </c>
      <c r="H357" t="str">
        <f t="shared" si="5"/>
        <v>YES</v>
      </c>
    </row>
    <row r="358" spans="1:8" x14ac:dyDescent="0.2">
      <c r="A358" s="6" t="s">
        <v>372</v>
      </c>
      <c r="B358" s="7">
        <v>24</v>
      </c>
      <c r="C358" s="7">
        <v>3</v>
      </c>
      <c r="D358" s="7">
        <v>0.125</v>
      </c>
      <c r="E358" s="7">
        <v>4.3400000000000001E-2</v>
      </c>
      <c r="F358" s="8" t="s">
        <v>35</v>
      </c>
      <c r="G358" s="8" t="s">
        <v>35</v>
      </c>
      <c r="H358" t="str">
        <f t="shared" si="5"/>
        <v>YES</v>
      </c>
    </row>
    <row r="359" spans="1:8" x14ac:dyDescent="0.2">
      <c r="A359" s="6" t="s">
        <v>373</v>
      </c>
      <c r="B359" s="7">
        <v>13</v>
      </c>
      <c r="C359" s="7">
        <v>2</v>
      </c>
      <c r="D359" s="7">
        <v>0.15379999999999999</v>
      </c>
      <c r="E359" s="7">
        <v>4.3299999999999998E-2</v>
      </c>
      <c r="F359" s="8" t="s">
        <v>35</v>
      </c>
      <c r="G359" s="8" t="s">
        <v>35</v>
      </c>
      <c r="H359" t="str">
        <f t="shared" si="5"/>
        <v>YES</v>
      </c>
    </row>
    <row r="360" spans="1:8" x14ac:dyDescent="0.2">
      <c r="A360" s="6" t="s">
        <v>374</v>
      </c>
      <c r="B360" s="7">
        <v>198</v>
      </c>
      <c r="C360" s="7">
        <v>14</v>
      </c>
      <c r="D360" s="7">
        <v>7.0699999999999999E-2</v>
      </c>
      <c r="E360" s="7">
        <v>4.2599999999999999E-2</v>
      </c>
      <c r="F360" s="8" t="s">
        <v>35</v>
      </c>
      <c r="G360" s="8" t="s">
        <v>35</v>
      </c>
      <c r="H360" t="str">
        <f t="shared" si="5"/>
        <v>YES</v>
      </c>
    </row>
    <row r="361" spans="1:8" x14ac:dyDescent="0.2">
      <c r="A361" s="6" t="s">
        <v>375</v>
      </c>
      <c r="B361" s="7">
        <v>326</v>
      </c>
      <c r="C361" s="7">
        <v>21</v>
      </c>
      <c r="D361" s="7">
        <v>6.4399999999999999E-2</v>
      </c>
      <c r="E361" s="7">
        <v>4.2500000000000003E-2</v>
      </c>
      <c r="F361" s="8" t="s">
        <v>35</v>
      </c>
      <c r="G361" s="8" t="s">
        <v>35</v>
      </c>
      <c r="H361" t="str">
        <f t="shared" si="5"/>
        <v>YES</v>
      </c>
    </row>
    <row r="362" spans="1:8" x14ac:dyDescent="0.2">
      <c r="A362" s="6" t="s">
        <v>376</v>
      </c>
      <c r="B362" s="7">
        <v>113</v>
      </c>
      <c r="C362" s="7">
        <v>9</v>
      </c>
      <c r="D362" s="7">
        <v>7.9600000000000004E-2</v>
      </c>
      <c r="E362" s="7">
        <v>4.2500000000000003E-2</v>
      </c>
      <c r="F362" s="8" t="s">
        <v>35</v>
      </c>
      <c r="G362" s="8" t="s">
        <v>35</v>
      </c>
      <c r="H362" t="str">
        <f t="shared" si="5"/>
        <v>YES</v>
      </c>
    </row>
    <row r="363" spans="1:8" x14ac:dyDescent="0.2">
      <c r="A363" s="6" t="s">
        <v>377</v>
      </c>
      <c r="B363" s="7">
        <v>448</v>
      </c>
      <c r="C363" s="7">
        <v>27</v>
      </c>
      <c r="D363" s="7">
        <v>6.0299999999999999E-2</v>
      </c>
      <c r="E363" s="7">
        <v>4.1700000000000001E-2</v>
      </c>
      <c r="F363" s="8" t="s">
        <v>35</v>
      </c>
      <c r="G363" s="8" t="s">
        <v>35</v>
      </c>
      <c r="H363" t="str">
        <f t="shared" si="5"/>
        <v>YES</v>
      </c>
    </row>
    <row r="364" spans="1:8" x14ac:dyDescent="0.2">
      <c r="A364" s="6" t="s">
        <v>378</v>
      </c>
      <c r="B364" s="7">
        <v>115</v>
      </c>
      <c r="C364" s="7">
        <v>9</v>
      </c>
      <c r="D364" s="7">
        <v>7.8299999999999995E-2</v>
      </c>
      <c r="E364" s="7">
        <v>4.1700000000000001E-2</v>
      </c>
      <c r="F364" s="8" t="s">
        <v>35</v>
      </c>
      <c r="G364" s="8" t="s">
        <v>17</v>
      </c>
      <c r="H364" t="str">
        <f t="shared" si="5"/>
        <v>NO</v>
      </c>
    </row>
    <row r="365" spans="1:8" x14ac:dyDescent="0.2">
      <c r="A365" s="6" t="s">
        <v>379</v>
      </c>
      <c r="B365" s="7">
        <v>39</v>
      </c>
      <c r="C365" s="7">
        <v>4</v>
      </c>
      <c r="D365" s="7">
        <v>0.1026</v>
      </c>
      <c r="E365" s="7">
        <v>4.0599999999999997E-2</v>
      </c>
      <c r="F365" s="8" t="s">
        <v>35</v>
      </c>
      <c r="G365" s="8" t="s">
        <v>35</v>
      </c>
      <c r="H365" t="str">
        <f t="shared" si="5"/>
        <v>YES</v>
      </c>
    </row>
    <row r="366" spans="1:8" x14ac:dyDescent="0.2">
      <c r="A366" s="6" t="s">
        <v>380</v>
      </c>
      <c r="B366" s="7">
        <v>343</v>
      </c>
      <c r="C366" s="7">
        <v>21</v>
      </c>
      <c r="D366" s="7">
        <v>6.1199999999999997E-2</v>
      </c>
      <c r="E366" s="7">
        <v>4.0399999999999998E-2</v>
      </c>
      <c r="F366" s="8" t="s">
        <v>35</v>
      </c>
      <c r="G366" s="8" t="s">
        <v>35</v>
      </c>
      <c r="H366" t="str">
        <f t="shared" si="5"/>
        <v>YES</v>
      </c>
    </row>
    <row r="367" spans="1:8" x14ac:dyDescent="0.2">
      <c r="A367" s="6" t="s">
        <v>381</v>
      </c>
      <c r="B367" s="7">
        <v>54</v>
      </c>
      <c r="C367" s="7">
        <v>5</v>
      </c>
      <c r="D367" s="7">
        <v>9.2600000000000002E-2</v>
      </c>
      <c r="E367" s="7">
        <v>4.02E-2</v>
      </c>
      <c r="F367" s="8" t="s">
        <v>35</v>
      </c>
      <c r="G367" s="8" t="s">
        <v>35</v>
      </c>
      <c r="H367" t="str">
        <f t="shared" si="5"/>
        <v>YES</v>
      </c>
    </row>
    <row r="368" spans="1:8" x14ac:dyDescent="0.2">
      <c r="A368" s="6" t="s">
        <v>382</v>
      </c>
      <c r="B368" s="7">
        <v>14</v>
      </c>
      <c r="C368" s="7">
        <v>2</v>
      </c>
      <c r="D368" s="7">
        <v>0.1429</v>
      </c>
      <c r="E368" s="7">
        <v>4.0099999999999997E-2</v>
      </c>
      <c r="F368" s="8" t="s">
        <v>35</v>
      </c>
      <c r="G368" s="8" t="s">
        <v>35</v>
      </c>
      <c r="H368" t="str">
        <f t="shared" si="5"/>
        <v>YES</v>
      </c>
    </row>
    <row r="369" spans="1:8" x14ac:dyDescent="0.2">
      <c r="A369" s="6" t="s">
        <v>383</v>
      </c>
      <c r="B369" s="7">
        <v>311</v>
      </c>
      <c r="C369" s="7">
        <v>19</v>
      </c>
      <c r="D369" s="7">
        <v>6.1100000000000002E-2</v>
      </c>
      <c r="E369" s="7">
        <v>3.95E-2</v>
      </c>
      <c r="F369" s="8" t="s">
        <v>35</v>
      </c>
      <c r="G369" s="8" t="s">
        <v>35</v>
      </c>
      <c r="H369" t="str">
        <f t="shared" si="5"/>
        <v>YES</v>
      </c>
    </row>
    <row r="370" spans="1:8" x14ac:dyDescent="0.2">
      <c r="A370" s="6" t="s">
        <v>384</v>
      </c>
      <c r="B370" s="7">
        <v>140</v>
      </c>
      <c r="C370" s="7">
        <v>10</v>
      </c>
      <c r="D370" s="7">
        <v>7.1400000000000005E-2</v>
      </c>
      <c r="E370" s="7">
        <v>3.9300000000000002E-2</v>
      </c>
      <c r="F370" s="8" t="s">
        <v>35</v>
      </c>
      <c r="G370" s="8" t="s">
        <v>35</v>
      </c>
      <c r="H370" t="str">
        <f t="shared" si="5"/>
        <v>YES</v>
      </c>
    </row>
    <row r="371" spans="1:8" x14ac:dyDescent="0.2">
      <c r="A371" s="6" t="s">
        <v>385</v>
      </c>
      <c r="B371" s="7">
        <v>215</v>
      </c>
      <c r="C371" s="7">
        <v>14</v>
      </c>
      <c r="D371" s="7">
        <v>6.5100000000000005E-2</v>
      </c>
      <c r="E371" s="7">
        <v>3.9199999999999999E-2</v>
      </c>
      <c r="F371" s="8" t="s">
        <v>35</v>
      </c>
      <c r="G371" s="8" t="s">
        <v>35</v>
      </c>
      <c r="H371" t="str">
        <f t="shared" si="5"/>
        <v>YES</v>
      </c>
    </row>
    <row r="372" spans="1:8" x14ac:dyDescent="0.2">
      <c r="A372" s="6" t="s">
        <v>386</v>
      </c>
      <c r="B372" s="7">
        <v>56</v>
      </c>
      <c r="C372" s="7">
        <v>5</v>
      </c>
      <c r="D372" s="7">
        <v>8.9300000000000004E-2</v>
      </c>
      <c r="E372" s="7">
        <v>3.8699999999999998E-2</v>
      </c>
      <c r="F372" s="8" t="s">
        <v>35</v>
      </c>
      <c r="G372" s="8" t="s">
        <v>35</v>
      </c>
      <c r="H372" t="str">
        <f t="shared" si="5"/>
        <v>YES</v>
      </c>
    </row>
    <row r="373" spans="1:8" x14ac:dyDescent="0.2">
      <c r="A373" s="6" t="s">
        <v>387</v>
      </c>
      <c r="B373" s="7">
        <v>27</v>
      </c>
      <c r="C373" s="7">
        <v>3</v>
      </c>
      <c r="D373" s="7">
        <v>0.1111</v>
      </c>
      <c r="E373" s="7">
        <v>3.85E-2</v>
      </c>
      <c r="F373" s="8" t="s">
        <v>35</v>
      </c>
      <c r="G373" s="8" t="s">
        <v>35</v>
      </c>
      <c r="H373" t="str">
        <f t="shared" si="5"/>
        <v>YES</v>
      </c>
    </row>
    <row r="374" spans="1:8" x14ac:dyDescent="0.2">
      <c r="A374" s="6" t="s">
        <v>388</v>
      </c>
      <c r="B374" s="7">
        <v>322</v>
      </c>
      <c r="C374" s="7">
        <v>19</v>
      </c>
      <c r="D374" s="7">
        <v>5.8999999999999997E-2</v>
      </c>
      <c r="E374" s="7">
        <v>3.8100000000000002E-2</v>
      </c>
      <c r="F374" s="8" t="s">
        <v>35</v>
      </c>
      <c r="G374" s="8" t="s">
        <v>35</v>
      </c>
      <c r="H374" t="str">
        <f t="shared" si="5"/>
        <v>YES</v>
      </c>
    </row>
    <row r="375" spans="1:8" x14ac:dyDescent="0.2">
      <c r="A375" s="6" t="s">
        <v>389</v>
      </c>
      <c r="B375" s="7">
        <v>427</v>
      </c>
      <c r="C375" s="7">
        <v>24</v>
      </c>
      <c r="D375" s="7">
        <v>5.62E-2</v>
      </c>
      <c r="E375" s="7">
        <v>3.8100000000000002E-2</v>
      </c>
      <c r="F375" s="8" t="s">
        <v>35</v>
      </c>
      <c r="G375" s="8" t="s">
        <v>35</v>
      </c>
      <c r="H375" t="str">
        <f t="shared" si="5"/>
        <v>YES</v>
      </c>
    </row>
    <row r="376" spans="1:8" x14ac:dyDescent="0.2">
      <c r="A376" s="6" t="s">
        <v>390</v>
      </c>
      <c r="B376" s="7">
        <v>75</v>
      </c>
      <c r="C376" s="7">
        <v>6</v>
      </c>
      <c r="D376" s="7">
        <v>0.08</v>
      </c>
      <c r="E376" s="7">
        <v>3.7199999999999997E-2</v>
      </c>
      <c r="F376" s="8" t="s">
        <v>35</v>
      </c>
      <c r="G376" s="8" t="s">
        <v>35</v>
      </c>
      <c r="H376" t="str">
        <f t="shared" si="5"/>
        <v>YES</v>
      </c>
    </row>
    <row r="377" spans="1:8" x14ac:dyDescent="0.2">
      <c r="A377" s="6" t="s">
        <v>391</v>
      </c>
      <c r="B377" s="7">
        <v>270</v>
      </c>
      <c r="C377" s="7">
        <v>16</v>
      </c>
      <c r="D377" s="7">
        <v>5.9299999999999999E-2</v>
      </c>
      <c r="E377" s="7">
        <v>3.6799999999999999E-2</v>
      </c>
      <c r="F377" s="8" t="s">
        <v>35</v>
      </c>
      <c r="G377" s="8" t="s">
        <v>35</v>
      </c>
      <c r="H377" t="str">
        <f t="shared" si="5"/>
        <v>YES</v>
      </c>
    </row>
    <row r="378" spans="1:8" x14ac:dyDescent="0.2">
      <c r="A378" s="6" t="s">
        <v>392</v>
      </c>
      <c r="B378" s="7">
        <v>5</v>
      </c>
      <c r="C378" s="7">
        <v>1</v>
      </c>
      <c r="D378" s="7">
        <v>0.2</v>
      </c>
      <c r="E378" s="7">
        <v>3.6200000000000003E-2</v>
      </c>
      <c r="F378" s="8" t="s">
        <v>35</v>
      </c>
      <c r="G378" s="8" t="s">
        <v>35</v>
      </c>
      <c r="H378" t="str">
        <f t="shared" si="5"/>
        <v>YES</v>
      </c>
    </row>
    <row r="379" spans="1:8" x14ac:dyDescent="0.2">
      <c r="A379" s="6" t="s">
        <v>393</v>
      </c>
      <c r="B379" s="7">
        <v>5</v>
      </c>
      <c r="C379" s="7">
        <v>1</v>
      </c>
      <c r="D379" s="7">
        <v>0.2</v>
      </c>
      <c r="E379" s="7">
        <v>3.6200000000000003E-2</v>
      </c>
      <c r="F379" s="8" t="s">
        <v>35</v>
      </c>
      <c r="G379" s="8" t="s">
        <v>94</v>
      </c>
      <c r="H379" t="str">
        <f t="shared" si="5"/>
        <v>NO</v>
      </c>
    </row>
    <row r="380" spans="1:8" x14ac:dyDescent="0.2">
      <c r="A380" s="6" t="s">
        <v>394</v>
      </c>
      <c r="B380" s="7">
        <v>77</v>
      </c>
      <c r="C380" s="7">
        <v>6</v>
      </c>
      <c r="D380" s="7">
        <v>7.7899999999999997E-2</v>
      </c>
      <c r="E380" s="7">
        <v>3.6200000000000003E-2</v>
      </c>
      <c r="F380" s="8" t="s">
        <v>35</v>
      </c>
      <c r="G380" s="8" t="s">
        <v>35</v>
      </c>
      <c r="H380" t="str">
        <f t="shared" si="5"/>
        <v>YES</v>
      </c>
    </row>
    <row r="381" spans="1:8" x14ac:dyDescent="0.2">
      <c r="A381" s="6" t="s">
        <v>395</v>
      </c>
      <c r="B381" s="7">
        <v>44</v>
      </c>
      <c r="C381" s="7">
        <v>4</v>
      </c>
      <c r="D381" s="7">
        <v>9.0899999999999995E-2</v>
      </c>
      <c r="E381" s="7">
        <v>3.5900000000000001E-2</v>
      </c>
      <c r="F381" s="8" t="s">
        <v>35</v>
      </c>
      <c r="G381" s="8" t="s">
        <v>35</v>
      </c>
      <c r="H381" t="str">
        <f t="shared" si="5"/>
        <v>YES</v>
      </c>
    </row>
    <row r="382" spans="1:8" x14ac:dyDescent="0.2">
      <c r="A382" s="6" t="s">
        <v>396</v>
      </c>
      <c r="B382" s="7">
        <v>29</v>
      </c>
      <c r="C382" s="7">
        <v>3</v>
      </c>
      <c r="D382" s="7">
        <v>0.10340000000000001</v>
      </c>
      <c r="E382" s="7">
        <v>3.5799999999999998E-2</v>
      </c>
      <c r="F382" s="8" t="s">
        <v>35</v>
      </c>
      <c r="G382" s="8" t="s">
        <v>35</v>
      </c>
      <c r="H382" t="str">
        <f t="shared" si="5"/>
        <v>YES</v>
      </c>
    </row>
    <row r="383" spans="1:8" x14ac:dyDescent="0.2">
      <c r="A383" s="6" t="s">
        <v>397</v>
      </c>
      <c r="B383" s="7">
        <v>154</v>
      </c>
      <c r="C383" s="7">
        <v>10</v>
      </c>
      <c r="D383" s="7">
        <v>6.4899999999999999E-2</v>
      </c>
      <c r="E383" s="7">
        <v>3.5700000000000003E-2</v>
      </c>
      <c r="F383" s="8" t="s">
        <v>35</v>
      </c>
      <c r="G383" s="8" t="s">
        <v>17</v>
      </c>
      <c r="H383" t="str">
        <f t="shared" si="5"/>
        <v>NO</v>
      </c>
    </row>
    <row r="384" spans="1:8" x14ac:dyDescent="0.2">
      <c r="A384" s="6" t="s">
        <v>398</v>
      </c>
      <c r="B384" s="7">
        <v>154</v>
      </c>
      <c r="C384" s="7">
        <v>10</v>
      </c>
      <c r="D384" s="7">
        <v>6.4899999999999999E-2</v>
      </c>
      <c r="E384" s="7">
        <v>3.5700000000000003E-2</v>
      </c>
      <c r="F384" s="8" t="s">
        <v>35</v>
      </c>
      <c r="G384" s="8" t="s">
        <v>35</v>
      </c>
      <c r="H384" t="str">
        <f t="shared" si="5"/>
        <v>YES</v>
      </c>
    </row>
    <row r="385" spans="1:8" x14ac:dyDescent="0.2">
      <c r="A385" s="6" t="s">
        <v>399</v>
      </c>
      <c r="B385" s="7">
        <v>441</v>
      </c>
      <c r="C385" s="7">
        <v>23</v>
      </c>
      <c r="D385" s="7">
        <v>5.2200000000000003E-2</v>
      </c>
      <c r="E385" s="7">
        <v>3.5000000000000003E-2</v>
      </c>
      <c r="F385" s="8" t="s">
        <v>35</v>
      </c>
      <c r="G385" s="8" t="s">
        <v>35</v>
      </c>
      <c r="H385" t="str">
        <f t="shared" si="5"/>
        <v>YES</v>
      </c>
    </row>
    <row r="386" spans="1:8" x14ac:dyDescent="0.2">
      <c r="A386" s="6" t="s">
        <v>400</v>
      </c>
      <c r="B386" s="7">
        <v>16</v>
      </c>
      <c r="C386" s="7">
        <v>2</v>
      </c>
      <c r="D386" s="7">
        <v>0.125</v>
      </c>
      <c r="E386" s="7">
        <v>3.5000000000000003E-2</v>
      </c>
      <c r="F386" s="8" t="s">
        <v>35</v>
      </c>
      <c r="G386" s="8" t="s">
        <v>35</v>
      </c>
      <c r="H386" t="str">
        <f t="shared" si="5"/>
        <v>YES</v>
      </c>
    </row>
    <row r="387" spans="1:8" x14ac:dyDescent="0.2">
      <c r="A387" s="6" t="s">
        <v>401</v>
      </c>
      <c r="B387" s="7">
        <v>287</v>
      </c>
      <c r="C387" s="7">
        <v>16</v>
      </c>
      <c r="D387" s="7">
        <v>5.57E-2</v>
      </c>
      <c r="E387" s="7">
        <v>3.4599999999999999E-2</v>
      </c>
      <c r="F387" s="8" t="s">
        <v>35</v>
      </c>
      <c r="G387" s="8" t="s">
        <v>35</v>
      </c>
      <c r="H387" t="str">
        <f t="shared" si="5"/>
        <v>YES</v>
      </c>
    </row>
    <row r="388" spans="1:8" x14ac:dyDescent="0.2">
      <c r="A388" s="6" t="s">
        <v>402</v>
      </c>
      <c r="B388" s="7">
        <v>63</v>
      </c>
      <c r="C388" s="7">
        <v>5</v>
      </c>
      <c r="D388" s="7">
        <v>7.9399999999999998E-2</v>
      </c>
      <c r="E388" s="7">
        <v>3.44E-2</v>
      </c>
      <c r="F388" s="8" t="s">
        <v>35</v>
      </c>
      <c r="G388" s="8" t="s">
        <v>35</v>
      </c>
      <c r="H388" t="str">
        <f t="shared" si="5"/>
        <v>YES</v>
      </c>
    </row>
    <row r="389" spans="1:8" x14ac:dyDescent="0.2">
      <c r="A389" s="6" t="s">
        <v>403</v>
      </c>
      <c r="B389" s="7">
        <v>224</v>
      </c>
      <c r="C389" s="7">
        <v>13</v>
      </c>
      <c r="D389" s="7">
        <v>5.8000000000000003E-2</v>
      </c>
      <c r="E389" s="7">
        <v>3.4200000000000001E-2</v>
      </c>
      <c r="F389" s="8" t="s">
        <v>35</v>
      </c>
      <c r="G389" s="8" t="s">
        <v>35</v>
      </c>
      <c r="H389" t="str">
        <f t="shared" ref="H389:H452" si="6">IF(F389=G389,"YES","NO")</f>
        <v>YES</v>
      </c>
    </row>
    <row r="390" spans="1:8" x14ac:dyDescent="0.2">
      <c r="A390" s="6" t="s">
        <v>404</v>
      </c>
      <c r="B390" s="7">
        <v>161</v>
      </c>
      <c r="C390" s="7">
        <v>10</v>
      </c>
      <c r="D390" s="7">
        <v>6.2100000000000002E-2</v>
      </c>
      <c r="E390" s="7">
        <v>3.4099999999999998E-2</v>
      </c>
      <c r="F390" s="8" t="s">
        <v>35</v>
      </c>
      <c r="G390" s="8" t="s">
        <v>35</v>
      </c>
      <c r="H390" t="str">
        <f t="shared" si="6"/>
        <v>YES</v>
      </c>
    </row>
    <row r="391" spans="1:8" x14ac:dyDescent="0.2">
      <c r="A391" s="6" t="s">
        <v>405</v>
      </c>
      <c r="B391" s="7">
        <v>162</v>
      </c>
      <c r="C391" s="7">
        <v>10</v>
      </c>
      <c r="D391" s="7">
        <v>6.1699999999999998E-2</v>
      </c>
      <c r="E391" s="7">
        <v>3.39E-2</v>
      </c>
      <c r="F391" s="8" t="s">
        <v>35</v>
      </c>
      <c r="G391" s="8" t="s">
        <v>35</v>
      </c>
      <c r="H391" t="str">
        <f t="shared" si="6"/>
        <v>YES</v>
      </c>
    </row>
    <row r="392" spans="1:8" x14ac:dyDescent="0.2">
      <c r="A392" s="6" t="s">
        <v>406</v>
      </c>
      <c r="B392" s="7">
        <v>434</v>
      </c>
      <c r="C392" s="7">
        <v>22</v>
      </c>
      <c r="D392" s="7">
        <v>5.0700000000000002E-2</v>
      </c>
      <c r="E392" s="7">
        <v>3.3700000000000001E-2</v>
      </c>
      <c r="F392" s="8" t="s">
        <v>35</v>
      </c>
      <c r="G392" s="8" t="s">
        <v>35</v>
      </c>
      <c r="H392" t="str">
        <f t="shared" si="6"/>
        <v>YES</v>
      </c>
    </row>
    <row r="393" spans="1:8" x14ac:dyDescent="0.2">
      <c r="A393" s="6" t="s">
        <v>407</v>
      </c>
      <c r="B393" s="7">
        <v>47</v>
      </c>
      <c r="C393" s="7">
        <v>4</v>
      </c>
      <c r="D393" s="7">
        <v>8.5099999999999995E-2</v>
      </c>
      <c r="E393" s="7">
        <v>3.3599999999999998E-2</v>
      </c>
      <c r="F393" s="8" t="s">
        <v>35</v>
      </c>
      <c r="G393" s="8" t="s">
        <v>35</v>
      </c>
      <c r="H393" t="str">
        <f t="shared" si="6"/>
        <v>YES</v>
      </c>
    </row>
    <row r="394" spans="1:8" x14ac:dyDescent="0.2">
      <c r="A394" s="6" t="s">
        <v>408</v>
      </c>
      <c r="B394" s="7">
        <v>321</v>
      </c>
      <c r="C394" s="7">
        <v>17</v>
      </c>
      <c r="D394" s="7">
        <v>5.2999999999999999E-2</v>
      </c>
      <c r="E394" s="7">
        <v>3.3300000000000003E-2</v>
      </c>
      <c r="F394" s="8" t="s">
        <v>35</v>
      </c>
      <c r="G394" s="8" t="s">
        <v>35</v>
      </c>
      <c r="H394" t="str">
        <f t="shared" si="6"/>
        <v>YES</v>
      </c>
    </row>
    <row r="395" spans="1:8" x14ac:dyDescent="0.2">
      <c r="A395" s="6" t="s">
        <v>409</v>
      </c>
      <c r="B395" s="7">
        <v>17</v>
      </c>
      <c r="C395" s="7">
        <v>2</v>
      </c>
      <c r="D395" s="7">
        <v>0.1176</v>
      </c>
      <c r="E395" s="7">
        <v>3.2899999999999999E-2</v>
      </c>
      <c r="F395" s="8" t="s">
        <v>35</v>
      </c>
      <c r="G395" s="8" t="s">
        <v>35</v>
      </c>
      <c r="H395" t="str">
        <f t="shared" si="6"/>
        <v>YES</v>
      </c>
    </row>
    <row r="396" spans="1:8" x14ac:dyDescent="0.2">
      <c r="A396" s="6" t="s">
        <v>410</v>
      </c>
      <c r="B396" s="7">
        <v>17</v>
      </c>
      <c r="C396" s="7">
        <v>2</v>
      </c>
      <c r="D396" s="7">
        <v>0.1176</v>
      </c>
      <c r="E396" s="7">
        <v>3.2899999999999999E-2</v>
      </c>
      <c r="F396" s="8" t="s">
        <v>35</v>
      </c>
      <c r="G396" s="8" t="s">
        <v>35</v>
      </c>
      <c r="H396" t="str">
        <f t="shared" si="6"/>
        <v>YES</v>
      </c>
    </row>
    <row r="397" spans="1:8" x14ac:dyDescent="0.2">
      <c r="A397" s="6" t="s">
        <v>411</v>
      </c>
      <c r="B397" s="7">
        <v>17</v>
      </c>
      <c r="C397" s="7">
        <v>2</v>
      </c>
      <c r="D397" s="7">
        <v>0.1176</v>
      </c>
      <c r="E397" s="7">
        <v>3.2899999999999999E-2</v>
      </c>
      <c r="F397" s="8" t="s">
        <v>35</v>
      </c>
      <c r="G397" s="8" t="s">
        <v>35</v>
      </c>
      <c r="H397" t="str">
        <f t="shared" si="6"/>
        <v>YES</v>
      </c>
    </row>
    <row r="398" spans="1:8" x14ac:dyDescent="0.2">
      <c r="A398" s="6" t="s">
        <v>412</v>
      </c>
      <c r="B398" s="7">
        <v>451</v>
      </c>
      <c r="C398" s="7">
        <v>22</v>
      </c>
      <c r="D398" s="7">
        <v>4.8800000000000003E-2</v>
      </c>
      <c r="E398" s="7">
        <v>3.2399999999999998E-2</v>
      </c>
      <c r="F398" s="8" t="s">
        <v>35</v>
      </c>
      <c r="G398" s="8" t="s">
        <v>35</v>
      </c>
      <c r="H398" t="str">
        <f t="shared" si="6"/>
        <v>YES</v>
      </c>
    </row>
    <row r="399" spans="1:8" x14ac:dyDescent="0.2">
      <c r="A399" s="6" t="s">
        <v>413</v>
      </c>
      <c r="B399" s="7">
        <v>86</v>
      </c>
      <c r="C399" s="7">
        <v>6</v>
      </c>
      <c r="D399" s="7">
        <v>6.9800000000000001E-2</v>
      </c>
      <c r="E399" s="7">
        <v>3.2399999999999998E-2</v>
      </c>
      <c r="F399" s="8" t="s">
        <v>35</v>
      </c>
      <c r="G399" s="8" t="s">
        <v>94</v>
      </c>
      <c r="H399" t="str">
        <f t="shared" si="6"/>
        <v>NO</v>
      </c>
    </row>
    <row r="400" spans="1:8" x14ac:dyDescent="0.2">
      <c r="A400" s="6" t="s">
        <v>414</v>
      </c>
      <c r="B400" s="7">
        <v>108</v>
      </c>
      <c r="C400" s="7">
        <v>7</v>
      </c>
      <c r="D400" s="7">
        <v>6.4799999999999996E-2</v>
      </c>
      <c r="E400" s="7">
        <v>3.1699999999999999E-2</v>
      </c>
      <c r="F400" s="8" t="s">
        <v>35</v>
      </c>
      <c r="G400" s="8" t="s">
        <v>35</v>
      </c>
      <c r="H400" t="str">
        <f t="shared" si="6"/>
        <v>YES</v>
      </c>
    </row>
    <row r="401" spans="1:8" x14ac:dyDescent="0.2">
      <c r="A401" s="6" t="s">
        <v>415</v>
      </c>
      <c r="B401" s="7">
        <v>109</v>
      </c>
      <c r="C401" s="7">
        <v>7</v>
      </c>
      <c r="D401" s="7">
        <v>6.4199999999999993E-2</v>
      </c>
      <c r="E401" s="7">
        <v>3.15E-2</v>
      </c>
      <c r="F401" s="8" t="s">
        <v>35</v>
      </c>
      <c r="G401" s="8" t="s">
        <v>17</v>
      </c>
      <c r="H401" t="str">
        <f t="shared" si="6"/>
        <v>NO</v>
      </c>
    </row>
    <row r="402" spans="1:8" x14ac:dyDescent="0.2">
      <c r="A402" s="6" t="s">
        <v>416</v>
      </c>
      <c r="B402" s="7">
        <v>886</v>
      </c>
      <c r="C402" s="7">
        <v>38</v>
      </c>
      <c r="D402" s="7">
        <v>4.2900000000000001E-2</v>
      </c>
      <c r="E402" s="7">
        <v>3.1399999999999997E-2</v>
      </c>
      <c r="F402" s="8" t="s">
        <v>35</v>
      </c>
      <c r="G402" s="8" t="s">
        <v>35</v>
      </c>
      <c r="H402" t="str">
        <f t="shared" si="6"/>
        <v>YES</v>
      </c>
    </row>
    <row r="403" spans="1:8" x14ac:dyDescent="0.2">
      <c r="A403" s="6" t="s">
        <v>417</v>
      </c>
      <c r="B403" s="7">
        <v>69</v>
      </c>
      <c r="C403" s="7">
        <v>5</v>
      </c>
      <c r="D403" s="7">
        <v>7.2499999999999995E-2</v>
      </c>
      <c r="E403" s="7">
        <v>3.1300000000000001E-2</v>
      </c>
      <c r="F403" s="8" t="s">
        <v>35</v>
      </c>
      <c r="G403" s="8" t="s">
        <v>35</v>
      </c>
      <c r="H403" t="str">
        <f t="shared" si="6"/>
        <v>YES</v>
      </c>
    </row>
    <row r="404" spans="1:8" x14ac:dyDescent="0.2">
      <c r="A404" s="6" t="s">
        <v>418</v>
      </c>
      <c r="B404" s="7">
        <v>18</v>
      </c>
      <c r="C404" s="7">
        <v>2</v>
      </c>
      <c r="D404" s="7">
        <v>0.1111</v>
      </c>
      <c r="E404" s="7">
        <v>3.1E-2</v>
      </c>
      <c r="F404" s="8" t="s">
        <v>35</v>
      </c>
      <c r="G404" s="8" t="s">
        <v>35</v>
      </c>
      <c r="H404" t="str">
        <f t="shared" si="6"/>
        <v>YES</v>
      </c>
    </row>
    <row r="405" spans="1:8" x14ac:dyDescent="0.2">
      <c r="A405" s="6" t="s">
        <v>419</v>
      </c>
      <c r="B405" s="7">
        <v>18</v>
      </c>
      <c r="C405" s="7">
        <v>2</v>
      </c>
      <c r="D405" s="7">
        <v>0.1111</v>
      </c>
      <c r="E405" s="7">
        <v>3.1E-2</v>
      </c>
      <c r="F405" s="8" t="s">
        <v>35</v>
      </c>
      <c r="G405" s="8" t="s">
        <v>35</v>
      </c>
      <c r="H405" t="str">
        <f t="shared" si="6"/>
        <v>YES</v>
      </c>
    </row>
    <row r="406" spans="1:8" x14ac:dyDescent="0.2">
      <c r="A406" s="6" t="s">
        <v>420</v>
      </c>
      <c r="B406" s="7">
        <v>51</v>
      </c>
      <c r="C406" s="7">
        <v>4</v>
      </c>
      <c r="D406" s="7">
        <v>7.8399999999999997E-2</v>
      </c>
      <c r="E406" s="7">
        <v>3.09E-2</v>
      </c>
      <c r="F406" s="8" t="s">
        <v>35</v>
      </c>
      <c r="G406" s="8" t="s">
        <v>35</v>
      </c>
      <c r="H406" t="str">
        <f t="shared" si="6"/>
        <v>YES</v>
      </c>
    </row>
    <row r="407" spans="1:8" x14ac:dyDescent="0.2">
      <c r="A407" s="6" t="s">
        <v>421</v>
      </c>
      <c r="B407" s="7">
        <v>51</v>
      </c>
      <c r="C407" s="7">
        <v>4</v>
      </c>
      <c r="D407" s="7">
        <v>7.8399999999999997E-2</v>
      </c>
      <c r="E407" s="7">
        <v>3.09E-2</v>
      </c>
      <c r="F407" s="8" t="s">
        <v>35</v>
      </c>
      <c r="G407" s="8" t="s">
        <v>35</v>
      </c>
      <c r="H407" t="str">
        <f t="shared" si="6"/>
        <v>YES</v>
      </c>
    </row>
    <row r="408" spans="1:8" x14ac:dyDescent="0.2">
      <c r="A408" s="6" t="s">
        <v>422</v>
      </c>
      <c r="B408" s="7">
        <v>34</v>
      </c>
      <c r="C408" s="7">
        <v>3</v>
      </c>
      <c r="D408" s="7">
        <v>8.8200000000000001E-2</v>
      </c>
      <c r="E408" s="7">
        <v>3.0499999999999999E-2</v>
      </c>
      <c r="F408" s="8" t="s">
        <v>35</v>
      </c>
      <c r="G408" s="8" t="s">
        <v>35</v>
      </c>
      <c r="H408" t="str">
        <f t="shared" si="6"/>
        <v>YES</v>
      </c>
    </row>
    <row r="409" spans="1:8" x14ac:dyDescent="0.2">
      <c r="A409" s="6" t="s">
        <v>423</v>
      </c>
      <c r="B409" s="7">
        <v>34</v>
      </c>
      <c r="C409" s="7">
        <v>3</v>
      </c>
      <c r="D409" s="7">
        <v>8.8200000000000001E-2</v>
      </c>
      <c r="E409" s="7">
        <v>3.0499999999999999E-2</v>
      </c>
      <c r="F409" s="8" t="s">
        <v>35</v>
      </c>
      <c r="G409" s="8" t="s">
        <v>35</v>
      </c>
      <c r="H409" t="str">
        <f t="shared" si="6"/>
        <v>YES</v>
      </c>
    </row>
    <row r="410" spans="1:8" x14ac:dyDescent="0.2">
      <c r="A410" s="6" t="s">
        <v>424</v>
      </c>
      <c r="B410" s="7">
        <v>6</v>
      </c>
      <c r="C410" s="7">
        <v>1</v>
      </c>
      <c r="D410" s="7">
        <v>0.16669999999999999</v>
      </c>
      <c r="E410" s="7">
        <v>3.0099999999999998E-2</v>
      </c>
      <c r="F410" s="8" t="s">
        <v>35</v>
      </c>
      <c r="G410" s="8" t="s">
        <v>35</v>
      </c>
      <c r="H410" t="str">
        <f t="shared" si="6"/>
        <v>YES</v>
      </c>
    </row>
    <row r="411" spans="1:8" x14ac:dyDescent="0.2">
      <c r="A411" s="6" t="s">
        <v>425</v>
      </c>
      <c r="B411" s="7">
        <v>6</v>
      </c>
      <c r="C411" s="7">
        <v>1</v>
      </c>
      <c r="D411" s="7">
        <v>0.16669999999999999</v>
      </c>
      <c r="E411" s="7">
        <v>3.0099999999999998E-2</v>
      </c>
      <c r="F411" s="8" t="s">
        <v>35</v>
      </c>
      <c r="G411" s="8" t="s">
        <v>35</v>
      </c>
      <c r="H411" t="str">
        <f t="shared" si="6"/>
        <v>YES</v>
      </c>
    </row>
    <row r="412" spans="1:8" x14ac:dyDescent="0.2">
      <c r="A412" s="6" t="s">
        <v>426</v>
      </c>
      <c r="B412" s="7">
        <v>6</v>
      </c>
      <c r="C412" s="7">
        <v>1</v>
      </c>
      <c r="D412" s="7">
        <v>0.16669999999999999</v>
      </c>
      <c r="E412" s="7">
        <v>3.0099999999999998E-2</v>
      </c>
      <c r="F412" s="8" t="s">
        <v>35</v>
      </c>
      <c r="G412" s="8" t="s">
        <v>35</v>
      </c>
      <c r="H412" t="str">
        <f t="shared" si="6"/>
        <v>YES</v>
      </c>
    </row>
    <row r="413" spans="1:8" x14ac:dyDescent="0.2">
      <c r="A413" s="6" t="s">
        <v>427</v>
      </c>
      <c r="B413" s="7">
        <v>6</v>
      </c>
      <c r="C413" s="7">
        <v>1</v>
      </c>
      <c r="D413" s="7">
        <v>0.16669999999999999</v>
      </c>
      <c r="E413" s="7">
        <v>3.0099999999999998E-2</v>
      </c>
      <c r="F413" s="8" t="s">
        <v>35</v>
      </c>
      <c r="G413" s="8" t="s">
        <v>17</v>
      </c>
      <c r="H413" t="str">
        <f t="shared" si="6"/>
        <v>NO</v>
      </c>
    </row>
    <row r="414" spans="1:8" x14ac:dyDescent="0.2">
      <c r="A414" s="6" t="s">
        <v>428</v>
      </c>
      <c r="B414" s="7">
        <v>6</v>
      </c>
      <c r="C414" s="7">
        <v>1</v>
      </c>
      <c r="D414" s="7">
        <v>0.16669999999999999</v>
      </c>
      <c r="E414" s="7">
        <v>3.0099999999999998E-2</v>
      </c>
      <c r="F414" s="8" t="s">
        <v>35</v>
      </c>
      <c r="G414" s="8" t="s">
        <v>94</v>
      </c>
      <c r="H414" t="str">
        <f t="shared" si="6"/>
        <v>NO</v>
      </c>
    </row>
    <row r="415" spans="1:8" x14ac:dyDescent="0.2">
      <c r="A415" s="6" t="s">
        <v>429</v>
      </c>
      <c r="B415" s="7">
        <v>6</v>
      </c>
      <c r="C415" s="7">
        <v>1</v>
      </c>
      <c r="D415" s="7">
        <v>0.16669999999999999</v>
      </c>
      <c r="E415" s="7">
        <v>3.0099999999999998E-2</v>
      </c>
      <c r="F415" s="8" t="s">
        <v>35</v>
      </c>
      <c r="G415" s="8" t="s">
        <v>35</v>
      </c>
      <c r="H415" t="str">
        <f t="shared" si="6"/>
        <v>YES</v>
      </c>
    </row>
    <row r="416" spans="1:8" x14ac:dyDescent="0.2">
      <c r="A416" s="6" t="s">
        <v>430</v>
      </c>
      <c r="B416" s="7">
        <v>6</v>
      </c>
      <c r="C416" s="7">
        <v>1</v>
      </c>
      <c r="D416" s="7">
        <v>0.16669999999999999</v>
      </c>
      <c r="E416" s="7">
        <v>3.0099999999999998E-2</v>
      </c>
      <c r="F416" s="8" t="s">
        <v>35</v>
      </c>
      <c r="G416" s="8" t="s">
        <v>35</v>
      </c>
      <c r="H416" t="str">
        <f t="shared" si="6"/>
        <v>YES</v>
      </c>
    </row>
    <row r="417" spans="1:8" x14ac:dyDescent="0.2">
      <c r="A417" s="6" t="s">
        <v>431</v>
      </c>
      <c r="B417" s="7">
        <v>6</v>
      </c>
      <c r="C417" s="7">
        <v>1</v>
      </c>
      <c r="D417" s="7">
        <v>0.16669999999999999</v>
      </c>
      <c r="E417" s="7">
        <v>3.0099999999999998E-2</v>
      </c>
      <c r="F417" s="8" t="s">
        <v>35</v>
      </c>
      <c r="G417" s="8" t="s">
        <v>35</v>
      </c>
      <c r="H417" t="str">
        <f t="shared" si="6"/>
        <v>YES</v>
      </c>
    </row>
    <row r="418" spans="1:8" x14ac:dyDescent="0.2">
      <c r="A418" s="6" t="s">
        <v>432</v>
      </c>
      <c r="B418" s="7">
        <v>93</v>
      </c>
      <c r="C418" s="7">
        <v>6</v>
      </c>
      <c r="D418" s="7">
        <v>6.4500000000000002E-2</v>
      </c>
      <c r="E418" s="7">
        <v>2.9899999999999999E-2</v>
      </c>
      <c r="F418" s="8" t="s">
        <v>35</v>
      </c>
      <c r="G418" s="8" t="s">
        <v>35</v>
      </c>
      <c r="H418" t="str">
        <f t="shared" si="6"/>
        <v>YES</v>
      </c>
    </row>
    <row r="419" spans="1:8" x14ac:dyDescent="0.2">
      <c r="A419" s="6" t="s">
        <v>433</v>
      </c>
      <c r="B419" s="7">
        <v>35</v>
      </c>
      <c r="C419" s="7">
        <v>3</v>
      </c>
      <c r="D419" s="7">
        <v>8.5699999999999998E-2</v>
      </c>
      <c r="E419" s="7">
        <v>2.9600000000000001E-2</v>
      </c>
      <c r="F419" s="8" t="s">
        <v>35</v>
      </c>
      <c r="G419" s="8" t="s">
        <v>35</v>
      </c>
      <c r="H419" t="str">
        <f t="shared" si="6"/>
        <v>YES</v>
      </c>
    </row>
    <row r="420" spans="1:8" x14ac:dyDescent="0.2">
      <c r="A420" s="6" t="s">
        <v>434</v>
      </c>
      <c r="B420" s="7">
        <v>122</v>
      </c>
      <c r="C420" s="7">
        <v>7</v>
      </c>
      <c r="D420" s="7">
        <v>5.74E-2</v>
      </c>
      <c r="E420" s="7">
        <v>2.81E-2</v>
      </c>
      <c r="F420" s="8" t="s">
        <v>35</v>
      </c>
      <c r="G420" s="8" t="s">
        <v>35</v>
      </c>
      <c r="H420" t="str">
        <f t="shared" si="6"/>
        <v>YES</v>
      </c>
    </row>
    <row r="421" spans="1:8" x14ac:dyDescent="0.2">
      <c r="A421" s="6" t="s">
        <v>435</v>
      </c>
      <c r="B421" s="7">
        <v>37</v>
      </c>
      <c r="C421" s="7">
        <v>3</v>
      </c>
      <c r="D421" s="7">
        <v>8.1100000000000005E-2</v>
      </c>
      <c r="E421" s="7">
        <v>2.8000000000000001E-2</v>
      </c>
      <c r="F421" s="8" t="s">
        <v>35</v>
      </c>
      <c r="G421" s="8" t="s">
        <v>35</v>
      </c>
      <c r="H421" t="str">
        <f t="shared" si="6"/>
        <v>YES</v>
      </c>
    </row>
    <row r="422" spans="1:8" x14ac:dyDescent="0.2">
      <c r="A422" s="6" t="s">
        <v>436</v>
      </c>
      <c r="B422" s="7">
        <v>20</v>
      </c>
      <c r="C422" s="7">
        <v>2</v>
      </c>
      <c r="D422" s="7">
        <v>0.1</v>
      </c>
      <c r="E422" s="7">
        <v>2.7900000000000001E-2</v>
      </c>
      <c r="F422" s="8" t="s">
        <v>35</v>
      </c>
      <c r="G422" s="8" t="s">
        <v>35</v>
      </c>
      <c r="H422" t="str">
        <f t="shared" si="6"/>
        <v>YES</v>
      </c>
    </row>
    <row r="423" spans="1:8" x14ac:dyDescent="0.2">
      <c r="A423" s="6" t="s">
        <v>437</v>
      </c>
      <c r="B423" s="7">
        <v>57</v>
      </c>
      <c r="C423" s="7">
        <v>4</v>
      </c>
      <c r="D423" s="7">
        <v>7.0199999999999999E-2</v>
      </c>
      <c r="E423" s="7">
        <v>2.76E-2</v>
      </c>
      <c r="F423" s="8" t="s">
        <v>35</v>
      </c>
      <c r="G423" s="8" t="s">
        <v>35</v>
      </c>
      <c r="H423" t="str">
        <f t="shared" si="6"/>
        <v>YES</v>
      </c>
    </row>
    <row r="424" spans="1:8" x14ac:dyDescent="0.2">
      <c r="A424" s="6" t="s">
        <v>438</v>
      </c>
      <c r="B424" s="7">
        <v>173</v>
      </c>
      <c r="C424" s="7">
        <v>9</v>
      </c>
      <c r="D424" s="7">
        <v>5.1999999999999998E-2</v>
      </c>
      <c r="E424" s="7">
        <v>2.76E-2</v>
      </c>
      <c r="F424" s="8" t="s">
        <v>35</v>
      </c>
      <c r="G424" s="8" t="s">
        <v>35</v>
      </c>
      <c r="H424" t="str">
        <f t="shared" si="6"/>
        <v>YES</v>
      </c>
    </row>
    <row r="425" spans="1:8" x14ac:dyDescent="0.2">
      <c r="A425" s="6" t="s">
        <v>439</v>
      </c>
      <c r="B425" s="7">
        <v>1013</v>
      </c>
      <c r="C425" s="7">
        <v>38</v>
      </c>
      <c r="D425" s="7">
        <v>3.7499999999999999E-2</v>
      </c>
      <c r="E425" s="7">
        <v>2.75E-2</v>
      </c>
      <c r="F425" s="8" t="s">
        <v>35</v>
      </c>
      <c r="G425" s="8" t="s">
        <v>35</v>
      </c>
      <c r="H425" t="str">
        <f t="shared" si="6"/>
        <v>YES</v>
      </c>
    </row>
    <row r="426" spans="1:8" x14ac:dyDescent="0.2">
      <c r="A426" s="6" t="s">
        <v>440</v>
      </c>
      <c r="B426" s="7">
        <v>79</v>
      </c>
      <c r="C426" s="7">
        <v>5</v>
      </c>
      <c r="D426" s="7">
        <v>6.3299999999999995E-2</v>
      </c>
      <c r="E426" s="7">
        <v>2.7300000000000001E-2</v>
      </c>
      <c r="F426" s="8" t="s">
        <v>35</v>
      </c>
      <c r="G426" s="8" t="s">
        <v>35</v>
      </c>
      <c r="H426" t="str">
        <f t="shared" si="6"/>
        <v>YES</v>
      </c>
    </row>
    <row r="427" spans="1:8" x14ac:dyDescent="0.2">
      <c r="A427" s="6" t="s">
        <v>441</v>
      </c>
      <c r="B427" s="7">
        <v>59</v>
      </c>
      <c r="C427" s="7">
        <v>4</v>
      </c>
      <c r="D427" s="7">
        <v>6.7799999999999999E-2</v>
      </c>
      <c r="E427" s="7">
        <v>2.6700000000000002E-2</v>
      </c>
      <c r="F427" s="8" t="s">
        <v>35</v>
      </c>
      <c r="G427" s="8" t="s">
        <v>35</v>
      </c>
      <c r="H427" t="str">
        <f t="shared" si="6"/>
        <v>YES</v>
      </c>
    </row>
    <row r="428" spans="1:8" x14ac:dyDescent="0.2">
      <c r="A428" s="6" t="s">
        <v>442</v>
      </c>
      <c r="B428" s="7">
        <v>21</v>
      </c>
      <c r="C428" s="7">
        <v>2</v>
      </c>
      <c r="D428" s="7">
        <v>9.5200000000000007E-2</v>
      </c>
      <c r="E428" s="7">
        <v>2.6499999999999999E-2</v>
      </c>
      <c r="F428" s="8" t="s">
        <v>35</v>
      </c>
      <c r="G428" s="8" t="s">
        <v>35</v>
      </c>
      <c r="H428" t="str">
        <f t="shared" si="6"/>
        <v>YES</v>
      </c>
    </row>
    <row r="429" spans="1:8" x14ac:dyDescent="0.2">
      <c r="A429" s="6" t="s">
        <v>443</v>
      </c>
      <c r="B429" s="7">
        <v>523</v>
      </c>
      <c r="C429" s="7">
        <v>21</v>
      </c>
      <c r="D429" s="7">
        <v>4.02E-2</v>
      </c>
      <c r="E429" s="7">
        <v>2.64E-2</v>
      </c>
      <c r="F429" s="8" t="s">
        <v>35</v>
      </c>
      <c r="G429" s="8" t="s">
        <v>35</v>
      </c>
      <c r="H429" t="str">
        <f t="shared" si="6"/>
        <v>YES</v>
      </c>
    </row>
    <row r="430" spans="1:8" x14ac:dyDescent="0.2">
      <c r="A430" s="6" t="s">
        <v>444</v>
      </c>
      <c r="B430" s="7">
        <v>211</v>
      </c>
      <c r="C430" s="7">
        <v>10</v>
      </c>
      <c r="D430" s="7">
        <v>4.7399999999999998E-2</v>
      </c>
      <c r="E430" s="7">
        <v>2.5899999999999999E-2</v>
      </c>
      <c r="F430" s="8" t="s">
        <v>35</v>
      </c>
      <c r="G430" s="8" t="s">
        <v>35</v>
      </c>
      <c r="H430" t="str">
        <f t="shared" si="6"/>
        <v>YES</v>
      </c>
    </row>
    <row r="431" spans="1:8" x14ac:dyDescent="0.2">
      <c r="A431" s="6" t="s">
        <v>445</v>
      </c>
      <c r="B431" s="7">
        <v>7</v>
      </c>
      <c r="C431" s="7">
        <v>1</v>
      </c>
      <c r="D431" s="7">
        <v>0.1429</v>
      </c>
      <c r="E431" s="7">
        <v>2.5700000000000001E-2</v>
      </c>
      <c r="F431" s="8" t="s">
        <v>35</v>
      </c>
      <c r="G431" s="8" t="s">
        <v>35</v>
      </c>
      <c r="H431" t="str">
        <f t="shared" si="6"/>
        <v>YES</v>
      </c>
    </row>
    <row r="432" spans="1:8" x14ac:dyDescent="0.2">
      <c r="A432" s="6" t="s">
        <v>446</v>
      </c>
      <c r="B432" s="7">
        <v>7</v>
      </c>
      <c r="C432" s="7">
        <v>1</v>
      </c>
      <c r="D432" s="7">
        <v>0.1429</v>
      </c>
      <c r="E432" s="7">
        <v>2.5700000000000001E-2</v>
      </c>
      <c r="F432" s="8" t="s">
        <v>35</v>
      </c>
      <c r="G432" s="8" t="s">
        <v>35</v>
      </c>
      <c r="H432" t="str">
        <f t="shared" si="6"/>
        <v>YES</v>
      </c>
    </row>
    <row r="433" spans="1:8" x14ac:dyDescent="0.2">
      <c r="A433" s="6" t="s">
        <v>447</v>
      </c>
      <c r="B433" s="7">
        <v>160</v>
      </c>
      <c r="C433" s="7">
        <v>8</v>
      </c>
      <c r="D433" s="7">
        <v>0.05</v>
      </c>
      <c r="E433" s="7">
        <v>2.5600000000000001E-2</v>
      </c>
      <c r="F433" s="8" t="s">
        <v>35</v>
      </c>
      <c r="G433" s="8" t="s">
        <v>35</v>
      </c>
      <c r="H433" t="str">
        <f t="shared" si="6"/>
        <v>YES</v>
      </c>
    </row>
    <row r="434" spans="1:8" x14ac:dyDescent="0.2">
      <c r="A434" s="6" t="s">
        <v>448</v>
      </c>
      <c r="B434" s="7">
        <v>22</v>
      </c>
      <c r="C434" s="7">
        <v>2</v>
      </c>
      <c r="D434" s="7">
        <v>9.0899999999999995E-2</v>
      </c>
      <c r="E434" s="7">
        <v>2.53E-2</v>
      </c>
      <c r="F434" s="8" t="s">
        <v>35</v>
      </c>
      <c r="G434" s="8" t="s">
        <v>35</v>
      </c>
      <c r="H434" t="str">
        <f t="shared" si="6"/>
        <v>YES</v>
      </c>
    </row>
    <row r="435" spans="1:8" x14ac:dyDescent="0.2">
      <c r="A435" s="6" t="s">
        <v>449</v>
      </c>
      <c r="B435" s="7">
        <v>22</v>
      </c>
      <c r="C435" s="7">
        <v>2</v>
      </c>
      <c r="D435" s="7">
        <v>9.0899999999999995E-2</v>
      </c>
      <c r="E435" s="7">
        <v>2.53E-2</v>
      </c>
      <c r="F435" s="8" t="s">
        <v>35</v>
      </c>
      <c r="G435" s="8" t="s">
        <v>35</v>
      </c>
      <c r="H435" t="str">
        <f t="shared" si="6"/>
        <v>YES</v>
      </c>
    </row>
    <row r="436" spans="1:8" x14ac:dyDescent="0.2">
      <c r="A436" s="6" t="s">
        <v>450</v>
      </c>
      <c r="B436" s="7">
        <v>22</v>
      </c>
      <c r="C436" s="7">
        <v>2</v>
      </c>
      <c r="D436" s="7">
        <v>9.0899999999999995E-2</v>
      </c>
      <c r="E436" s="7">
        <v>2.53E-2</v>
      </c>
      <c r="F436" s="8" t="s">
        <v>35</v>
      </c>
      <c r="G436" s="8" t="s">
        <v>35</v>
      </c>
      <c r="H436" t="str">
        <f t="shared" si="6"/>
        <v>YES</v>
      </c>
    </row>
    <row r="437" spans="1:8" x14ac:dyDescent="0.2">
      <c r="A437" s="6" t="s">
        <v>451</v>
      </c>
      <c r="B437" s="7">
        <v>111</v>
      </c>
      <c r="C437" s="7">
        <v>6</v>
      </c>
      <c r="D437" s="7">
        <v>5.4100000000000002E-2</v>
      </c>
      <c r="E437" s="7">
        <v>2.5000000000000001E-2</v>
      </c>
      <c r="F437" s="8" t="s">
        <v>35</v>
      </c>
      <c r="G437" s="8" t="s">
        <v>35</v>
      </c>
      <c r="H437" t="str">
        <f t="shared" si="6"/>
        <v>YES</v>
      </c>
    </row>
    <row r="438" spans="1:8" x14ac:dyDescent="0.2">
      <c r="A438" s="6" t="s">
        <v>452</v>
      </c>
      <c r="B438" s="7">
        <v>87</v>
      </c>
      <c r="C438" s="7">
        <v>5</v>
      </c>
      <c r="D438" s="7">
        <v>5.7500000000000002E-2</v>
      </c>
      <c r="E438" s="7">
        <v>2.4799999999999999E-2</v>
      </c>
      <c r="F438" s="8" t="s">
        <v>35</v>
      </c>
      <c r="G438" s="8" t="s">
        <v>35</v>
      </c>
      <c r="H438" t="str">
        <f t="shared" si="6"/>
        <v>YES</v>
      </c>
    </row>
    <row r="439" spans="1:8" x14ac:dyDescent="0.2">
      <c r="A439" s="6" t="s">
        <v>453</v>
      </c>
      <c r="B439" s="7">
        <v>342</v>
      </c>
      <c r="C439" s="7">
        <v>14</v>
      </c>
      <c r="D439" s="7">
        <v>4.0899999999999999E-2</v>
      </c>
      <c r="E439" s="7">
        <v>2.4500000000000001E-2</v>
      </c>
      <c r="F439" s="8" t="s">
        <v>35</v>
      </c>
      <c r="G439" s="8" t="s">
        <v>35</v>
      </c>
      <c r="H439" t="str">
        <f t="shared" si="6"/>
        <v>YES</v>
      </c>
    </row>
    <row r="440" spans="1:8" x14ac:dyDescent="0.2">
      <c r="A440" s="6" t="s">
        <v>454</v>
      </c>
      <c r="B440" s="7">
        <v>1002</v>
      </c>
      <c r="C440" s="7">
        <v>34</v>
      </c>
      <c r="D440" s="7">
        <v>3.39E-2</v>
      </c>
      <c r="E440" s="7">
        <v>2.4400000000000002E-2</v>
      </c>
      <c r="F440" s="8" t="s">
        <v>35</v>
      </c>
      <c r="G440" s="8" t="s">
        <v>35</v>
      </c>
      <c r="H440" t="str">
        <f t="shared" si="6"/>
        <v>YES</v>
      </c>
    </row>
    <row r="441" spans="1:8" x14ac:dyDescent="0.2">
      <c r="A441" s="6" t="s">
        <v>455</v>
      </c>
      <c r="B441" s="7">
        <v>23</v>
      </c>
      <c r="C441" s="7">
        <v>2</v>
      </c>
      <c r="D441" s="7">
        <v>8.6999999999999994E-2</v>
      </c>
      <c r="E441" s="7">
        <v>2.4199999999999999E-2</v>
      </c>
      <c r="F441" s="8" t="s">
        <v>35</v>
      </c>
      <c r="G441" s="8" t="s">
        <v>94</v>
      </c>
      <c r="H441" t="str">
        <f t="shared" si="6"/>
        <v>NO</v>
      </c>
    </row>
    <row r="442" spans="1:8" x14ac:dyDescent="0.2">
      <c r="A442" s="6" t="s">
        <v>456</v>
      </c>
      <c r="B442" s="7">
        <v>91</v>
      </c>
      <c r="C442" s="7">
        <v>5</v>
      </c>
      <c r="D442" s="7">
        <v>5.4899999999999997E-2</v>
      </c>
      <c r="E442" s="7">
        <v>2.3699999999999999E-2</v>
      </c>
      <c r="F442" s="8" t="s">
        <v>35</v>
      </c>
      <c r="G442" s="8" t="s">
        <v>35</v>
      </c>
      <c r="H442" t="str">
        <f t="shared" si="6"/>
        <v>YES</v>
      </c>
    </row>
    <row r="443" spans="1:8" x14ac:dyDescent="0.2">
      <c r="A443" s="6" t="s">
        <v>457</v>
      </c>
      <c r="B443" s="7">
        <v>292</v>
      </c>
      <c r="C443" s="7">
        <v>12</v>
      </c>
      <c r="D443" s="7">
        <v>4.1099999999999998E-2</v>
      </c>
      <c r="E443" s="7">
        <v>2.3699999999999999E-2</v>
      </c>
      <c r="F443" s="8" t="s">
        <v>35</v>
      </c>
      <c r="G443" s="8" t="s">
        <v>35</v>
      </c>
      <c r="H443" t="str">
        <f t="shared" si="6"/>
        <v>YES</v>
      </c>
    </row>
    <row r="444" spans="1:8" x14ac:dyDescent="0.2">
      <c r="A444" s="6" t="s">
        <v>458</v>
      </c>
      <c r="B444" s="7">
        <v>204</v>
      </c>
      <c r="C444" s="7">
        <v>9</v>
      </c>
      <c r="D444" s="7">
        <v>4.41E-2</v>
      </c>
      <c r="E444" s="7">
        <v>2.3400000000000001E-2</v>
      </c>
      <c r="F444" s="8" t="s">
        <v>35</v>
      </c>
      <c r="G444" s="8" t="s">
        <v>35</v>
      </c>
      <c r="H444" t="str">
        <f t="shared" si="6"/>
        <v>YES</v>
      </c>
    </row>
    <row r="445" spans="1:8" x14ac:dyDescent="0.2">
      <c r="A445" s="6" t="s">
        <v>459</v>
      </c>
      <c r="B445" s="7">
        <v>147</v>
      </c>
      <c r="C445" s="7">
        <v>7</v>
      </c>
      <c r="D445" s="7">
        <v>4.7600000000000003E-2</v>
      </c>
      <c r="E445" s="7">
        <v>2.3300000000000001E-2</v>
      </c>
      <c r="F445" s="8" t="s">
        <v>35</v>
      </c>
      <c r="G445" s="8" t="s">
        <v>35</v>
      </c>
      <c r="H445" t="str">
        <f t="shared" si="6"/>
        <v>YES</v>
      </c>
    </row>
    <row r="446" spans="1:8" x14ac:dyDescent="0.2">
      <c r="A446" s="6" t="s">
        <v>460</v>
      </c>
      <c r="B446" s="7">
        <v>24</v>
      </c>
      <c r="C446" s="7">
        <v>2</v>
      </c>
      <c r="D446" s="7">
        <v>8.3299999999999999E-2</v>
      </c>
      <c r="E446" s="7">
        <v>2.3199999999999998E-2</v>
      </c>
      <c r="F446" s="8" t="s">
        <v>35</v>
      </c>
      <c r="G446" s="8" t="s">
        <v>35</v>
      </c>
      <c r="H446" t="str">
        <f t="shared" si="6"/>
        <v>YES</v>
      </c>
    </row>
    <row r="447" spans="1:8" x14ac:dyDescent="0.2">
      <c r="A447" s="6" t="s">
        <v>461</v>
      </c>
      <c r="B447" s="7">
        <v>1316</v>
      </c>
      <c r="C447" s="7">
        <v>41</v>
      </c>
      <c r="D447" s="7">
        <v>3.1199999999999999E-2</v>
      </c>
      <c r="E447" s="7">
        <v>2.3E-2</v>
      </c>
      <c r="F447" s="8" t="s">
        <v>35</v>
      </c>
      <c r="G447" s="8" t="s">
        <v>35</v>
      </c>
      <c r="H447" t="str">
        <f t="shared" si="6"/>
        <v>YES</v>
      </c>
    </row>
    <row r="448" spans="1:8" x14ac:dyDescent="0.2">
      <c r="A448" s="6" t="s">
        <v>462</v>
      </c>
      <c r="B448" s="7">
        <v>274</v>
      </c>
      <c r="C448" s="7">
        <v>11</v>
      </c>
      <c r="D448" s="7">
        <v>4.0099999999999997E-2</v>
      </c>
      <c r="E448" s="7">
        <v>2.2599999999999999E-2</v>
      </c>
      <c r="F448" s="8" t="s">
        <v>35</v>
      </c>
      <c r="G448" s="8" t="s">
        <v>35</v>
      </c>
      <c r="H448" t="str">
        <f t="shared" si="6"/>
        <v>YES</v>
      </c>
    </row>
    <row r="449" spans="1:8" x14ac:dyDescent="0.2">
      <c r="A449" s="6" t="s">
        <v>463</v>
      </c>
      <c r="B449" s="7">
        <v>8</v>
      </c>
      <c r="C449" s="7">
        <v>1</v>
      </c>
      <c r="D449" s="7">
        <v>0.125</v>
      </c>
      <c r="E449" s="7">
        <v>2.24E-2</v>
      </c>
      <c r="F449" s="8" t="s">
        <v>35</v>
      </c>
      <c r="G449" s="8" t="s">
        <v>35</v>
      </c>
      <c r="H449" t="str">
        <f t="shared" si="6"/>
        <v>YES</v>
      </c>
    </row>
    <row r="450" spans="1:8" x14ac:dyDescent="0.2">
      <c r="A450" s="6" t="s">
        <v>464</v>
      </c>
      <c r="B450" s="7">
        <v>153</v>
      </c>
      <c r="C450" s="7">
        <v>7</v>
      </c>
      <c r="D450" s="7">
        <v>4.58E-2</v>
      </c>
      <c r="E450" s="7">
        <v>2.23E-2</v>
      </c>
      <c r="F450" s="8" t="s">
        <v>35</v>
      </c>
      <c r="G450" s="8" t="s">
        <v>35</v>
      </c>
      <c r="H450" t="str">
        <f t="shared" si="6"/>
        <v>YES</v>
      </c>
    </row>
    <row r="451" spans="1:8" x14ac:dyDescent="0.2">
      <c r="A451" s="6" t="s">
        <v>465</v>
      </c>
      <c r="B451" s="7">
        <v>25</v>
      </c>
      <c r="C451" s="7">
        <v>2</v>
      </c>
      <c r="D451" s="7">
        <v>0.08</v>
      </c>
      <c r="E451" s="7">
        <v>2.2200000000000001E-2</v>
      </c>
      <c r="F451" s="8" t="s">
        <v>35</v>
      </c>
      <c r="G451" s="8" t="s">
        <v>35</v>
      </c>
      <c r="H451" t="str">
        <f t="shared" si="6"/>
        <v>YES</v>
      </c>
    </row>
    <row r="452" spans="1:8" x14ac:dyDescent="0.2">
      <c r="A452" s="6" t="s">
        <v>466</v>
      </c>
      <c r="B452" s="7">
        <v>72</v>
      </c>
      <c r="C452" s="7">
        <v>4</v>
      </c>
      <c r="D452" s="7">
        <v>5.5599999999999997E-2</v>
      </c>
      <c r="E452" s="7">
        <v>2.18E-2</v>
      </c>
      <c r="F452" s="8" t="s">
        <v>35</v>
      </c>
      <c r="G452" s="8" t="s">
        <v>35</v>
      </c>
      <c r="H452" t="str">
        <f t="shared" si="6"/>
        <v>YES</v>
      </c>
    </row>
    <row r="453" spans="1:8" x14ac:dyDescent="0.2">
      <c r="A453" s="6" t="s">
        <v>467</v>
      </c>
      <c r="B453" s="7">
        <v>392</v>
      </c>
      <c r="C453" s="7">
        <v>14</v>
      </c>
      <c r="D453" s="7">
        <v>3.5700000000000003E-2</v>
      </c>
      <c r="E453" s="7">
        <v>2.1399999999999999E-2</v>
      </c>
      <c r="F453" s="8" t="s">
        <v>35</v>
      </c>
      <c r="G453" s="8" t="s">
        <v>35</v>
      </c>
      <c r="H453" t="str">
        <f t="shared" ref="H453:H516" si="7">IF(F453=G453,"YES","NO")</f>
        <v>YES</v>
      </c>
    </row>
    <row r="454" spans="1:8" x14ac:dyDescent="0.2">
      <c r="A454" s="6" t="s">
        <v>468</v>
      </c>
      <c r="B454" s="7">
        <v>26</v>
      </c>
      <c r="C454" s="7">
        <v>2</v>
      </c>
      <c r="D454" s="7">
        <v>7.6899999999999996E-2</v>
      </c>
      <c r="E454" s="7">
        <v>2.1399999999999999E-2</v>
      </c>
      <c r="F454" s="8" t="s">
        <v>35</v>
      </c>
      <c r="G454" s="8" t="s">
        <v>35</v>
      </c>
      <c r="H454" t="str">
        <f t="shared" si="7"/>
        <v>YES</v>
      </c>
    </row>
    <row r="455" spans="1:8" x14ac:dyDescent="0.2">
      <c r="A455" s="6" t="s">
        <v>469</v>
      </c>
      <c r="B455" s="7">
        <v>26</v>
      </c>
      <c r="C455" s="7">
        <v>2</v>
      </c>
      <c r="D455" s="7">
        <v>7.6899999999999996E-2</v>
      </c>
      <c r="E455" s="7">
        <v>2.1399999999999999E-2</v>
      </c>
      <c r="F455" s="8" t="s">
        <v>35</v>
      </c>
      <c r="G455" s="8" t="s">
        <v>35</v>
      </c>
      <c r="H455" t="str">
        <f t="shared" si="7"/>
        <v>YES</v>
      </c>
    </row>
    <row r="456" spans="1:8" x14ac:dyDescent="0.2">
      <c r="A456" s="6" t="s">
        <v>470</v>
      </c>
      <c r="B456" s="7">
        <v>104</v>
      </c>
      <c r="C456" s="7">
        <v>5</v>
      </c>
      <c r="D456" s="7">
        <v>4.8099999999999997E-2</v>
      </c>
      <c r="E456" s="7">
        <v>2.07E-2</v>
      </c>
      <c r="F456" s="8" t="s">
        <v>35</v>
      </c>
      <c r="G456" s="8" t="s">
        <v>35</v>
      </c>
      <c r="H456" t="str">
        <f t="shared" si="7"/>
        <v>YES</v>
      </c>
    </row>
    <row r="457" spans="1:8" x14ac:dyDescent="0.2">
      <c r="A457" s="6" t="s">
        <v>471</v>
      </c>
      <c r="B457" s="7">
        <v>104</v>
      </c>
      <c r="C457" s="7">
        <v>5</v>
      </c>
      <c r="D457" s="7">
        <v>4.8099999999999997E-2</v>
      </c>
      <c r="E457" s="7">
        <v>2.07E-2</v>
      </c>
      <c r="F457" s="8" t="s">
        <v>35</v>
      </c>
      <c r="G457" s="8" t="s">
        <v>35</v>
      </c>
      <c r="H457" t="str">
        <f t="shared" si="7"/>
        <v>YES</v>
      </c>
    </row>
    <row r="458" spans="1:8" x14ac:dyDescent="0.2">
      <c r="A458" s="6" t="s">
        <v>472</v>
      </c>
      <c r="B458" s="7">
        <v>166</v>
      </c>
      <c r="C458" s="7">
        <v>7</v>
      </c>
      <c r="D458" s="7">
        <v>4.2200000000000001E-2</v>
      </c>
      <c r="E458" s="7">
        <v>2.06E-2</v>
      </c>
      <c r="F458" s="8" t="s">
        <v>35</v>
      </c>
      <c r="G458" s="8" t="s">
        <v>35</v>
      </c>
      <c r="H458" t="str">
        <f t="shared" si="7"/>
        <v>YES</v>
      </c>
    </row>
    <row r="459" spans="1:8" x14ac:dyDescent="0.2">
      <c r="A459" s="6" t="s">
        <v>473</v>
      </c>
      <c r="B459" s="7">
        <v>27</v>
      </c>
      <c r="C459" s="7">
        <v>2</v>
      </c>
      <c r="D459" s="7">
        <v>7.4099999999999999E-2</v>
      </c>
      <c r="E459" s="7">
        <v>2.06E-2</v>
      </c>
      <c r="F459" s="8" t="s">
        <v>35</v>
      </c>
      <c r="G459" s="8" t="s">
        <v>35</v>
      </c>
      <c r="H459" t="str">
        <f t="shared" si="7"/>
        <v>YES</v>
      </c>
    </row>
    <row r="460" spans="1:8" x14ac:dyDescent="0.2">
      <c r="A460" s="6" t="s">
        <v>474</v>
      </c>
      <c r="B460" s="7">
        <v>136</v>
      </c>
      <c r="C460" s="7">
        <v>6</v>
      </c>
      <c r="D460" s="7">
        <v>4.41E-2</v>
      </c>
      <c r="E460" s="7">
        <v>2.0400000000000001E-2</v>
      </c>
      <c r="F460" s="8" t="s">
        <v>35</v>
      </c>
      <c r="G460" s="8" t="s">
        <v>35</v>
      </c>
      <c r="H460" t="str">
        <f t="shared" si="7"/>
        <v>YES</v>
      </c>
    </row>
    <row r="461" spans="1:8" x14ac:dyDescent="0.2">
      <c r="A461" s="6" t="s">
        <v>475</v>
      </c>
      <c r="B461" s="7">
        <v>9</v>
      </c>
      <c r="C461" s="7">
        <v>1</v>
      </c>
      <c r="D461" s="7">
        <v>0.1111</v>
      </c>
      <c r="E461" s="7">
        <v>1.9900000000000001E-2</v>
      </c>
      <c r="F461" s="8" t="s">
        <v>35</v>
      </c>
      <c r="G461" s="8" t="s">
        <v>35</v>
      </c>
      <c r="H461" t="str">
        <f t="shared" si="7"/>
        <v>YES</v>
      </c>
    </row>
    <row r="462" spans="1:8" x14ac:dyDescent="0.2">
      <c r="A462" s="6" t="s">
        <v>476</v>
      </c>
      <c r="B462" s="7">
        <v>9</v>
      </c>
      <c r="C462" s="7">
        <v>1</v>
      </c>
      <c r="D462" s="7">
        <v>0.1111</v>
      </c>
      <c r="E462" s="7">
        <v>1.9900000000000001E-2</v>
      </c>
      <c r="F462" s="8" t="s">
        <v>35</v>
      </c>
      <c r="G462" s="8" t="s">
        <v>94</v>
      </c>
      <c r="H462" t="str">
        <f t="shared" si="7"/>
        <v>NO</v>
      </c>
    </row>
    <row r="463" spans="1:8" x14ac:dyDescent="0.2">
      <c r="A463" s="6" t="s">
        <v>477</v>
      </c>
      <c r="B463" s="7">
        <v>9</v>
      </c>
      <c r="C463" s="7">
        <v>1</v>
      </c>
      <c r="D463" s="7">
        <v>0.1111</v>
      </c>
      <c r="E463" s="7">
        <v>1.9900000000000001E-2</v>
      </c>
      <c r="F463" s="8" t="s">
        <v>35</v>
      </c>
      <c r="G463" s="8" t="s">
        <v>35</v>
      </c>
      <c r="H463" t="str">
        <f t="shared" si="7"/>
        <v>YES</v>
      </c>
    </row>
    <row r="464" spans="1:8" x14ac:dyDescent="0.2">
      <c r="A464" s="6" t="s">
        <v>478</v>
      </c>
      <c r="B464" s="7">
        <v>9</v>
      </c>
      <c r="C464" s="7">
        <v>1</v>
      </c>
      <c r="D464" s="7">
        <v>0.1111</v>
      </c>
      <c r="E464" s="7">
        <v>1.9900000000000001E-2</v>
      </c>
      <c r="F464" s="8" t="s">
        <v>35</v>
      </c>
      <c r="G464" s="8" t="s">
        <v>17</v>
      </c>
      <c r="H464" t="str">
        <f t="shared" si="7"/>
        <v>NO</v>
      </c>
    </row>
    <row r="465" spans="1:8" x14ac:dyDescent="0.2">
      <c r="A465" s="6" t="s">
        <v>479</v>
      </c>
      <c r="B465" s="7">
        <v>9</v>
      </c>
      <c r="C465" s="7">
        <v>1</v>
      </c>
      <c r="D465" s="7">
        <v>0.1111</v>
      </c>
      <c r="E465" s="7">
        <v>1.9900000000000001E-2</v>
      </c>
      <c r="F465" s="8" t="s">
        <v>35</v>
      </c>
      <c r="G465" s="8" t="s">
        <v>35</v>
      </c>
      <c r="H465" t="str">
        <f t="shared" si="7"/>
        <v>YES</v>
      </c>
    </row>
    <row r="466" spans="1:8" x14ac:dyDescent="0.2">
      <c r="A466" s="6" t="s">
        <v>480</v>
      </c>
      <c r="B466" s="7">
        <v>142</v>
      </c>
      <c r="C466" s="7">
        <v>6</v>
      </c>
      <c r="D466" s="7">
        <v>4.2299999999999997E-2</v>
      </c>
      <c r="E466" s="7">
        <v>1.95E-2</v>
      </c>
      <c r="F466" s="8" t="s">
        <v>35</v>
      </c>
      <c r="G466" s="8" t="s">
        <v>35</v>
      </c>
      <c r="H466" t="str">
        <f t="shared" si="7"/>
        <v>YES</v>
      </c>
    </row>
    <row r="467" spans="1:8" x14ac:dyDescent="0.2">
      <c r="A467" s="6" t="s">
        <v>481</v>
      </c>
      <c r="B467" s="7">
        <v>29</v>
      </c>
      <c r="C467" s="7">
        <v>2</v>
      </c>
      <c r="D467" s="7">
        <v>6.9000000000000006E-2</v>
      </c>
      <c r="E467" s="7">
        <v>1.9099999999999999E-2</v>
      </c>
      <c r="F467" s="8" t="s">
        <v>35</v>
      </c>
      <c r="G467" s="8" t="s">
        <v>35</v>
      </c>
      <c r="H467" t="str">
        <f t="shared" si="7"/>
        <v>YES</v>
      </c>
    </row>
    <row r="468" spans="1:8" x14ac:dyDescent="0.2">
      <c r="A468" s="6" t="s">
        <v>482</v>
      </c>
      <c r="B468" s="7">
        <v>54</v>
      </c>
      <c r="C468" s="7">
        <v>3</v>
      </c>
      <c r="D468" s="7">
        <v>5.5599999999999997E-2</v>
      </c>
      <c r="E468" s="7">
        <v>1.9099999999999999E-2</v>
      </c>
      <c r="F468" s="8" t="s">
        <v>35</v>
      </c>
      <c r="G468" s="8" t="s">
        <v>35</v>
      </c>
      <c r="H468" t="str">
        <f t="shared" si="7"/>
        <v>YES</v>
      </c>
    </row>
    <row r="469" spans="1:8" x14ac:dyDescent="0.2">
      <c r="A469" s="6" t="s">
        <v>483</v>
      </c>
      <c r="B469" s="7">
        <v>83</v>
      </c>
      <c r="C469" s="7">
        <v>4</v>
      </c>
      <c r="D469" s="7">
        <v>4.82E-2</v>
      </c>
      <c r="E469" s="7">
        <v>1.89E-2</v>
      </c>
      <c r="F469" s="8" t="s">
        <v>35</v>
      </c>
      <c r="G469" s="8" t="s">
        <v>35</v>
      </c>
      <c r="H469" t="str">
        <f t="shared" si="7"/>
        <v>YES</v>
      </c>
    </row>
    <row r="470" spans="1:8" x14ac:dyDescent="0.2">
      <c r="A470" s="6" t="s">
        <v>484</v>
      </c>
      <c r="B470" s="7">
        <v>219</v>
      </c>
      <c r="C470" s="7">
        <v>8</v>
      </c>
      <c r="D470" s="7">
        <v>3.6499999999999998E-2</v>
      </c>
      <c r="E470" s="7">
        <v>1.8599999999999998E-2</v>
      </c>
      <c r="F470" s="8" t="s">
        <v>35</v>
      </c>
      <c r="G470" s="8" t="s">
        <v>35</v>
      </c>
      <c r="H470" t="str">
        <f t="shared" si="7"/>
        <v>YES</v>
      </c>
    </row>
    <row r="471" spans="1:8" x14ac:dyDescent="0.2">
      <c r="A471" s="6" t="s">
        <v>485</v>
      </c>
      <c r="B471" s="7">
        <v>87</v>
      </c>
      <c r="C471" s="7">
        <v>4</v>
      </c>
      <c r="D471" s="7">
        <v>4.5999999999999999E-2</v>
      </c>
      <c r="E471" s="7">
        <v>1.7999999999999999E-2</v>
      </c>
      <c r="F471" s="8" t="s">
        <v>35</v>
      </c>
      <c r="G471" s="8" t="s">
        <v>35</v>
      </c>
      <c r="H471" t="str">
        <f t="shared" si="7"/>
        <v>YES</v>
      </c>
    </row>
    <row r="472" spans="1:8" x14ac:dyDescent="0.2">
      <c r="A472" s="6" t="s">
        <v>486</v>
      </c>
      <c r="B472" s="7">
        <v>10</v>
      </c>
      <c r="C472" s="7">
        <v>1</v>
      </c>
      <c r="D472" s="7">
        <v>0.1</v>
      </c>
      <c r="E472" s="7">
        <v>1.7899999999999999E-2</v>
      </c>
      <c r="F472" s="8" t="s">
        <v>35</v>
      </c>
      <c r="G472" s="8" t="s">
        <v>35</v>
      </c>
      <c r="H472" t="str">
        <f t="shared" si="7"/>
        <v>YES</v>
      </c>
    </row>
    <row r="473" spans="1:8" x14ac:dyDescent="0.2">
      <c r="A473" s="6" t="s">
        <v>487</v>
      </c>
      <c r="B473" s="7">
        <v>10</v>
      </c>
      <c r="C473" s="7">
        <v>1</v>
      </c>
      <c r="D473" s="7">
        <v>0.1</v>
      </c>
      <c r="E473" s="7">
        <v>1.7899999999999999E-2</v>
      </c>
      <c r="F473" s="8" t="s">
        <v>35</v>
      </c>
      <c r="G473" s="8" t="s">
        <v>94</v>
      </c>
      <c r="H473" t="str">
        <f t="shared" si="7"/>
        <v>NO</v>
      </c>
    </row>
    <row r="474" spans="1:8" x14ac:dyDescent="0.2">
      <c r="A474" s="6" t="s">
        <v>488</v>
      </c>
      <c r="B474" s="7">
        <v>59</v>
      </c>
      <c r="C474" s="7">
        <v>3</v>
      </c>
      <c r="D474" s="7">
        <v>5.0799999999999998E-2</v>
      </c>
      <c r="E474" s="7">
        <v>1.7399999999999999E-2</v>
      </c>
      <c r="F474" s="8" t="s">
        <v>35</v>
      </c>
      <c r="G474" s="8" t="s">
        <v>35</v>
      </c>
      <c r="H474" t="str">
        <f t="shared" si="7"/>
        <v>YES</v>
      </c>
    </row>
    <row r="475" spans="1:8" x14ac:dyDescent="0.2">
      <c r="A475" s="6" t="s">
        <v>489</v>
      </c>
      <c r="B475" s="7">
        <v>32</v>
      </c>
      <c r="C475" s="7">
        <v>2</v>
      </c>
      <c r="D475" s="7">
        <v>6.25E-2</v>
      </c>
      <c r="E475" s="7">
        <v>1.7299999999999999E-2</v>
      </c>
      <c r="F475" s="8" t="s">
        <v>35</v>
      </c>
      <c r="G475" s="8" t="s">
        <v>35</v>
      </c>
      <c r="H475" t="str">
        <f t="shared" si="7"/>
        <v>YES</v>
      </c>
    </row>
    <row r="476" spans="1:8" x14ac:dyDescent="0.2">
      <c r="A476" s="6" t="s">
        <v>490</v>
      </c>
      <c r="B476" s="7">
        <v>131</v>
      </c>
      <c r="C476" s="7">
        <v>5</v>
      </c>
      <c r="D476" s="7">
        <v>3.8199999999999998E-2</v>
      </c>
      <c r="E476" s="7">
        <v>1.6400000000000001E-2</v>
      </c>
      <c r="F476" s="8" t="s">
        <v>35</v>
      </c>
      <c r="G476" s="8" t="s">
        <v>35</v>
      </c>
      <c r="H476" t="str">
        <f t="shared" si="7"/>
        <v>YES</v>
      </c>
    </row>
    <row r="477" spans="1:8" x14ac:dyDescent="0.2">
      <c r="A477" s="6" t="s">
        <v>491</v>
      </c>
      <c r="B477" s="7">
        <v>34</v>
      </c>
      <c r="C477" s="7">
        <v>2</v>
      </c>
      <c r="D477" s="7">
        <v>5.8799999999999998E-2</v>
      </c>
      <c r="E477" s="7">
        <v>1.6299999999999999E-2</v>
      </c>
      <c r="F477" s="8" t="s">
        <v>35</v>
      </c>
      <c r="G477" s="8" t="s">
        <v>35</v>
      </c>
      <c r="H477" t="str">
        <f t="shared" si="7"/>
        <v>YES</v>
      </c>
    </row>
    <row r="478" spans="1:8" x14ac:dyDescent="0.2">
      <c r="A478" s="6" t="s">
        <v>492</v>
      </c>
      <c r="B478" s="7">
        <v>424</v>
      </c>
      <c r="C478" s="7">
        <v>12</v>
      </c>
      <c r="D478" s="7">
        <v>2.8299999999999999E-2</v>
      </c>
      <c r="E478" s="7">
        <v>1.6299999999999999E-2</v>
      </c>
      <c r="F478" s="8" t="s">
        <v>35</v>
      </c>
      <c r="G478" s="8" t="s">
        <v>35</v>
      </c>
      <c r="H478" t="str">
        <f t="shared" si="7"/>
        <v>YES</v>
      </c>
    </row>
    <row r="479" spans="1:8" x14ac:dyDescent="0.2">
      <c r="A479" s="6" t="s">
        <v>493</v>
      </c>
      <c r="B479" s="7">
        <v>11</v>
      </c>
      <c r="C479" s="7">
        <v>1</v>
      </c>
      <c r="D479" s="7">
        <v>9.0899999999999995E-2</v>
      </c>
      <c r="E479" s="7">
        <v>1.6199999999999999E-2</v>
      </c>
      <c r="F479" s="8" t="s">
        <v>35</v>
      </c>
      <c r="G479" s="8" t="s">
        <v>35</v>
      </c>
      <c r="H479" t="str">
        <f t="shared" si="7"/>
        <v>YES</v>
      </c>
    </row>
    <row r="480" spans="1:8" x14ac:dyDescent="0.2">
      <c r="A480" s="6" t="s">
        <v>494</v>
      </c>
      <c r="B480" s="7">
        <v>136</v>
      </c>
      <c r="C480" s="7">
        <v>5</v>
      </c>
      <c r="D480" s="7">
        <v>3.6799999999999999E-2</v>
      </c>
      <c r="E480" s="7">
        <v>1.5800000000000002E-2</v>
      </c>
      <c r="F480" s="8" t="s">
        <v>35</v>
      </c>
      <c r="G480" s="8" t="s">
        <v>35</v>
      </c>
      <c r="H480" t="str">
        <f t="shared" si="7"/>
        <v>YES</v>
      </c>
    </row>
    <row r="481" spans="1:8" x14ac:dyDescent="0.2">
      <c r="A481" s="6" t="s">
        <v>495</v>
      </c>
      <c r="B481" s="7">
        <v>100</v>
      </c>
      <c r="C481" s="7">
        <v>4</v>
      </c>
      <c r="D481" s="7">
        <v>0.04</v>
      </c>
      <c r="E481" s="7">
        <v>1.5699999999999999E-2</v>
      </c>
      <c r="F481" s="8" t="s">
        <v>35</v>
      </c>
      <c r="G481" s="8" t="s">
        <v>35</v>
      </c>
      <c r="H481" t="str">
        <f t="shared" si="7"/>
        <v>YES</v>
      </c>
    </row>
    <row r="482" spans="1:8" x14ac:dyDescent="0.2">
      <c r="A482" s="6" t="s">
        <v>496</v>
      </c>
      <c r="B482" s="7">
        <v>177</v>
      </c>
      <c r="C482" s="7">
        <v>6</v>
      </c>
      <c r="D482" s="7">
        <v>3.39E-2</v>
      </c>
      <c r="E482" s="7">
        <v>1.5599999999999999E-2</v>
      </c>
      <c r="F482" s="8" t="s">
        <v>35</v>
      </c>
      <c r="G482" s="8" t="s">
        <v>35</v>
      </c>
      <c r="H482" t="str">
        <f t="shared" si="7"/>
        <v>YES</v>
      </c>
    </row>
    <row r="483" spans="1:8" x14ac:dyDescent="0.2">
      <c r="A483" s="6" t="s">
        <v>497</v>
      </c>
      <c r="B483" s="7">
        <v>102</v>
      </c>
      <c r="C483" s="7">
        <v>4</v>
      </c>
      <c r="D483" s="7">
        <v>3.9199999999999999E-2</v>
      </c>
      <c r="E483" s="7">
        <v>1.54E-2</v>
      </c>
      <c r="F483" s="8" t="s">
        <v>35</v>
      </c>
      <c r="G483" s="8" t="s">
        <v>35</v>
      </c>
      <c r="H483" t="str">
        <f t="shared" si="7"/>
        <v>YES</v>
      </c>
    </row>
    <row r="484" spans="1:8" x14ac:dyDescent="0.2">
      <c r="A484" s="6" t="s">
        <v>498</v>
      </c>
      <c r="B484" s="7">
        <v>67</v>
      </c>
      <c r="C484" s="7">
        <v>3</v>
      </c>
      <c r="D484" s="7">
        <v>4.48E-2</v>
      </c>
      <c r="E484" s="7">
        <v>1.5299999999999999E-2</v>
      </c>
      <c r="F484" s="8" t="s">
        <v>35</v>
      </c>
      <c r="G484" s="8" t="s">
        <v>17</v>
      </c>
      <c r="H484" t="str">
        <f t="shared" si="7"/>
        <v>NO</v>
      </c>
    </row>
    <row r="485" spans="1:8" x14ac:dyDescent="0.2">
      <c r="A485" s="6" t="s">
        <v>499</v>
      </c>
      <c r="B485" s="7">
        <v>104</v>
      </c>
      <c r="C485" s="7">
        <v>4</v>
      </c>
      <c r="D485" s="7">
        <v>3.85E-2</v>
      </c>
      <c r="E485" s="7">
        <v>1.5100000000000001E-2</v>
      </c>
      <c r="F485" s="8" t="s">
        <v>35</v>
      </c>
      <c r="G485" s="8" t="s">
        <v>17</v>
      </c>
      <c r="H485" t="str">
        <f t="shared" si="7"/>
        <v>NO</v>
      </c>
    </row>
    <row r="486" spans="1:8" x14ac:dyDescent="0.2">
      <c r="A486" s="6" t="s">
        <v>500</v>
      </c>
      <c r="B486" s="7">
        <v>37</v>
      </c>
      <c r="C486" s="7">
        <v>2</v>
      </c>
      <c r="D486" s="7">
        <v>5.4100000000000002E-2</v>
      </c>
      <c r="E486" s="7">
        <v>1.4999999999999999E-2</v>
      </c>
      <c r="F486" s="8" t="s">
        <v>35</v>
      </c>
      <c r="G486" s="8" t="s">
        <v>35</v>
      </c>
      <c r="H486" t="str">
        <f t="shared" si="7"/>
        <v>YES</v>
      </c>
    </row>
    <row r="487" spans="1:8" x14ac:dyDescent="0.2">
      <c r="A487" s="6" t="s">
        <v>501</v>
      </c>
      <c r="B487" s="7">
        <v>147</v>
      </c>
      <c r="C487" s="7">
        <v>5</v>
      </c>
      <c r="D487" s="7">
        <v>3.4000000000000002E-2</v>
      </c>
      <c r="E487" s="7">
        <v>1.46E-2</v>
      </c>
      <c r="F487" s="8" t="s">
        <v>35</v>
      </c>
      <c r="G487" s="8" t="s">
        <v>35</v>
      </c>
      <c r="H487" t="str">
        <f t="shared" si="7"/>
        <v>YES</v>
      </c>
    </row>
    <row r="488" spans="1:8" x14ac:dyDescent="0.2">
      <c r="A488" s="6" t="s">
        <v>502</v>
      </c>
      <c r="B488" s="7">
        <v>376</v>
      </c>
      <c r="C488" s="7">
        <v>10</v>
      </c>
      <c r="D488" s="7">
        <v>2.6599999999999999E-2</v>
      </c>
      <c r="E488" s="7">
        <v>1.4500000000000001E-2</v>
      </c>
      <c r="F488" s="8" t="s">
        <v>35</v>
      </c>
      <c r="G488" s="8" t="s">
        <v>35</v>
      </c>
      <c r="H488" t="str">
        <f t="shared" si="7"/>
        <v>YES</v>
      </c>
    </row>
    <row r="489" spans="1:8" x14ac:dyDescent="0.2">
      <c r="A489" s="6" t="s">
        <v>503</v>
      </c>
      <c r="B489" s="7">
        <v>192</v>
      </c>
      <c r="C489" s="7">
        <v>6</v>
      </c>
      <c r="D489" s="7">
        <v>3.1199999999999999E-2</v>
      </c>
      <c r="E489" s="7">
        <v>1.44E-2</v>
      </c>
      <c r="F489" s="8" t="s">
        <v>35</v>
      </c>
      <c r="G489" s="8" t="s">
        <v>35</v>
      </c>
      <c r="H489" t="str">
        <f t="shared" si="7"/>
        <v>YES</v>
      </c>
    </row>
    <row r="490" spans="1:8" x14ac:dyDescent="0.2">
      <c r="A490" s="6" t="s">
        <v>504</v>
      </c>
      <c r="B490" s="7">
        <v>40</v>
      </c>
      <c r="C490" s="7">
        <v>2</v>
      </c>
      <c r="D490" s="7">
        <v>0.05</v>
      </c>
      <c r="E490" s="7">
        <v>1.38E-2</v>
      </c>
      <c r="F490" s="8" t="s">
        <v>35</v>
      </c>
      <c r="G490" s="8" t="s">
        <v>35</v>
      </c>
      <c r="H490" t="str">
        <f t="shared" si="7"/>
        <v>YES</v>
      </c>
    </row>
    <row r="491" spans="1:8" x14ac:dyDescent="0.2">
      <c r="A491" s="6" t="s">
        <v>505</v>
      </c>
      <c r="B491" s="7">
        <v>200</v>
      </c>
      <c r="C491" s="7">
        <v>6</v>
      </c>
      <c r="D491" s="7">
        <v>0.03</v>
      </c>
      <c r="E491" s="7">
        <v>1.38E-2</v>
      </c>
      <c r="F491" s="8" t="s">
        <v>35</v>
      </c>
      <c r="G491" s="8" t="s">
        <v>35</v>
      </c>
      <c r="H491" t="str">
        <f t="shared" si="7"/>
        <v>YES</v>
      </c>
    </row>
    <row r="492" spans="1:8" x14ac:dyDescent="0.2">
      <c r="A492" s="6" t="s">
        <v>506</v>
      </c>
      <c r="B492" s="7">
        <v>13</v>
      </c>
      <c r="C492" s="7">
        <v>1</v>
      </c>
      <c r="D492" s="7">
        <v>7.6899999999999996E-2</v>
      </c>
      <c r="E492" s="7">
        <v>1.37E-2</v>
      </c>
      <c r="F492" s="8" t="s">
        <v>35</v>
      </c>
      <c r="G492" s="8" t="s">
        <v>35</v>
      </c>
      <c r="H492" t="str">
        <f t="shared" si="7"/>
        <v>YES</v>
      </c>
    </row>
    <row r="493" spans="1:8" x14ac:dyDescent="0.2">
      <c r="A493" s="6" t="s">
        <v>507</v>
      </c>
      <c r="B493" s="7">
        <v>13</v>
      </c>
      <c r="C493" s="7">
        <v>1</v>
      </c>
      <c r="D493" s="7">
        <v>7.6899999999999996E-2</v>
      </c>
      <c r="E493" s="7">
        <v>1.37E-2</v>
      </c>
      <c r="F493" s="8" t="s">
        <v>35</v>
      </c>
      <c r="G493" s="8" t="s">
        <v>35</v>
      </c>
      <c r="H493" t="str">
        <f t="shared" si="7"/>
        <v>YES</v>
      </c>
    </row>
    <row r="494" spans="1:8" x14ac:dyDescent="0.2">
      <c r="A494" s="6" t="s">
        <v>508</v>
      </c>
      <c r="B494" s="7">
        <v>204</v>
      </c>
      <c r="C494" s="7">
        <v>6</v>
      </c>
      <c r="D494" s="7">
        <v>2.9399999999999999E-2</v>
      </c>
      <c r="E494" s="7">
        <v>1.35E-2</v>
      </c>
      <c r="F494" s="8" t="s">
        <v>35</v>
      </c>
      <c r="G494" s="8" t="s">
        <v>35</v>
      </c>
      <c r="H494" t="str">
        <f t="shared" si="7"/>
        <v>YES</v>
      </c>
    </row>
    <row r="495" spans="1:8" x14ac:dyDescent="0.2">
      <c r="A495" s="6" t="s">
        <v>509</v>
      </c>
      <c r="B495" s="7">
        <v>208</v>
      </c>
      <c r="C495" s="7">
        <v>6</v>
      </c>
      <c r="D495" s="7">
        <v>2.8799999999999999E-2</v>
      </c>
      <c r="E495" s="7">
        <v>1.3299999999999999E-2</v>
      </c>
      <c r="F495" s="8" t="s">
        <v>35</v>
      </c>
      <c r="G495" s="8" t="s">
        <v>35</v>
      </c>
      <c r="H495" t="str">
        <f t="shared" si="7"/>
        <v>YES</v>
      </c>
    </row>
    <row r="496" spans="1:8" x14ac:dyDescent="0.2">
      <c r="A496" s="6" t="s">
        <v>510</v>
      </c>
      <c r="B496" s="7">
        <v>80</v>
      </c>
      <c r="C496" s="7">
        <v>3</v>
      </c>
      <c r="D496" s="7">
        <v>3.7499999999999999E-2</v>
      </c>
      <c r="E496" s="7">
        <v>1.2800000000000001E-2</v>
      </c>
      <c r="F496" s="8" t="s">
        <v>35</v>
      </c>
      <c r="G496" s="8" t="s">
        <v>35</v>
      </c>
      <c r="H496" t="str">
        <f t="shared" si="7"/>
        <v>YES</v>
      </c>
    </row>
    <row r="497" spans="1:8" x14ac:dyDescent="0.2">
      <c r="A497" s="6" t="s">
        <v>511</v>
      </c>
      <c r="B497" s="7">
        <v>14</v>
      </c>
      <c r="C497" s="7">
        <v>1</v>
      </c>
      <c r="D497" s="7">
        <v>7.1400000000000005E-2</v>
      </c>
      <c r="E497" s="7">
        <v>1.2699999999999999E-2</v>
      </c>
      <c r="F497" s="8" t="s">
        <v>35</v>
      </c>
      <c r="G497" s="8" t="s">
        <v>35</v>
      </c>
      <c r="H497" t="str">
        <f t="shared" si="7"/>
        <v>YES</v>
      </c>
    </row>
    <row r="498" spans="1:8" x14ac:dyDescent="0.2">
      <c r="A498" s="6" t="s">
        <v>512</v>
      </c>
      <c r="B498" s="7">
        <v>14</v>
      </c>
      <c r="C498" s="7">
        <v>1</v>
      </c>
      <c r="D498" s="7">
        <v>7.1400000000000005E-2</v>
      </c>
      <c r="E498" s="7">
        <v>1.2699999999999999E-2</v>
      </c>
      <c r="F498" s="8" t="s">
        <v>35</v>
      </c>
      <c r="G498" s="8" t="s">
        <v>35</v>
      </c>
      <c r="H498" t="str">
        <f t="shared" si="7"/>
        <v>YES</v>
      </c>
    </row>
    <row r="499" spans="1:8" x14ac:dyDescent="0.2">
      <c r="A499" s="6" t="s">
        <v>513</v>
      </c>
      <c r="B499" s="7">
        <v>14</v>
      </c>
      <c r="C499" s="7">
        <v>1</v>
      </c>
      <c r="D499" s="7">
        <v>7.1400000000000005E-2</v>
      </c>
      <c r="E499" s="7">
        <v>1.2699999999999999E-2</v>
      </c>
      <c r="F499" s="8" t="s">
        <v>35</v>
      </c>
      <c r="G499" s="8" t="s">
        <v>35</v>
      </c>
      <c r="H499" t="str">
        <f t="shared" si="7"/>
        <v>YES</v>
      </c>
    </row>
    <row r="500" spans="1:8" x14ac:dyDescent="0.2">
      <c r="A500" s="6" t="s">
        <v>514</v>
      </c>
      <c r="B500" s="7">
        <v>14</v>
      </c>
      <c r="C500" s="7">
        <v>1</v>
      </c>
      <c r="D500" s="7">
        <v>7.1400000000000005E-2</v>
      </c>
      <c r="E500" s="7">
        <v>1.2699999999999999E-2</v>
      </c>
      <c r="F500" s="8" t="s">
        <v>35</v>
      </c>
      <c r="G500" s="8" t="s">
        <v>35</v>
      </c>
      <c r="H500" t="str">
        <f t="shared" si="7"/>
        <v>YES</v>
      </c>
    </row>
    <row r="501" spans="1:8" x14ac:dyDescent="0.2">
      <c r="A501" s="6" t="s">
        <v>515</v>
      </c>
      <c r="B501" s="7">
        <v>44</v>
      </c>
      <c r="C501" s="7">
        <v>2</v>
      </c>
      <c r="D501" s="7">
        <v>4.5499999999999999E-2</v>
      </c>
      <c r="E501" s="7">
        <v>1.26E-2</v>
      </c>
      <c r="F501" s="8" t="s">
        <v>35</v>
      </c>
      <c r="G501" s="8" t="s">
        <v>35</v>
      </c>
      <c r="H501" t="str">
        <f t="shared" si="7"/>
        <v>YES</v>
      </c>
    </row>
    <row r="502" spans="1:8" x14ac:dyDescent="0.2">
      <c r="A502" s="6" t="s">
        <v>516</v>
      </c>
      <c r="B502" s="7">
        <v>130</v>
      </c>
      <c r="C502" s="7">
        <v>4</v>
      </c>
      <c r="D502" s="7">
        <v>3.0800000000000001E-2</v>
      </c>
      <c r="E502" s="7">
        <v>1.2E-2</v>
      </c>
      <c r="F502" s="8" t="s">
        <v>35</v>
      </c>
      <c r="G502" s="8" t="s">
        <v>35</v>
      </c>
      <c r="H502" t="str">
        <f t="shared" si="7"/>
        <v>YES</v>
      </c>
    </row>
    <row r="503" spans="1:8" x14ac:dyDescent="0.2">
      <c r="A503" s="6" t="s">
        <v>517</v>
      </c>
      <c r="B503" s="7">
        <v>15</v>
      </c>
      <c r="C503" s="7">
        <v>1</v>
      </c>
      <c r="D503" s="7">
        <v>6.6699999999999995E-2</v>
      </c>
      <c r="E503" s="7">
        <v>1.1900000000000001E-2</v>
      </c>
      <c r="F503" s="8" t="s">
        <v>35</v>
      </c>
      <c r="G503" s="8" t="s">
        <v>35</v>
      </c>
      <c r="H503" t="str">
        <f t="shared" si="7"/>
        <v>YES</v>
      </c>
    </row>
    <row r="504" spans="1:8" x14ac:dyDescent="0.2">
      <c r="A504" s="6" t="s">
        <v>518</v>
      </c>
      <c r="B504" s="7">
        <v>15</v>
      </c>
      <c r="C504" s="7">
        <v>1</v>
      </c>
      <c r="D504" s="7">
        <v>6.6699999999999995E-2</v>
      </c>
      <c r="E504" s="7">
        <v>1.1900000000000001E-2</v>
      </c>
      <c r="F504" s="8" t="s">
        <v>35</v>
      </c>
      <c r="G504" s="8" t="s">
        <v>35</v>
      </c>
      <c r="H504" t="str">
        <f t="shared" si="7"/>
        <v>YES</v>
      </c>
    </row>
    <row r="505" spans="1:8" x14ac:dyDescent="0.2">
      <c r="A505" s="6" t="s">
        <v>519</v>
      </c>
      <c r="B505" s="7">
        <v>47</v>
      </c>
      <c r="C505" s="7">
        <v>2</v>
      </c>
      <c r="D505" s="7">
        <v>4.2599999999999999E-2</v>
      </c>
      <c r="E505" s="7">
        <v>1.17E-2</v>
      </c>
      <c r="F505" s="8" t="s">
        <v>35</v>
      </c>
      <c r="G505" s="8" t="s">
        <v>35</v>
      </c>
      <c r="H505" t="str">
        <f t="shared" si="7"/>
        <v>YES</v>
      </c>
    </row>
    <row r="506" spans="1:8" x14ac:dyDescent="0.2">
      <c r="A506" s="6" t="s">
        <v>520</v>
      </c>
      <c r="B506" s="7">
        <v>47</v>
      </c>
      <c r="C506" s="7">
        <v>2</v>
      </c>
      <c r="D506" s="7">
        <v>4.2599999999999999E-2</v>
      </c>
      <c r="E506" s="7">
        <v>1.17E-2</v>
      </c>
      <c r="F506" s="8" t="s">
        <v>35</v>
      </c>
      <c r="G506" s="8" t="s">
        <v>35</v>
      </c>
      <c r="H506" t="str">
        <f t="shared" si="7"/>
        <v>YES</v>
      </c>
    </row>
    <row r="507" spans="1:8" x14ac:dyDescent="0.2">
      <c r="A507" s="6" t="s">
        <v>521</v>
      </c>
      <c r="B507" s="7">
        <v>464</v>
      </c>
      <c r="C507" s="7">
        <v>10</v>
      </c>
      <c r="D507" s="7">
        <v>2.1600000000000001E-2</v>
      </c>
      <c r="E507" s="7">
        <v>1.17E-2</v>
      </c>
      <c r="F507" s="8" t="s">
        <v>35</v>
      </c>
      <c r="G507" s="8" t="s">
        <v>35</v>
      </c>
      <c r="H507" t="str">
        <f t="shared" si="7"/>
        <v>YES</v>
      </c>
    </row>
    <row r="508" spans="1:8" x14ac:dyDescent="0.2">
      <c r="A508" s="6" t="s">
        <v>522</v>
      </c>
      <c r="B508" s="7">
        <v>88</v>
      </c>
      <c r="C508" s="7">
        <v>3</v>
      </c>
      <c r="D508" s="7">
        <v>3.4099999999999998E-2</v>
      </c>
      <c r="E508" s="7">
        <v>1.17E-2</v>
      </c>
      <c r="F508" s="8" t="s">
        <v>35</v>
      </c>
      <c r="G508" s="8" t="s">
        <v>35</v>
      </c>
      <c r="H508" t="str">
        <f t="shared" si="7"/>
        <v>YES</v>
      </c>
    </row>
    <row r="509" spans="1:8" x14ac:dyDescent="0.2">
      <c r="A509" s="6" t="s">
        <v>523</v>
      </c>
      <c r="B509" s="7">
        <v>88</v>
      </c>
      <c r="C509" s="7">
        <v>3</v>
      </c>
      <c r="D509" s="7">
        <v>3.4099999999999998E-2</v>
      </c>
      <c r="E509" s="7">
        <v>1.17E-2</v>
      </c>
      <c r="F509" s="8" t="s">
        <v>35</v>
      </c>
      <c r="G509" s="8" t="s">
        <v>35</v>
      </c>
      <c r="H509" t="str">
        <f t="shared" si="7"/>
        <v>YES</v>
      </c>
    </row>
    <row r="510" spans="1:8" x14ac:dyDescent="0.2">
      <c r="A510" s="6" t="s">
        <v>524</v>
      </c>
      <c r="B510" s="7">
        <v>89</v>
      </c>
      <c r="C510" s="7">
        <v>3</v>
      </c>
      <c r="D510" s="7">
        <v>3.3700000000000001E-2</v>
      </c>
      <c r="E510" s="7">
        <v>1.15E-2</v>
      </c>
      <c r="F510" s="8" t="s">
        <v>35</v>
      </c>
      <c r="G510" s="8" t="s">
        <v>35</v>
      </c>
      <c r="H510" t="str">
        <f t="shared" si="7"/>
        <v>YES</v>
      </c>
    </row>
    <row r="511" spans="1:8" x14ac:dyDescent="0.2">
      <c r="A511" s="6" t="s">
        <v>525</v>
      </c>
      <c r="B511" s="7">
        <v>187</v>
      </c>
      <c r="C511" s="7">
        <v>5</v>
      </c>
      <c r="D511" s="7">
        <v>2.6700000000000002E-2</v>
      </c>
      <c r="E511" s="7">
        <v>1.15E-2</v>
      </c>
      <c r="F511" s="8" t="s">
        <v>35</v>
      </c>
      <c r="G511" s="8" t="s">
        <v>35</v>
      </c>
      <c r="H511" t="str">
        <f t="shared" si="7"/>
        <v>YES</v>
      </c>
    </row>
    <row r="512" spans="1:8" x14ac:dyDescent="0.2">
      <c r="A512" s="6" t="s">
        <v>526</v>
      </c>
      <c r="B512" s="7">
        <v>16</v>
      </c>
      <c r="C512" s="7">
        <v>1</v>
      </c>
      <c r="D512" s="7">
        <v>6.25E-2</v>
      </c>
      <c r="E512" s="7">
        <v>1.11E-2</v>
      </c>
      <c r="F512" s="8" t="s">
        <v>35</v>
      </c>
      <c r="G512" s="8" t="s">
        <v>35</v>
      </c>
      <c r="H512" t="str">
        <f t="shared" si="7"/>
        <v>YES</v>
      </c>
    </row>
    <row r="513" spans="1:8" x14ac:dyDescent="0.2">
      <c r="A513" s="6" t="s">
        <v>527</v>
      </c>
      <c r="B513" s="7">
        <v>94</v>
      </c>
      <c r="C513" s="7">
        <v>3</v>
      </c>
      <c r="D513" s="7">
        <v>3.1899999999999998E-2</v>
      </c>
      <c r="E513" s="7">
        <v>1.09E-2</v>
      </c>
      <c r="F513" s="8" t="s">
        <v>35</v>
      </c>
      <c r="G513" s="8" t="s">
        <v>35</v>
      </c>
      <c r="H513" t="str">
        <f t="shared" si="7"/>
        <v>YES</v>
      </c>
    </row>
    <row r="514" spans="1:8" x14ac:dyDescent="0.2">
      <c r="A514" s="6" t="s">
        <v>528</v>
      </c>
      <c r="B514" s="7">
        <v>51</v>
      </c>
      <c r="C514" s="7">
        <v>2</v>
      </c>
      <c r="D514" s="7">
        <v>3.9199999999999999E-2</v>
      </c>
      <c r="E514" s="7">
        <v>1.0800000000000001E-2</v>
      </c>
      <c r="F514" s="8" t="s">
        <v>35</v>
      </c>
      <c r="G514" s="8" t="s">
        <v>17</v>
      </c>
      <c r="H514" t="str">
        <f t="shared" si="7"/>
        <v>NO</v>
      </c>
    </row>
    <row r="515" spans="1:8" x14ac:dyDescent="0.2">
      <c r="A515" s="6" t="s">
        <v>529</v>
      </c>
      <c r="B515" s="7">
        <v>505</v>
      </c>
      <c r="C515" s="7">
        <v>10</v>
      </c>
      <c r="D515" s="7">
        <v>1.9800000000000002E-2</v>
      </c>
      <c r="E515" s="7">
        <v>1.0800000000000001E-2</v>
      </c>
      <c r="F515" s="8" t="s">
        <v>35</v>
      </c>
      <c r="G515" s="8" t="s">
        <v>35</v>
      </c>
      <c r="H515" t="str">
        <f t="shared" si="7"/>
        <v>YES</v>
      </c>
    </row>
    <row r="516" spans="1:8" x14ac:dyDescent="0.2">
      <c r="A516" s="6" t="s">
        <v>530</v>
      </c>
      <c r="B516" s="7">
        <v>199</v>
      </c>
      <c r="C516" s="7">
        <v>5</v>
      </c>
      <c r="D516" s="7">
        <v>2.5100000000000001E-2</v>
      </c>
      <c r="E516" s="7">
        <v>1.0800000000000001E-2</v>
      </c>
      <c r="F516" s="8" t="s">
        <v>35</v>
      </c>
      <c r="G516" s="8" t="s">
        <v>35</v>
      </c>
      <c r="H516" t="str">
        <f t="shared" si="7"/>
        <v>YES</v>
      </c>
    </row>
    <row r="517" spans="1:8" x14ac:dyDescent="0.2">
      <c r="A517" s="6" t="s">
        <v>531</v>
      </c>
      <c r="B517" s="7">
        <v>17</v>
      </c>
      <c r="C517" s="7">
        <v>1</v>
      </c>
      <c r="D517" s="7">
        <v>5.8799999999999998E-2</v>
      </c>
      <c r="E517" s="7">
        <v>1.0500000000000001E-2</v>
      </c>
      <c r="F517" s="8" t="s">
        <v>35</v>
      </c>
      <c r="G517" s="8" t="s">
        <v>35</v>
      </c>
      <c r="H517" t="str">
        <f t="shared" ref="H517:H580" si="8">IF(F517=G517,"YES","NO")</f>
        <v>YES</v>
      </c>
    </row>
    <row r="518" spans="1:8" x14ac:dyDescent="0.2">
      <c r="A518" s="6" t="s">
        <v>532</v>
      </c>
      <c r="B518" s="7">
        <v>17</v>
      </c>
      <c r="C518" s="7">
        <v>1</v>
      </c>
      <c r="D518" s="7">
        <v>5.8799999999999998E-2</v>
      </c>
      <c r="E518" s="7">
        <v>1.0500000000000001E-2</v>
      </c>
      <c r="F518" s="8" t="s">
        <v>35</v>
      </c>
      <c r="G518" s="8" t="s">
        <v>35</v>
      </c>
      <c r="H518" t="str">
        <f t="shared" si="8"/>
        <v>YES</v>
      </c>
    </row>
    <row r="519" spans="1:8" x14ac:dyDescent="0.2">
      <c r="A519" s="6" t="s">
        <v>533</v>
      </c>
      <c r="B519" s="7">
        <v>17</v>
      </c>
      <c r="C519" s="7">
        <v>1</v>
      </c>
      <c r="D519" s="7">
        <v>5.8799999999999998E-2</v>
      </c>
      <c r="E519" s="7">
        <v>1.0500000000000001E-2</v>
      </c>
      <c r="F519" s="8" t="s">
        <v>35</v>
      </c>
      <c r="G519" s="8" t="s">
        <v>35</v>
      </c>
      <c r="H519" t="str">
        <f t="shared" si="8"/>
        <v>YES</v>
      </c>
    </row>
    <row r="520" spans="1:8" x14ac:dyDescent="0.2">
      <c r="A520" s="6" t="s">
        <v>534</v>
      </c>
      <c r="B520" s="7">
        <v>100</v>
      </c>
      <c r="C520" s="7">
        <v>3</v>
      </c>
      <c r="D520" s="7">
        <v>0.03</v>
      </c>
      <c r="E520" s="7">
        <v>1.03E-2</v>
      </c>
      <c r="F520" s="8" t="s">
        <v>35</v>
      </c>
      <c r="G520" s="8" t="s">
        <v>35</v>
      </c>
      <c r="H520" t="str">
        <f t="shared" si="8"/>
        <v>YES</v>
      </c>
    </row>
    <row r="521" spans="1:8" x14ac:dyDescent="0.2">
      <c r="A521" s="6" t="s">
        <v>535</v>
      </c>
      <c r="B521" s="7">
        <v>54</v>
      </c>
      <c r="C521" s="7">
        <v>2</v>
      </c>
      <c r="D521" s="7">
        <v>3.6999999999999998E-2</v>
      </c>
      <c r="E521" s="7">
        <v>1.0200000000000001E-2</v>
      </c>
      <c r="F521" s="8" t="s">
        <v>35</v>
      </c>
      <c r="G521" s="8" t="s">
        <v>35</v>
      </c>
      <c r="H521" t="str">
        <f t="shared" si="8"/>
        <v>YES</v>
      </c>
    </row>
    <row r="522" spans="1:8" x14ac:dyDescent="0.2">
      <c r="A522" s="6" t="s">
        <v>536</v>
      </c>
      <c r="B522" s="7">
        <v>55</v>
      </c>
      <c r="C522" s="7">
        <v>2</v>
      </c>
      <c r="D522" s="7">
        <v>3.6400000000000002E-2</v>
      </c>
      <c r="E522" s="7">
        <v>0.01</v>
      </c>
      <c r="F522" s="8" t="s">
        <v>35</v>
      </c>
      <c r="G522" s="8" t="s">
        <v>35</v>
      </c>
      <c r="H522" t="str">
        <f t="shared" si="8"/>
        <v>YES</v>
      </c>
    </row>
    <row r="523" spans="1:8" x14ac:dyDescent="0.2">
      <c r="A523" s="6" t="s">
        <v>537</v>
      </c>
      <c r="B523" s="7">
        <v>18</v>
      </c>
      <c r="C523" s="7">
        <v>1</v>
      </c>
      <c r="D523" s="7">
        <v>5.5599999999999997E-2</v>
      </c>
      <c r="E523" s="7">
        <v>9.9000000000000008E-3</v>
      </c>
      <c r="F523" s="8" t="s">
        <v>35</v>
      </c>
      <c r="G523" s="8" t="s">
        <v>35</v>
      </c>
      <c r="H523" t="str">
        <f t="shared" si="8"/>
        <v>YES</v>
      </c>
    </row>
    <row r="524" spans="1:8" x14ac:dyDescent="0.2">
      <c r="A524" s="6" t="s">
        <v>538</v>
      </c>
      <c r="B524" s="7">
        <v>18</v>
      </c>
      <c r="C524" s="7">
        <v>1</v>
      </c>
      <c r="D524" s="7">
        <v>5.5599999999999997E-2</v>
      </c>
      <c r="E524" s="7">
        <v>9.9000000000000008E-3</v>
      </c>
      <c r="F524" s="8" t="s">
        <v>35</v>
      </c>
      <c r="G524" s="8" t="s">
        <v>35</v>
      </c>
      <c r="H524" t="str">
        <f t="shared" si="8"/>
        <v>YES</v>
      </c>
    </row>
    <row r="525" spans="1:8" x14ac:dyDescent="0.2">
      <c r="A525" s="6" t="s">
        <v>539</v>
      </c>
      <c r="B525" s="7">
        <v>18</v>
      </c>
      <c r="C525" s="7">
        <v>1</v>
      </c>
      <c r="D525" s="7">
        <v>5.5599999999999997E-2</v>
      </c>
      <c r="E525" s="7">
        <v>9.9000000000000008E-3</v>
      </c>
      <c r="F525" s="8" t="s">
        <v>35</v>
      </c>
      <c r="G525" s="8" t="s">
        <v>35</v>
      </c>
      <c r="H525" t="str">
        <f t="shared" si="8"/>
        <v>YES</v>
      </c>
    </row>
    <row r="526" spans="1:8" x14ac:dyDescent="0.2">
      <c r="A526" s="6" t="s">
        <v>540</v>
      </c>
      <c r="B526" s="7">
        <v>163</v>
      </c>
      <c r="C526" s="7">
        <v>4</v>
      </c>
      <c r="D526" s="7">
        <v>2.4500000000000001E-2</v>
      </c>
      <c r="E526" s="7">
        <v>9.5999999999999992E-3</v>
      </c>
      <c r="F526" s="8" t="s">
        <v>35</v>
      </c>
      <c r="G526" s="8" t="s">
        <v>35</v>
      </c>
      <c r="H526" t="str">
        <f t="shared" si="8"/>
        <v>YES</v>
      </c>
    </row>
    <row r="527" spans="1:8" x14ac:dyDescent="0.2">
      <c r="A527" s="6" t="s">
        <v>541</v>
      </c>
      <c r="B527" s="7">
        <v>225</v>
      </c>
      <c r="C527" s="7">
        <v>5</v>
      </c>
      <c r="D527" s="7">
        <v>2.2200000000000001E-2</v>
      </c>
      <c r="E527" s="7">
        <v>9.4999999999999998E-3</v>
      </c>
      <c r="F527" s="8" t="s">
        <v>35</v>
      </c>
      <c r="G527" s="8" t="s">
        <v>35</v>
      </c>
      <c r="H527" t="str">
        <f t="shared" si="8"/>
        <v>YES</v>
      </c>
    </row>
    <row r="528" spans="1:8" x14ac:dyDescent="0.2">
      <c r="A528" s="6" t="s">
        <v>542</v>
      </c>
      <c r="B528" s="7">
        <v>293</v>
      </c>
      <c r="C528" s="7">
        <v>6</v>
      </c>
      <c r="D528" s="7">
        <v>2.0500000000000001E-2</v>
      </c>
      <c r="E528" s="7">
        <v>9.4000000000000004E-3</v>
      </c>
      <c r="F528" s="8" t="s">
        <v>35</v>
      </c>
      <c r="G528" s="8" t="s">
        <v>35</v>
      </c>
      <c r="H528" t="str">
        <f t="shared" si="8"/>
        <v>YES</v>
      </c>
    </row>
    <row r="529" spans="1:8" x14ac:dyDescent="0.2">
      <c r="A529" s="6" t="s">
        <v>543</v>
      </c>
      <c r="B529" s="7">
        <v>19</v>
      </c>
      <c r="C529" s="7">
        <v>1</v>
      </c>
      <c r="D529" s="7">
        <v>5.2600000000000001E-2</v>
      </c>
      <c r="E529" s="7">
        <v>9.4000000000000004E-3</v>
      </c>
      <c r="F529" s="8" t="s">
        <v>35</v>
      </c>
      <c r="G529" s="8" t="s">
        <v>35</v>
      </c>
      <c r="H529" t="str">
        <f t="shared" si="8"/>
        <v>YES</v>
      </c>
    </row>
    <row r="530" spans="1:8" x14ac:dyDescent="0.2">
      <c r="A530" s="6" t="s">
        <v>544</v>
      </c>
      <c r="B530" s="7">
        <v>373</v>
      </c>
      <c r="C530" s="7">
        <v>7</v>
      </c>
      <c r="D530" s="7">
        <v>1.8800000000000001E-2</v>
      </c>
      <c r="E530" s="7">
        <v>9.1000000000000004E-3</v>
      </c>
      <c r="F530" s="8" t="s">
        <v>35</v>
      </c>
      <c r="G530" s="8" t="s">
        <v>35</v>
      </c>
      <c r="H530" t="str">
        <f t="shared" si="8"/>
        <v>YES</v>
      </c>
    </row>
    <row r="531" spans="1:8" x14ac:dyDescent="0.2">
      <c r="A531" s="6" t="s">
        <v>545</v>
      </c>
      <c r="B531" s="7">
        <v>61</v>
      </c>
      <c r="C531" s="7">
        <v>2</v>
      </c>
      <c r="D531" s="7">
        <v>3.2800000000000003E-2</v>
      </c>
      <c r="E531" s="7">
        <v>8.9999999999999993E-3</v>
      </c>
      <c r="F531" s="8" t="s">
        <v>35</v>
      </c>
      <c r="G531" s="8" t="s">
        <v>35</v>
      </c>
      <c r="H531" t="str">
        <f t="shared" si="8"/>
        <v>YES</v>
      </c>
    </row>
    <row r="532" spans="1:8" x14ac:dyDescent="0.2">
      <c r="A532" s="6" t="s">
        <v>546</v>
      </c>
      <c r="B532" s="7">
        <v>61</v>
      </c>
      <c r="C532" s="7">
        <v>2</v>
      </c>
      <c r="D532" s="7">
        <v>3.2800000000000003E-2</v>
      </c>
      <c r="E532" s="7">
        <v>8.9999999999999993E-3</v>
      </c>
      <c r="F532" s="8" t="s">
        <v>35</v>
      </c>
      <c r="G532" s="8" t="s">
        <v>35</v>
      </c>
      <c r="H532" t="str">
        <f t="shared" si="8"/>
        <v>YES</v>
      </c>
    </row>
    <row r="533" spans="1:8" x14ac:dyDescent="0.2">
      <c r="A533" s="6" t="s">
        <v>547</v>
      </c>
      <c r="B533" s="7">
        <v>20</v>
      </c>
      <c r="C533" s="7">
        <v>1</v>
      </c>
      <c r="D533" s="7">
        <v>0.05</v>
      </c>
      <c r="E533" s="7">
        <v>8.8999999999999999E-3</v>
      </c>
      <c r="F533" s="8" t="s">
        <v>35</v>
      </c>
      <c r="G533" s="8" t="s">
        <v>35</v>
      </c>
      <c r="H533" t="str">
        <f t="shared" si="8"/>
        <v>YES</v>
      </c>
    </row>
    <row r="534" spans="1:8" x14ac:dyDescent="0.2">
      <c r="A534" s="6" t="s">
        <v>548</v>
      </c>
      <c r="B534" s="7">
        <v>20</v>
      </c>
      <c r="C534" s="7">
        <v>1</v>
      </c>
      <c r="D534" s="7">
        <v>0.05</v>
      </c>
      <c r="E534" s="7">
        <v>8.8999999999999999E-3</v>
      </c>
      <c r="F534" s="8" t="s">
        <v>35</v>
      </c>
      <c r="G534" s="8" t="s">
        <v>35</v>
      </c>
      <c r="H534" t="str">
        <f t="shared" si="8"/>
        <v>YES</v>
      </c>
    </row>
    <row r="535" spans="1:8" x14ac:dyDescent="0.2">
      <c r="A535" s="6" t="s">
        <v>549</v>
      </c>
      <c r="B535" s="7">
        <v>20</v>
      </c>
      <c r="C535" s="7">
        <v>1</v>
      </c>
      <c r="D535" s="7">
        <v>0.05</v>
      </c>
      <c r="E535" s="7">
        <v>8.8999999999999999E-3</v>
      </c>
      <c r="F535" s="8" t="s">
        <v>35</v>
      </c>
      <c r="G535" s="8" t="s">
        <v>35</v>
      </c>
      <c r="H535" t="str">
        <f t="shared" si="8"/>
        <v>YES</v>
      </c>
    </row>
    <row r="536" spans="1:8" x14ac:dyDescent="0.2">
      <c r="A536" s="6" t="s">
        <v>550</v>
      </c>
      <c r="B536" s="7">
        <v>116</v>
      </c>
      <c r="C536" s="7">
        <v>3</v>
      </c>
      <c r="D536" s="7">
        <v>2.5899999999999999E-2</v>
      </c>
      <c r="E536" s="7">
        <v>8.8000000000000005E-3</v>
      </c>
      <c r="F536" s="8" t="s">
        <v>35</v>
      </c>
      <c r="G536" s="8" t="s">
        <v>35</v>
      </c>
      <c r="H536" t="str">
        <f t="shared" si="8"/>
        <v>YES</v>
      </c>
    </row>
    <row r="537" spans="1:8" x14ac:dyDescent="0.2">
      <c r="A537" s="6" t="s">
        <v>551</v>
      </c>
      <c r="B537" s="7">
        <v>182</v>
      </c>
      <c r="C537" s="7">
        <v>4</v>
      </c>
      <c r="D537" s="7">
        <v>2.1999999999999999E-2</v>
      </c>
      <c r="E537" s="7">
        <v>8.6E-3</v>
      </c>
      <c r="F537" s="8" t="s">
        <v>35</v>
      </c>
      <c r="G537" s="8" t="s">
        <v>35</v>
      </c>
      <c r="H537" t="str">
        <f t="shared" si="8"/>
        <v>YES</v>
      </c>
    </row>
    <row r="538" spans="1:8" x14ac:dyDescent="0.2">
      <c r="A538" s="6" t="s">
        <v>552</v>
      </c>
      <c r="B538" s="7">
        <v>21</v>
      </c>
      <c r="C538" s="7">
        <v>1</v>
      </c>
      <c r="D538" s="7">
        <v>4.7600000000000003E-2</v>
      </c>
      <c r="E538" s="7">
        <v>8.5000000000000006E-3</v>
      </c>
      <c r="F538" s="8" t="s">
        <v>35</v>
      </c>
      <c r="G538" s="8" t="s">
        <v>94</v>
      </c>
      <c r="H538" t="str">
        <f t="shared" si="8"/>
        <v>NO</v>
      </c>
    </row>
    <row r="539" spans="1:8" x14ac:dyDescent="0.2">
      <c r="A539" s="6" t="s">
        <v>553</v>
      </c>
      <c r="B539" s="7">
        <v>21</v>
      </c>
      <c r="C539" s="7">
        <v>1</v>
      </c>
      <c r="D539" s="7">
        <v>4.7600000000000003E-2</v>
      </c>
      <c r="E539" s="7">
        <v>8.5000000000000006E-3</v>
      </c>
      <c r="F539" s="8" t="s">
        <v>35</v>
      </c>
      <c r="G539" s="8" t="s">
        <v>35</v>
      </c>
      <c r="H539" t="str">
        <f t="shared" si="8"/>
        <v>YES</v>
      </c>
    </row>
    <row r="540" spans="1:8" x14ac:dyDescent="0.2">
      <c r="A540" s="6" t="s">
        <v>554</v>
      </c>
      <c r="B540" s="7">
        <v>21</v>
      </c>
      <c r="C540" s="7">
        <v>1</v>
      </c>
      <c r="D540" s="7">
        <v>4.7600000000000003E-2</v>
      </c>
      <c r="E540" s="7">
        <v>8.5000000000000006E-3</v>
      </c>
      <c r="F540" s="8" t="s">
        <v>35</v>
      </c>
      <c r="G540" s="8" t="s">
        <v>35</v>
      </c>
      <c r="H540" t="str">
        <f t="shared" si="8"/>
        <v>YES</v>
      </c>
    </row>
    <row r="541" spans="1:8" x14ac:dyDescent="0.2">
      <c r="A541" s="6" t="s">
        <v>555</v>
      </c>
      <c r="B541" s="7">
        <v>124</v>
      </c>
      <c r="C541" s="7">
        <v>3</v>
      </c>
      <c r="D541" s="7">
        <v>2.4199999999999999E-2</v>
      </c>
      <c r="E541" s="7">
        <v>8.3000000000000001E-3</v>
      </c>
      <c r="F541" s="8" t="s">
        <v>35</v>
      </c>
      <c r="G541" s="8" t="s">
        <v>35</v>
      </c>
      <c r="H541" t="str">
        <f t="shared" si="8"/>
        <v>YES</v>
      </c>
    </row>
    <row r="542" spans="1:8" x14ac:dyDescent="0.2">
      <c r="A542" s="6" t="s">
        <v>556</v>
      </c>
      <c r="B542" s="7">
        <v>23</v>
      </c>
      <c r="C542" s="7">
        <v>1</v>
      </c>
      <c r="D542" s="7">
        <v>4.3499999999999997E-2</v>
      </c>
      <c r="E542" s="7">
        <v>7.7000000000000002E-3</v>
      </c>
      <c r="F542" s="8" t="s">
        <v>35</v>
      </c>
      <c r="G542" s="8" t="s">
        <v>35</v>
      </c>
      <c r="H542" t="str">
        <f t="shared" si="8"/>
        <v>YES</v>
      </c>
    </row>
    <row r="543" spans="1:8" x14ac:dyDescent="0.2">
      <c r="A543" s="6" t="s">
        <v>557</v>
      </c>
      <c r="B543" s="7">
        <v>72</v>
      </c>
      <c r="C543" s="7">
        <v>2</v>
      </c>
      <c r="D543" s="7">
        <v>2.7799999999999998E-2</v>
      </c>
      <c r="E543" s="7">
        <v>7.7000000000000002E-3</v>
      </c>
      <c r="F543" s="8" t="s">
        <v>35</v>
      </c>
      <c r="G543" s="8" t="s">
        <v>35</v>
      </c>
      <c r="H543" t="str">
        <f t="shared" si="8"/>
        <v>YES</v>
      </c>
    </row>
    <row r="544" spans="1:8" x14ac:dyDescent="0.2">
      <c r="A544" s="6" t="s">
        <v>558</v>
      </c>
      <c r="B544" s="7">
        <v>73</v>
      </c>
      <c r="C544" s="7">
        <v>2</v>
      </c>
      <c r="D544" s="7">
        <v>2.7400000000000001E-2</v>
      </c>
      <c r="E544" s="7">
        <v>7.4999999999999997E-3</v>
      </c>
      <c r="F544" s="8" t="s">
        <v>35</v>
      </c>
      <c r="G544" s="8" t="s">
        <v>35</v>
      </c>
      <c r="H544" t="str">
        <f t="shared" si="8"/>
        <v>YES</v>
      </c>
    </row>
    <row r="545" spans="1:8" x14ac:dyDescent="0.2">
      <c r="A545" s="6" t="s">
        <v>559</v>
      </c>
      <c r="B545" s="7">
        <v>24</v>
      </c>
      <c r="C545" s="7">
        <v>1</v>
      </c>
      <c r="D545" s="7">
        <v>4.1700000000000001E-2</v>
      </c>
      <c r="E545" s="7">
        <v>7.4000000000000003E-3</v>
      </c>
      <c r="F545" s="8" t="s">
        <v>35</v>
      </c>
      <c r="G545" s="8" t="s">
        <v>35</v>
      </c>
      <c r="H545" t="str">
        <f t="shared" si="8"/>
        <v>YES</v>
      </c>
    </row>
    <row r="546" spans="1:8" x14ac:dyDescent="0.2">
      <c r="A546" s="6" t="s">
        <v>560</v>
      </c>
      <c r="B546" s="7">
        <v>296</v>
      </c>
      <c r="C546" s="7">
        <v>5</v>
      </c>
      <c r="D546" s="7">
        <v>1.6899999999999998E-2</v>
      </c>
      <c r="E546" s="7">
        <v>7.1999999999999998E-3</v>
      </c>
      <c r="F546" s="8" t="s">
        <v>35</v>
      </c>
      <c r="G546" s="8" t="s">
        <v>35</v>
      </c>
      <c r="H546" t="str">
        <f t="shared" si="8"/>
        <v>YES</v>
      </c>
    </row>
    <row r="547" spans="1:8" x14ac:dyDescent="0.2">
      <c r="A547" s="6" t="s">
        <v>561</v>
      </c>
      <c r="B547" s="7">
        <v>77</v>
      </c>
      <c r="C547" s="7">
        <v>2</v>
      </c>
      <c r="D547" s="7">
        <v>2.5999999999999999E-2</v>
      </c>
      <c r="E547" s="7">
        <v>7.1999999999999998E-3</v>
      </c>
      <c r="F547" s="8" t="s">
        <v>35</v>
      </c>
      <c r="G547" s="8" t="s">
        <v>35</v>
      </c>
      <c r="H547" t="str">
        <f t="shared" si="8"/>
        <v>YES</v>
      </c>
    </row>
    <row r="548" spans="1:8" x14ac:dyDescent="0.2">
      <c r="A548" s="6" t="s">
        <v>562</v>
      </c>
      <c r="B548" s="7">
        <v>25</v>
      </c>
      <c r="C548" s="7">
        <v>1</v>
      </c>
      <c r="D548" s="7">
        <v>0.04</v>
      </c>
      <c r="E548" s="7">
        <v>7.1000000000000004E-3</v>
      </c>
      <c r="F548" s="8" t="s">
        <v>35</v>
      </c>
      <c r="G548" s="8" t="s">
        <v>35</v>
      </c>
      <c r="H548" t="str">
        <f t="shared" si="8"/>
        <v>YES</v>
      </c>
    </row>
    <row r="549" spans="1:8" x14ac:dyDescent="0.2">
      <c r="A549" s="6" t="s">
        <v>563</v>
      </c>
      <c r="B549" s="7">
        <v>222</v>
      </c>
      <c r="C549" s="7">
        <v>4</v>
      </c>
      <c r="D549" s="7">
        <v>1.7999999999999999E-2</v>
      </c>
      <c r="E549" s="7">
        <v>7.0000000000000001E-3</v>
      </c>
      <c r="F549" s="8" t="s">
        <v>35</v>
      </c>
      <c r="G549" s="8" t="s">
        <v>35</v>
      </c>
      <c r="H549" t="str">
        <f t="shared" si="8"/>
        <v>YES</v>
      </c>
    </row>
    <row r="550" spans="1:8" x14ac:dyDescent="0.2">
      <c r="A550" s="6" t="s">
        <v>564</v>
      </c>
      <c r="B550" s="7">
        <v>80</v>
      </c>
      <c r="C550" s="7">
        <v>2</v>
      </c>
      <c r="D550" s="7">
        <v>2.5000000000000001E-2</v>
      </c>
      <c r="E550" s="7">
        <v>6.8999999999999999E-3</v>
      </c>
      <c r="F550" s="8" t="s">
        <v>35</v>
      </c>
      <c r="G550" s="8" t="s">
        <v>35</v>
      </c>
      <c r="H550" t="str">
        <f t="shared" si="8"/>
        <v>YES</v>
      </c>
    </row>
    <row r="551" spans="1:8" x14ac:dyDescent="0.2">
      <c r="A551" s="6" t="s">
        <v>565</v>
      </c>
      <c r="B551" s="7">
        <v>338</v>
      </c>
      <c r="C551" s="7">
        <v>5</v>
      </c>
      <c r="D551" s="7">
        <v>1.4800000000000001E-2</v>
      </c>
      <c r="E551" s="7">
        <v>6.3E-3</v>
      </c>
      <c r="F551" s="8" t="s">
        <v>35</v>
      </c>
      <c r="G551" s="8" t="s">
        <v>35</v>
      </c>
      <c r="H551" t="str">
        <f t="shared" si="8"/>
        <v>YES</v>
      </c>
    </row>
    <row r="552" spans="1:8" x14ac:dyDescent="0.2">
      <c r="A552" s="6" t="s">
        <v>566</v>
      </c>
      <c r="B552" s="7">
        <v>87</v>
      </c>
      <c r="C552" s="7">
        <v>2</v>
      </c>
      <c r="D552" s="7">
        <v>2.3E-2</v>
      </c>
      <c r="E552" s="7">
        <v>6.3E-3</v>
      </c>
      <c r="F552" s="8" t="s">
        <v>35</v>
      </c>
      <c r="G552" s="8" t="s">
        <v>35</v>
      </c>
      <c r="H552" t="str">
        <f t="shared" si="8"/>
        <v>YES</v>
      </c>
    </row>
    <row r="553" spans="1:8" x14ac:dyDescent="0.2">
      <c r="A553" s="6" t="s">
        <v>567</v>
      </c>
      <c r="B553" s="7">
        <v>446</v>
      </c>
      <c r="C553" s="7">
        <v>6</v>
      </c>
      <c r="D553" s="7">
        <v>1.35E-2</v>
      </c>
      <c r="E553" s="7">
        <v>6.1999999999999998E-3</v>
      </c>
      <c r="F553" s="8" t="s">
        <v>35</v>
      </c>
      <c r="G553" s="8" t="s">
        <v>35</v>
      </c>
      <c r="H553" t="str">
        <f t="shared" si="8"/>
        <v>YES</v>
      </c>
    </row>
    <row r="554" spans="1:8" x14ac:dyDescent="0.2">
      <c r="A554" s="6" t="s">
        <v>568</v>
      </c>
      <c r="B554" s="7">
        <v>29</v>
      </c>
      <c r="C554" s="7">
        <v>1</v>
      </c>
      <c r="D554" s="7">
        <v>3.4500000000000003E-2</v>
      </c>
      <c r="E554" s="7">
        <v>6.1000000000000004E-3</v>
      </c>
      <c r="F554" s="8" t="s">
        <v>35</v>
      </c>
      <c r="G554" s="8" t="s">
        <v>35</v>
      </c>
      <c r="H554" t="str">
        <f t="shared" si="8"/>
        <v>YES</v>
      </c>
    </row>
    <row r="555" spans="1:8" x14ac:dyDescent="0.2">
      <c r="A555" s="6" t="s">
        <v>569</v>
      </c>
      <c r="B555" s="7">
        <v>173</v>
      </c>
      <c r="C555" s="7">
        <v>3</v>
      </c>
      <c r="D555" s="7">
        <v>1.7299999999999999E-2</v>
      </c>
      <c r="E555" s="7">
        <v>5.8999999999999999E-3</v>
      </c>
      <c r="F555" s="8" t="s">
        <v>35</v>
      </c>
      <c r="G555" s="8" t="s">
        <v>35</v>
      </c>
      <c r="H555" t="str">
        <f t="shared" si="8"/>
        <v>YES</v>
      </c>
    </row>
    <row r="556" spans="1:8" x14ac:dyDescent="0.2">
      <c r="A556" s="6" t="s">
        <v>570</v>
      </c>
      <c r="B556" s="7">
        <v>30</v>
      </c>
      <c r="C556" s="7">
        <v>1</v>
      </c>
      <c r="D556" s="7">
        <v>3.3300000000000003E-2</v>
      </c>
      <c r="E556" s="7">
        <v>5.8999999999999999E-3</v>
      </c>
      <c r="F556" s="8" t="s">
        <v>35</v>
      </c>
      <c r="G556" s="8" t="s">
        <v>35</v>
      </c>
      <c r="H556" t="str">
        <f t="shared" si="8"/>
        <v>YES</v>
      </c>
    </row>
    <row r="557" spans="1:8" x14ac:dyDescent="0.2">
      <c r="A557" s="6" t="s">
        <v>571</v>
      </c>
      <c r="B557" s="7">
        <v>30</v>
      </c>
      <c r="C557" s="7">
        <v>1</v>
      </c>
      <c r="D557" s="7">
        <v>3.3300000000000003E-2</v>
      </c>
      <c r="E557" s="7">
        <v>5.8999999999999999E-3</v>
      </c>
      <c r="F557" s="8" t="s">
        <v>35</v>
      </c>
      <c r="G557" s="8" t="s">
        <v>35</v>
      </c>
      <c r="H557" t="str">
        <f t="shared" si="8"/>
        <v>YES</v>
      </c>
    </row>
    <row r="558" spans="1:8" x14ac:dyDescent="0.2">
      <c r="A558" s="6" t="s">
        <v>572</v>
      </c>
      <c r="B558" s="7">
        <v>31</v>
      </c>
      <c r="C558" s="7">
        <v>1</v>
      </c>
      <c r="D558" s="7">
        <v>3.2300000000000002E-2</v>
      </c>
      <c r="E558" s="7">
        <v>5.7000000000000002E-3</v>
      </c>
      <c r="F558" s="8" t="s">
        <v>35</v>
      </c>
      <c r="G558" s="8" t="s">
        <v>35</v>
      </c>
      <c r="H558" t="str">
        <f t="shared" si="8"/>
        <v>YES</v>
      </c>
    </row>
    <row r="559" spans="1:8" x14ac:dyDescent="0.2">
      <c r="A559" s="6" t="s">
        <v>573</v>
      </c>
      <c r="B559" s="7">
        <v>31</v>
      </c>
      <c r="C559" s="7">
        <v>1</v>
      </c>
      <c r="D559" s="7">
        <v>3.2300000000000002E-2</v>
      </c>
      <c r="E559" s="7">
        <v>5.7000000000000002E-3</v>
      </c>
      <c r="F559" s="8" t="s">
        <v>35</v>
      </c>
      <c r="G559" s="8" t="s">
        <v>35</v>
      </c>
      <c r="H559" t="str">
        <f t="shared" si="8"/>
        <v>YES</v>
      </c>
    </row>
    <row r="560" spans="1:8" x14ac:dyDescent="0.2">
      <c r="A560" s="6" t="s">
        <v>574</v>
      </c>
      <c r="B560" s="7">
        <v>184</v>
      </c>
      <c r="C560" s="7">
        <v>3</v>
      </c>
      <c r="D560" s="7">
        <v>1.6299999999999999E-2</v>
      </c>
      <c r="E560" s="7">
        <v>5.5999999999999999E-3</v>
      </c>
      <c r="F560" s="8" t="s">
        <v>35</v>
      </c>
      <c r="G560" s="8" t="s">
        <v>35</v>
      </c>
      <c r="H560" t="str">
        <f t="shared" si="8"/>
        <v>YES</v>
      </c>
    </row>
    <row r="561" spans="1:8" x14ac:dyDescent="0.2">
      <c r="A561" s="6" t="s">
        <v>575</v>
      </c>
      <c r="B561" s="7">
        <v>101</v>
      </c>
      <c r="C561" s="7">
        <v>2</v>
      </c>
      <c r="D561" s="7">
        <v>1.9800000000000002E-2</v>
      </c>
      <c r="E561" s="7">
        <v>5.4000000000000003E-3</v>
      </c>
      <c r="F561" s="8" t="s">
        <v>35</v>
      </c>
      <c r="G561" s="8" t="s">
        <v>35</v>
      </c>
      <c r="H561" t="str">
        <f t="shared" si="8"/>
        <v>YES</v>
      </c>
    </row>
    <row r="562" spans="1:8" x14ac:dyDescent="0.2">
      <c r="A562" s="6" t="s">
        <v>576</v>
      </c>
      <c r="B562" s="7">
        <v>33</v>
      </c>
      <c r="C562" s="7">
        <v>1</v>
      </c>
      <c r="D562" s="7">
        <v>3.0300000000000001E-2</v>
      </c>
      <c r="E562" s="7">
        <v>5.4000000000000003E-3</v>
      </c>
      <c r="F562" s="8" t="s">
        <v>35</v>
      </c>
      <c r="G562" s="8" t="s">
        <v>35</v>
      </c>
      <c r="H562" t="str">
        <f t="shared" si="8"/>
        <v>YES</v>
      </c>
    </row>
    <row r="563" spans="1:8" x14ac:dyDescent="0.2">
      <c r="A563" s="6" t="s">
        <v>577</v>
      </c>
      <c r="B563" s="7">
        <v>33</v>
      </c>
      <c r="C563" s="7">
        <v>1</v>
      </c>
      <c r="D563" s="7">
        <v>3.0300000000000001E-2</v>
      </c>
      <c r="E563" s="7">
        <v>5.4000000000000003E-3</v>
      </c>
      <c r="F563" s="8" t="s">
        <v>35</v>
      </c>
      <c r="G563" s="8" t="s">
        <v>35</v>
      </c>
      <c r="H563" t="str">
        <f t="shared" si="8"/>
        <v>YES</v>
      </c>
    </row>
    <row r="564" spans="1:8" x14ac:dyDescent="0.2">
      <c r="A564" s="6" t="s">
        <v>578</v>
      </c>
      <c r="B564" s="7">
        <v>33</v>
      </c>
      <c r="C564" s="7">
        <v>1</v>
      </c>
      <c r="D564" s="7">
        <v>3.0300000000000001E-2</v>
      </c>
      <c r="E564" s="7">
        <v>5.4000000000000003E-3</v>
      </c>
      <c r="F564" s="8" t="s">
        <v>35</v>
      </c>
      <c r="G564" s="8" t="s">
        <v>35</v>
      </c>
      <c r="H564" t="str">
        <f t="shared" si="8"/>
        <v>YES</v>
      </c>
    </row>
    <row r="565" spans="1:8" x14ac:dyDescent="0.2">
      <c r="A565" s="6" t="s">
        <v>579</v>
      </c>
      <c r="B565" s="7">
        <v>33</v>
      </c>
      <c r="C565" s="7">
        <v>1</v>
      </c>
      <c r="D565" s="7">
        <v>3.0300000000000001E-2</v>
      </c>
      <c r="E565" s="7">
        <v>5.4000000000000003E-3</v>
      </c>
      <c r="F565" s="8" t="s">
        <v>35</v>
      </c>
      <c r="G565" s="8" t="s">
        <v>35</v>
      </c>
      <c r="H565" t="str">
        <f t="shared" si="8"/>
        <v>YES</v>
      </c>
    </row>
    <row r="566" spans="1:8" x14ac:dyDescent="0.2">
      <c r="A566" s="6" t="s">
        <v>580</v>
      </c>
      <c r="B566" s="7">
        <v>36</v>
      </c>
      <c r="C566" s="7">
        <v>1</v>
      </c>
      <c r="D566" s="7">
        <v>2.7799999999999998E-2</v>
      </c>
      <c r="E566" s="7">
        <v>4.8999999999999998E-3</v>
      </c>
      <c r="F566" s="8" t="s">
        <v>35</v>
      </c>
      <c r="G566" s="8" t="s">
        <v>35</v>
      </c>
      <c r="H566" t="str">
        <f t="shared" si="8"/>
        <v>YES</v>
      </c>
    </row>
    <row r="567" spans="1:8" x14ac:dyDescent="0.2">
      <c r="A567" s="6" t="s">
        <v>581</v>
      </c>
      <c r="B567" s="7">
        <v>37</v>
      </c>
      <c r="C567" s="7">
        <v>1</v>
      </c>
      <c r="D567" s="7">
        <v>2.7E-2</v>
      </c>
      <c r="E567" s="7">
        <v>4.7999999999999996E-3</v>
      </c>
      <c r="F567" s="8" t="s">
        <v>35</v>
      </c>
      <c r="G567" s="8" t="s">
        <v>35</v>
      </c>
      <c r="H567" t="str">
        <f t="shared" si="8"/>
        <v>YES</v>
      </c>
    </row>
    <row r="568" spans="1:8" x14ac:dyDescent="0.2">
      <c r="A568" s="6" t="s">
        <v>582</v>
      </c>
      <c r="B568" s="7">
        <v>38</v>
      </c>
      <c r="C568" s="7">
        <v>1</v>
      </c>
      <c r="D568" s="7">
        <v>2.63E-2</v>
      </c>
      <c r="E568" s="7">
        <v>4.7000000000000002E-3</v>
      </c>
      <c r="F568" s="8" t="s">
        <v>35</v>
      </c>
      <c r="G568" s="8" t="s">
        <v>35</v>
      </c>
      <c r="H568" t="str">
        <f t="shared" si="8"/>
        <v>YES</v>
      </c>
    </row>
    <row r="569" spans="1:8" x14ac:dyDescent="0.2">
      <c r="A569" s="6" t="s">
        <v>583</v>
      </c>
      <c r="B569" s="7">
        <v>38</v>
      </c>
      <c r="C569" s="7">
        <v>1</v>
      </c>
      <c r="D569" s="7">
        <v>2.63E-2</v>
      </c>
      <c r="E569" s="7">
        <v>4.7000000000000002E-3</v>
      </c>
      <c r="F569" s="8" t="s">
        <v>35</v>
      </c>
      <c r="G569" s="8" t="s">
        <v>35</v>
      </c>
      <c r="H569" t="str">
        <f t="shared" si="8"/>
        <v>YES</v>
      </c>
    </row>
    <row r="570" spans="1:8" x14ac:dyDescent="0.2">
      <c r="A570" s="6" t="s">
        <v>584</v>
      </c>
      <c r="B570" s="7">
        <v>38</v>
      </c>
      <c r="C570" s="7">
        <v>1</v>
      </c>
      <c r="D570" s="7">
        <v>2.63E-2</v>
      </c>
      <c r="E570" s="7">
        <v>4.7000000000000002E-3</v>
      </c>
      <c r="F570" s="8" t="s">
        <v>35</v>
      </c>
      <c r="G570" s="8" t="s">
        <v>35</v>
      </c>
      <c r="H570" t="str">
        <f t="shared" si="8"/>
        <v>YES</v>
      </c>
    </row>
    <row r="571" spans="1:8" x14ac:dyDescent="0.2">
      <c r="A571" s="6" t="s">
        <v>585</v>
      </c>
      <c r="B571" s="7">
        <v>40</v>
      </c>
      <c r="C571" s="7">
        <v>1</v>
      </c>
      <c r="D571" s="7">
        <v>2.5000000000000001E-2</v>
      </c>
      <c r="E571" s="7">
        <v>4.4000000000000003E-3</v>
      </c>
      <c r="F571" s="8" t="s">
        <v>35</v>
      </c>
      <c r="G571" s="8" t="s">
        <v>35</v>
      </c>
      <c r="H571" t="str">
        <f t="shared" si="8"/>
        <v>YES</v>
      </c>
    </row>
    <row r="572" spans="1:8" x14ac:dyDescent="0.2">
      <c r="A572" s="6" t="s">
        <v>586</v>
      </c>
      <c r="B572" s="7">
        <v>125</v>
      </c>
      <c r="C572" s="7">
        <v>2</v>
      </c>
      <c r="D572" s="7">
        <v>1.6E-2</v>
      </c>
      <c r="E572" s="7">
        <v>4.4000000000000003E-3</v>
      </c>
      <c r="F572" s="8" t="s">
        <v>35</v>
      </c>
      <c r="G572" s="8" t="s">
        <v>35</v>
      </c>
      <c r="H572" t="str">
        <f t="shared" si="8"/>
        <v>YES</v>
      </c>
    </row>
    <row r="573" spans="1:8" x14ac:dyDescent="0.2">
      <c r="A573" s="6" t="s">
        <v>587</v>
      </c>
      <c r="B573" s="7">
        <v>134</v>
      </c>
      <c r="C573" s="7">
        <v>2</v>
      </c>
      <c r="D573" s="7">
        <v>1.49E-2</v>
      </c>
      <c r="E573" s="7">
        <v>4.1000000000000003E-3</v>
      </c>
      <c r="F573" s="8" t="s">
        <v>35</v>
      </c>
      <c r="G573" s="8" t="s">
        <v>35</v>
      </c>
      <c r="H573" t="str">
        <f t="shared" si="8"/>
        <v>YES</v>
      </c>
    </row>
    <row r="574" spans="1:8" x14ac:dyDescent="0.2">
      <c r="A574" s="6" t="s">
        <v>588</v>
      </c>
      <c r="B574" s="7">
        <v>250</v>
      </c>
      <c r="C574" s="7">
        <v>3</v>
      </c>
      <c r="D574" s="7">
        <v>1.2E-2</v>
      </c>
      <c r="E574" s="7">
        <v>4.1000000000000003E-3</v>
      </c>
      <c r="F574" s="8" t="s">
        <v>35</v>
      </c>
      <c r="G574" s="8" t="s">
        <v>35</v>
      </c>
      <c r="H574" t="str">
        <f t="shared" si="8"/>
        <v>YES</v>
      </c>
    </row>
    <row r="575" spans="1:8" x14ac:dyDescent="0.2">
      <c r="A575" s="6" t="s">
        <v>589</v>
      </c>
      <c r="B575" s="7">
        <v>135</v>
      </c>
      <c r="C575" s="7">
        <v>2</v>
      </c>
      <c r="D575" s="7">
        <v>1.4800000000000001E-2</v>
      </c>
      <c r="E575" s="7">
        <v>4.1000000000000003E-3</v>
      </c>
      <c r="F575" s="8" t="s">
        <v>35</v>
      </c>
      <c r="G575" s="8" t="s">
        <v>35</v>
      </c>
      <c r="H575" t="str">
        <f t="shared" si="8"/>
        <v>YES</v>
      </c>
    </row>
    <row r="576" spans="1:8" x14ac:dyDescent="0.2">
      <c r="A576" s="6" t="s">
        <v>590</v>
      </c>
      <c r="B576" s="7">
        <v>135</v>
      </c>
      <c r="C576" s="7">
        <v>2</v>
      </c>
      <c r="D576" s="7">
        <v>1.4800000000000001E-2</v>
      </c>
      <c r="E576" s="7">
        <v>4.1000000000000003E-3</v>
      </c>
      <c r="F576" s="8" t="s">
        <v>35</v>
      </c>
      <c r="G576" s="8" t="s">
        <v>35</v>
      </c>
      <c r="H576" t="str">
        <f t="shared" si="8"/>
        <v>YES</v>
      </c>
    </row>
    <row r="577" spans="1:8" x14ac:dyDescent="0.2">
      <c r="A577" s="6" t="s">
        <v>591</v>
      </c>
      <c r="B577" s="7">
        <v>44</v>
      </c>
      <c r="C577" s="7">
        <v>1</v>
      </c>
      <c r="D577" s="7">
        <v>2.2700000000000001E-2</v>
      </c>
      <c r="E577" s="7">
        <v>4.0000000000000001E-3</v>
      </c>
      <c r="F577" s="8" t="s">
        <v>35</v>
      </c>
      <c r="G577" s="8" t="s">
        <v>35</v>
      </c>
      <c r="H577" t="str">
        <f t="shared" si="8"/>
        <v>YES</v>
      </c>
    </row>
    <row r="578" spans="1:8" x14ac:dyDescent="0.2">
      <c r="A578" s="6" t="s">
        <v>592</v>
      </c>
      <c r="B578" s="7">
        <v>137</v>
      </c>
      <c r="C578" s="7">
        <v>2</v>
      </c>
      <c r="D578" s="7">
        <v>1.46E-2</v>
      </c>
      <c r="E578" s="7">
        <v>4.0000000000000001E-3</v>
      </c>
      <c r="F578" s="8" t="s">
        <v>35</v>
      </c>
      <c r="G578" s="8" t="s">
        <v>35</v>
      </c>
      <c r="H578" t="str">
        <f t="shared" si="8"/>
        <v>YES</v>
      </c>
    </row>
    <row r="579" spans="1:8" x14ac:dyDescent="0.2">
      <c r="A579" s="6" t="s">
        <v>593</v>
      </c>
      <c r="B579" s="7">
        <v>140</v>
      </c>
      <c r="C579" s="7">
        <v>2</v>
      </c>
      <c r="D579" s="7">
        <v>1.43E-2</v>
      </c>
      <c r="E579" s="7">
        <v>3.8999999999999998E-3</v>
      </c>
      <c r="F579" s="8" t="s">
        <v>35</v>
      </c>
      <c r="G579" s="8" t="s">
        <v>35</v>
      </c>
      <c r="H579" t="str">
        <f t="shared" si="8"/>
        <v>YES</v>
      </c>
    </row>
    <row r="580" spans="1:8" x14ac:dyDescent="0.2">
      <c r="A580" s="6" t="s">
        <v>594</v>
      </c>
      <c r="B580" s="7">
        <v>263</v>
      </c>
      <c r="C580" s="7">
        <v>3</v>
      </c>
      <c r="D580" s="7">
        <v>1.14E-2</v>
      </c>
      <c r="E580" s="7">
        <v>3.8999999999999998E-3</v>
      </c>
      <c r="F580" s="8" t="s">
        <v>35</v>
      </c>
      <c r="G580" s="8" t="s">
        <v>35</v>
      </c>
      <c r="H580" t="str">
        <f t="shared" si="8"/>
        <v>YES</v>
      </c>
    </row>
    <row r="581" spans="1:8" x14ac:dyDescent="0.2">
      <c r="A581" s="6" t="s">
        <v>595</v>
      </c>
      <c r="B581" s="7">
        <v>265</v>
      </c>
      <c r="C581" s="7">
        <v>3</v>
      </c>
      <c r="D581" s="7">
        <v>1.1299999999999999E-2</v>
      </c>
      <c r="E581" s="7">
        <v>3.8999999999999998E-3</v>
      </c>
      <c r="F581" s="8" t="s">
        <v>35</v>
      </c>
      <c r="G581" s="8" t="s">
        <v>35</v>
      </c>
      <c r="H581" t="str">
        <f t="shared" ref="H581:H644" si="9">IF(F581=G581,"YES","NO")</f>
        <v>YES</v>
      </c>
    </row>
    <row r="582" spans="1:8" x14ac:dyDescent="0.2">
      <c r="A582" s="6" t="s">
        <v>596</v>
      </c>
      <c r="B582" s="7">
        <v>47</v>
      </c>
      <c r="C582" s="7">
        <v>1</v>
      </c>
      <c r="D582" s="7">
        <v>2.1299999999999999E-2</v>
      </c>
      <c r="E582" s="7">
        <v>3.8E-3</v>
      </c>
      <c r="F582" s="8" t="s">
        <v>35</v>
      </c>
      <c r="G582" s="8" t="s">
        <v>35</v>
      </c>
      <c r="H582" t="str">
        <f t="shared" si="9"/>
        <v>YES</v>
      </c>
    </row>
    <row r="583" spans="1:8" x14ac:dyDescent="0.2">
      <c r="A583" s="6" t="s">
        <v>597</v>
      </c>
      <c r="B583" s="7">
        <v>49</v>
      </c>
      <c r="C583" s="7">
        <v>1</v>
      </c>
      <c r="D583" s="7">
        <v>2.0400000000000001E-2</v>
      </c>
      <c r="E583" s="7">
        <v>3.5999999999999999E-3</v>
      </c>
      <c r="F583" s="8" t="s">
        <v>35</v>
      </c>
      <c r="G583" s="8" t="s">
        <v>35</v>
      </c>
      <c r="H583" t="str">
        <f t="shared" si="9"/>
        <v>YES</v>
      </c>
    </row>
    <row r="584" spans="1:8" x14ac:dyDescent="0.2">
      <c r="A584" s="6" t="s">
        <v>598</v>
      </c>
      <c r="B584" s="7">
        <v>51</v>
      </c>
      <c r="C584" s="7">
        <v>1</v>
      </c>
      <c r="D584" s="7">
        <v>1.9599999999999999E-2</v>
      </c>
      <c r="E584" s="7">
        <v>3.5000000000000001E-3</v>
      </c>
      <c r="F584" s="8" t="s">
        <v>35</v>
      </c>
      <c r="G584" s="8" t="s">
        <v>35</v>
      </c>
      <c r="H584" t="str">
        <f t="shared" si="9"/>
        <v>YES</v>
      </c>
    </row>
    <row r="585" spans="1:8" x14ac:dyDescent="0.2">
      <c r="A585" s="6" t="s">
        <v>599</v>
      </c>
      <c r="B585" s="7">
        <v>161</v>
      </c>
      <c r="C585" s="7">
        <v>2</v>
      </c>
      <c r="D585" s="7">
        <v>1.24E-2</v>
      </c>
      <c r="E585" s="7">
        <v>3.3999999999999998E-3</v>
      </c>
      <c r="F585" s="8" t="s">
        <v>35</v>
      </c>
      <c r="G585" s="8" t="s">
        <v>35</v>
      </c>
      <c r="H585" t="str">
        <f t="shared" si="9"/>
        <v>YES</v>
      </c>
    </row>
    <row r="586" spans="1:8" x14ac:dyDescent="0.2">
      <c r="A586" s="6" t="s">
        <v>600</v>
      </c>
      <c r="B586" s="7">
        <v>52</v>
      </c>
      <c r="C586" s="7">
        <v>1</v>
      </c>
      <c r="D586" s="7">
        <v>1.9199999999999998E-2</v>
      </c>
      <c r="E586" s="7">
        <v>3.3999999999999998E-3</v>
      </c>
      <c r="F586" s="8" t="s">
        <v>35</v>
      </c>
      <c r="G586" s="8" t="s">
        <v>94</v>
      </c>
      <c r="H586" t="str">
        <f t="shared" si="9"/>
        <v>NO</v>
      </c>
    </row>
    <row r="587" spans="1:8" x14ac:dyDescent="0.2">
      <c r="A587" s="6" t="s">
        <v>601</v>
      </c>
      <c r="B587" s="7">
        <v>53</v>
      </c>
      <c r="C587" s="7">
        <v>1</v>
      </c>
      <c r="D587" s="7">
        <v>1.89E-2</v>
      </c>
      <c r="E587" s="7">
        <v>3.3E-3</v>
      </c>
      <c r="F587" s="8" t="s">
        <v>35</v>
      </c>
      <c r="G587" s="8" t="s">
        <v>35</v>
      </c>
      <c r="H587" t="str">
        <f t="shared" si="9"/>
        <v>YES</v>
      </c>
    </row>
    <row r="588" spans="1:8" x14ac:dyDescent="0.2">
      <c r="A588" s="6" t="s">
        <v>602</v>
      </c>
      <c r="B588" s="7">
        <v>170</v>
      </c>
      <c r="C588" s="7">
        <v>2</v>
      </c>
      <c r="D588" s="7">
        <v>1.18E-2</v>
      </c>
      <c r="E588" s="7">
        <v>3.2000000000000002E-3</v>
      </c>
      <c r="F588" s="8" t="s">
        <v>35</v>
      </c>
      <c r="G588" s="8" t="s">
        <v>35</v>
      </c>
      <c r="H588" t="str">
        <f t="shared" si="9"/>
        <v>YES</v>
      </c>
    </row>
    <row r="589" spans="1:8" x14ac:dyDescent="0.2">
      <c r="A589" s="6" t="s">
        <v>603</v>
      </c>
      <c r="B589" s="7">
        <v>489</v>
      </c>
      <c r="C589" s="7">
        <v>4</v>
      </c>
      <c r="D589" s="7">
        <v>8.2000000000000007E-3</v>
      </c>
      <c r="E589" s="7">
        <v>3.2000000000000002E-3</v>
      </c>
      <c r="F589" s="8" t="s">
        <v>35</v>
      </c>
      <c r="G589" s="8" t="s">
        <v>35</v>
      </c>
      <c r="H589" t="str">
        <f t="shared" si="9"/>
        <v>YES</v>
      </c>
    </row>
    <row r="590" spans="1:8" x14ac:dyDescent="0.2">
      <c r="A590" s="6" t="s">
        <v>604</v>
      </c>
      <c r="B590" s="7">
        <v>56</v>
      </c>
      <c r="C590" s="7">
        <v>1</v>
      </c>
      <c r="D590" s="7">
        <v>1.7899999999999999E-2</v>
      </c>
      <c r="E590" s="7">
        <v>3.2000000000000002E-3</v>
      </c>
      <c r="F590" s="8" t="s">
        <v>35</v>
      </c>
      <c r="G590" s="8" t="s">
        <v>17</v>
      </c>
      <c r="H590" t="str">
        <f t="shared" si="9"/>
        <v>NO</v>
      </c>
    </row>
    <row r="591" spans="1:8" x14ac:dyDescent="0.2">
      <c r="A591" s="6" t="s">
        <v>605</v>
      </c>
      <c r="B591" s="7">
        <v>56</v>
      </c>
      <c r="C591" s="7">
        <v>1</v>
      </c>
      <c r="D591" s="7">
        <v>1.7899999999999999E-2</v>
      </c>
      <c r="E591" s="7">
        <v>3.2000000000000002E-3</v>
      </c>
      <c r="F591" s="8" t="s">
        <v>35</v>
      </c>
      <c r="G591" s="8" t="s">
        <v>35</v>
      </c>
      <c r="H591" t="str">
        <f t="shared" si="9"/>
        <v>YES</v>
      </c>
    </row>
    <row r="592" spans="1:8" x14ac:dyDescent="0.2">
      <c r="A592" s="6" t="s">
        <v>606</v>
      </c>
      <c r="B592" s="7">
        <v>56</v>
      </c>
      <c r="C592" s="7">
        <v>1</v>
      </c>
      <c r="D592" s="7">
        <v>1.7899999999999999E-2</v>
      </c>
      <c r="E592" s="7">
        <v>3.2000000000000002E-3</v>
      </c>
      <c r="F592" s="8" t="s">
        <v>35</v>
      </c>
      <c r="G592" s="8" t="s">
        <v>35</v>
      </c>
      <c r="H592" t="str">
        <f t="shared" si="9"/>
        <v>YES</v>
      </c>
    </row>
    <row r="593" spans="1:8" x14ac:dyDescent="0.2">
      <c r="A593" s="6" t="s">
        <v>607</v>
      </c>
      <c r="B593" s="7">
        <v>57</v>
      </c>
      <c r="C593" s="7">
        <v>1</v>
      </c>
      <c r="D593" s="7">
        <v>1.7500000000000002E-2</v>
      </c>
      <c r="E593" s="7">
        <v>3.0999999999999999E-3</v>
      </c>
      <c r="F593" s="8" t="s">
        <v>35</v>
      </c>
      <c r="G593" s="8" t="s">
        <v>35</v>
      </c>
      <c r="H593" t="str">
        <f t="shared" si="9"/>
        <v>YES</v>
      </c>
    </row>
    <row r="594" spans="1:8" x14ac:dyDescent="0.2">
      <c r="A594" s="6" t="s">
        <v>608</v>
      </c>
      <c r="B594" s="7">
        <v>57</v>
      </c>
      <c r="C594" s="7">
        <v>1</v>
      </c>
      <c r="D594" s="7">
        <v>1.7500000000000002E-2</v>
      </c>
      <c r="E594" s="7">
        <v>3.0999999999999999E-3</v>
      </c>
      <c r="F594" s="8" t="s">
        <v>35</v>
      </c>
      <c r="G594" s="8" t="s">
        <v>35</v>
      </c>
      <c r="H594" t="str">
        <f t="shared" si="9"/>
        <v>YES</v>
      </c>
    </row>
    <row r="595" spans="1:8" x14ac:dyDescent="0.2">
      <c r="A595" s="6" t="s">
        <v>609</v>
      </c>
      <c r="B595" s="7">
        <v>61</v>
      </c>
      <c r="C595" s="7">
        <v>1</v>
      </c>
      <c r="D595" s="7">
        <v>1.6400000000000001E-2</v>
      </c>
      <c r="E595" s="7">
        <v>2.8999999999999998E-3</v>
      </c>
      <c r="F595" s="8" t="s">
        <v>35</v>
      </c>
      <c r="G595" s="8" t="s">
        <v>35</v>
      </c>
      <c r="H595" t="str">
        <f t="shared" si="9"/>
        <v>YES</v>
      </c>
    </row>
    <row r="596" spans="1:8" x14ac:dyDescent="0.2">
      <c r="A596" s="6" t="s">
        <v>610</v>
      </c>
      <c r="B596" s="7">
        <v>61</v>
      </c>
      <c r="C596" s="7">
        <v>1</v>
      </c>
      <c r="D596" s="7">
        <v>1.6400000000000001E-2</v>
      </c>
      <c r="E596" s="7">
        <v>2.8999999999999998E-3</v>
      </c>
      <c r="F596" s="8" t="s">
        <v>35</v>
      </c>
      <c r="G596" s="8" t="s">
        <v>35</v>
      </c>
      <c r="H596" t="str">
        <f t="shared" si="9"/>
        <v>YES</v>
      </c>
    </row>
    <row r="597" spans="1:8" x14ac:dyDescent="0.2">
      <c r="A597" s="6" t="s">
        <v>611</v>
      </c>
      <c r="B597" s="7">
        <v>356</v>
      </c>
      <c r="C597" s="7">
        <v>3</v>
      </c>
      <c r="D597" s="7">
        <v>8.3999999999999995E-3</v>
      </c>
      <c r="E597" s="7">
        <v>2.8999999999999998E-3</v>
      </c>
      <c r="F597" s="8" t="s">
        <v>35</v>
      </c>
      <c r="G597" s="8" t="s">
        <v>35</v>
      </c>
      <c r="H597" t="str">
        <f t="shared" si="9"/>
        <v>YES</v>
      </c>
    </row>
    <row r="598" spans="1:8" x14ac:dyDescent="0.2">
      <c r="A598" s="6" t="s">
        <v>612</v>
      </c>
      <c r="B598" s="7">
        <v>192</v>
      </c>
      <c r="C598" s="7">
        <v>2</v>
      </c>
      <c r="D598" s="7">
        <v>1.04E-2</v>
      </c>
      <c r="E598" s="7">
        <v>2.8999999999999998E-3</v>
      </c>
      <c r="F598" s="8" t="s">
        <v>35</v>
      </c>
      <c r="G598" s="8" t="s">
        <v>35</v>
      </c>
      <c r="H598" t="str">
        <f t="shared" si="9"/>
        <v>YES</v>
      </c>
    </row>
    <row r="599" spans="1:8" x14ac:dyDescent="0.2">
      <c r="A599" s="6" t="s">
        <v>613</v>
      </c>
      <c r="B599" s="7">
        <v>62</v>
      </c>
      <c r="C599" s="7">
        <v>1</v>
      </c>
      <c r="D599" s="7">
        <v>1.61E-2</v>
      </c>
      <c r="E599" s="7">
        <v>2.8999999999999998E-3</v>
      </c>
      <c r="F599" s="8" t="s">
        <v>35</v>
      </c>
      <c r="G599" s="8" t="s">
        <v>35</v>
      </c>
      <c r="H599" t="str">
        <f t="shared" si="9"/>
        <v>YES</v>
      </c>
    </row>
    <row r="600" spans="1:8" x14ac:dyDescent="0.2">
      <c r="A600" s="6" t="s">
        <v>614</v>
      </c>
      <c r="B600" s="7">
        <v>63</v>
      </c>
      <c r="C600" s="7">
        <v>1</v>
      </c>
      <c r="D600" s="7">
        <v>1.5900000000000001E-2</v>
      </c>
      <c r="E600" s="7">
        <v>2.8E-3</v>
      </c>
      <c r="F600" s="8" t="s">
        <v>35</v>
      </c>
      <c r="G600" s="8" t="s">
        <v>35</v>
      </c>
      <c r="H600" t="str">
        <f t="shared" si="9"/>
        <v>YES</v>
      </c>
    </row>
    <row r="601" spans="1:8" x14ac:dyDescent="0.2">
      <c r="A601" s="6" t="s">
        <v>615</v>
      </c>
      <c r="B601" s="7">
        <v>66</v>
      </c>
      <c r="C601" s="7">
        <v>1</v>
      </c>
      <c r="D601" s="7">
        <v>1.52E-2</v>
      </c>
      <c r="E601" s="7">
        <v>2.7000000000000001E-3</v>
      </c>
      <c r="F601" s="8" t="s">
        <v>35</v>
      </c>
      <c r="G601" s="8" t="s">
        <v>35</v>
      </c>
      <c r="H601" t="str">
        <f t="shared" si="9"/>
        <v>YES</v>
      </c>
    </row>
    <row r="602" spans="1:8" x14ac:dyDescent="0.2">
      <c r="A602" s="6" t="s">
        <v>616</v>
      </c>
      <c r="B602" s="7">
        <v>391</v>
      </c>
      <c r="C602" s="7">
        <v>3</v>
      </c>
      <c r="D602" s="7">
        <v>7.7000000000000002E-3</v>
      </c>
      <c r="E602" s="7">
        <v>2.5999999999999999E-3</v>
      </c>
      <c r="F602" s="8" t="s">
        <v>35</v>
      </c>
      <c r="G602" s="8" t="s">
        <v>35</v>
      </c>
      <c r="H602" t="str">
        <f t="shared" si="9"/>
        <v>YES</v>
      </c>
    </row>
    <row r="603" spans="1:8" x14ac:dyDescent="0.2">
      <c r="A603" s="6" t="s">
        <v>617</v>
      </c>
      <c r="B603" s="7">
        <v>68</v>
      </c>
      <c r="C603" s="7">
        <v>1</v>
      </c>
      <c r="D603" s="7">
        <v>1.47E-2</v>
      </c>
      <c r="E603" s="7">
        <v>2.5999999999999999E-3</v>
      </c>
      <c r="F603" s="8" t="s">
        <v>35</v>
      </c>
      <c r="G603" s="8" t="s">
        <v>35</v>
      </c>
      <c r="H603" t="str">
        <f t="shared" si="9"/>
        <v>YES</v>
      </c>
    </row>
    <row r="604" spans="1:8" x14ac:dyDescent="0.2">
      <c r="A604" s="6" t="s">
        <v>618</v>
      </c>
      <c r="B604" s="7">
        <v>68</v>
      </c>
      <c r="C604" s="7">
        <v>1</v>
      </c>
      <c r="D604" s="7">
        <v>1.47E-2</v>
      </c>
      <c r="E604" s="7">
        <v>2.5999999999999999E-3</v>
      </c>
      <c r="F604" s="8" t="s">
        <v>35</v>
      </c>
      <c r="G604" s="8" t="s">
        <v>35</v>
      </c>
      <c r="H604" t="str">
        <f t="shared" si="9"/>
        <v>YES</v>
      </c>
    </row>
    <row r="605" spans="1:8" x14ac:dyDescent="0.2">
      <c r="A605" s="6" t="s">
        <v>619</v>
      </c>
      <c r="B605" s="7">
        <v>71</v>
      </c>
      <c r="C605" s="7">
        <v>1</v>
      </c>
      <c r="D605" s="7">
        <v>1.41E-2</v>
      </c>
      <c r="E605" s="7">
        <v>2.5000000000000001E-3</v>
      </c>
      <c r="F605" s="8" t="s">
        <v>35</v>
      </c>
      <c r="G605" s="8" t="s">
        <v>35</v>
      </c>
      <c r="H605" t="str">
        <f t="shared" si="9"/>
        <v>YES</v>
      </c>
    </row>
    <row r="606" spans="1:8" x14ac:dyDescent="0.2">
      <c r="A606" s="6" t="s">
        <v>620</v>
      </c>
      <c r="B606" s="7">
        <v>73</v>
      </c>
      <c r="C606" s="7">
        <v>1</v>
      </c>
      <c r="D606" s="7">
        <v>1.37E-2</v>
      </c>
      <c r="E606" s="7">
        <v>2.3999999999999998E-3</v>
      </c>
      <c r="F606" s="8" t="s">
        <v>35</v>
      </c>
      <c r="G606" s="8" t="s">
        <v>35</v>
      </c>
      <c r="H606" t="str">
        <f t="shared" si="9"/>
        <v>YES</v>
      </c>
    </row>
    <row r="607" spans="1:8" x14ac:dyDescent="0.2">
      <c r="A607" s="6" t="s">
        <v>621</v>
      </c>
      <c r="B607" s="7">
        <v>73</v>
      </c>
      <c r="C607" s="7">
        <v>1</v>
      </c>
      <c r="D607" s="7">
        <v>1.37E-2</v>
      </c>
      <c r="E607" s="7">
        <v>2.3999999999999998E-3</v>
      </c>
      <c r="F607" s="8" t="s">
        <v>35</v>
      </c>
      <c r="G607" s="8" t="s">
        <v>35</v>
      </c>
      <c r="H607" t="str">
        <f t="shared" si="9"/>
        <v>YES</v>
      </c>
    </row>
    <row r="608" spans="1:8" x14ac:dyDescent="0.2">
      <c r="A608" s="6" t="s">
        <v>622</v>
      </c>
      <c r="B608" s="7">
        <v>228</v>
      </c>
      <c r="C608" s="7">
        <v>2</v>
      </c>
      <c r="D608" s="7">
        <v>8.8000000000000005E-3</v>
      </c>
      <c r="E608" s="7">
        <v>2.3999999999999998E-3</v>
      </c>
      <c r="F608" s="8" t="s">
        <v>35</v>
      </c>
      <c r="G608" s="8" t="s">
        <v>35</v>
      </c>
      <c r="H608" t="str">
        <f t="shared" si="9"/>
        <v>YES</v>
      </c>
    </row>
    <row r="609" spans="1:8" x14ac:dyDescent="0.2">
      <c r="A609" s="6" t="s">
        <v>623</v>
      </c>
      <c r="B609" s="7">
        <v>75</v>
      </c>
      <c r="C609" s="7">
        <v>1</v>
      </c>
      <c r="D609" s="7">
        <v>1.3299999999999999E-2</v>
      </c>
      <c r="E609" s="7">
        <v>2.3999999999999998E-3</v>
      </c>
      <c r="F609" s="8" t="s">
        <v>35</v>
      </c>
      <c r="G609" s="8" t="s">
        <v>35</v>
      </c>
      <c r="H609" t="str">
        <f t="shared" si="9"/>
        <v>YES</v>
      </c>
    </row>
    <row r="610" spans="1:8" x14ac:dyDescent="0.2">
      <c r="A610" s="6" t="s">
        <v>624</v>
      </c>
      <c r="B610" s="7">
        <v>75</v>
      </c>
      <c r="C610" s="7">
        <v>1</v>
      </c>
      <c r="D610" s="7">
        <v>1.3299999999999999E-2</v>
      </c>
      <c r="E610" s="7">
        <v>2.3999999999999998E-3</v>
      </c>
      <c r="F610" s="8" t="s">
        <v>35</v>
      </c>
      <c r="G610" s="8" t="s">
        <v>35</v>
      </c>
      <c r="H610" t="str">
        <f t="shared" si="9"/>
        <v>YES</v>
      </c>
    </row>
    <row r="611" spans="1:8" x14ac:dyDescent="0.2">
      <c r="A611" s="6" t="s">
        <v>625</v>
      </c>
      <c r="B611" s="7">
        <v>76</v>
      </c>
      <c r="C611" s="7">
        <v>1</v>
      </c>
      <c r="D611" s="7">
        <v>1.32E-2</v>
      </c>
      <c r="E611" s="7">
        <v>2.3E-3</v>
      </c>
      <c r="F611" s="8" t="s">
        <v>35</v>
      </c>
      <c r="G611" s="8" t="s">
        <v>35</v>
      </c>
      <c r="H611" t="str">
        <f t="shared" si="9"/>
        <v>YES</v>
      </c>
    </row>
    <row r="612" spans="1:8" x14ac:dyDescent="0.2">
      <c r="A612" s="6" t="s">
        <v>626</v>
      </c>
      <c r="B612" s="7">
        <v>79</v>
      </c>
      <c r="C612" s="7">
        <v>1</v>
      </c>
      <c r="D612" s="7">
        <v>1.2699999999999999E-2</v>
      </c>
      <c r="E612" s="7">
        <v>2.2000000000000001E-3</v>
      </c>
      <c r="F612" s="8" t="s">
        <v>35</v>
      </c>
      <c r="G612" s="8" t="s">
        <v>35</v>
      </c>
      <c r="H612" t="str">
        <f t="shared" si="9"/>
        <v>YES</v>
      </c>
    </row>
    <row r="613" spans="1:8" x14ac:dyDescent="0.2">
      <c r="A613" s="6" t="s">
        <v>627</v>
      </c>
      <c r="B613" s="7">
        <v>79</v>
      </c>
      <c r="C613" s="7">
        <v>1</v>
      </c>
      <c r="D613" s="7">
        <v>1.2699999999999999E-2</v>
      </c>
      <c r="E613" s="7">
        <v>2.2000000000000001E-3</v>
      </c>
      <c r="F613" s="8" t="s">
        <v>35</v>
      </c>
      <c r="G613" s="8" t="s">
        <v>35</v>
      </c>
      <c r="H613" t="str">
        <f t="shared" si="9"/>
        <v>YES</v>
      </c>
    </row>
    <row r="614" spans="1:8" x14ac:dyDescent="0.2">
      <c r="A614" s="6" t="s">
        <v>628</v>
      </c>
      <c r="B614" s="7">
        <v>80</v>
      </c>
      <c r="C614" s="7">
        <v>1</v>
      </c>
      <c r="D614" s="7">
        <v>1.2500000000000001E-2</v>
      </c>
      <c r="E614" s="7">
        <v>2.2000000000000001E-3</v>
      </c>
      <c r="F614" s="8" t="s">
        <v>35</v>
      </c>
      <c r="G614" s="8" t="s">
        <v>35</v>
      </c>
      <c r="H614" t="str">
        <f t="shared" si="9"/>
        <v>YES</v>
      </c>
    </row>
    <row r="615" spans="1:8" x14ac:dyDescent="0.2">
      <c r="A615" s="6" t="s">
        <v>629</v>
      </c>
      <c r="B615" s="7">
        <v>264</v>
      </c>
      <c r="C615" s="7">
        <v>2</v>
      </c>
      <c r="D615" s="7">
        <v>7.6E-3</v>
      </c>
      <c r="E615" s="7">
        <v>2.0999999999999999E-3</v>
      </c>
      <c r="F615" s="8" t="s">
        <v>35</v>
      </c>
      <c r="G615" s="8" t="s">
        <v>35</v>
      </c>
      <c r="H615" t="str">
        <f t="shared" si="9"/>
        <v>YES</v>
      </c>
    </row>
    <row r="616" spans="1:8" x14ac:dyDescent="0.2">
      <c r="A616" s="6" t="s">
        <v>630</v>
      </c>
      <c r="B616" s="7">
        <v>87</v>
      </c>
      <c r="C616" s="7">
        <v>1</v>
      </c>
      <c r="D616" s="7">
        <v>1.15E-2</v>
      </c>
      <c r="E616" s="7">
        <v>2E-3</v>
      </c>
      <c r="F616" s="8" t="s">
        <v>35</v>
      </c>
      <c r="G616" s="8" t="s">
        <v>35</v>
      </c>
      <c r="H616" t="str">
        <f t="shared" si="9"/>
        <v>YES</v>
      </c>
    </row>
    <row r="617" spans="1:8" x14ac:dyDescent="0.2">
      <c r="A617" s="6" t="s">
        <v>631</v>
      </c>
      <c r="B617" s="7">
        <v>506</v>
      </c>
      <c r="C617" s="7">
        <v>3</v>
      </c>
      <c r="D617" s="7">
        <v>5.8999999999999999E-3</v>
      </c>
      <c r="E617" s="7">
        <v>2E-3</v>
      </c>
      <c r="F617" s="8" t="s">
        <v>35</v>
      </c>
      <c r="G617" s="8" t="s">
        <v>35</v>
      </c>
      <c r="H617" t="str">
        <f t="shared" si="9"/>
        <v>YES</v>
      </c>
    </row>
    <row r="618" spans="1:8" x14ac:dyDescent="0.2">
      <c r="A618" s="6" t="s">
        <v>632</v>
      </c>
      <c r="B618" s="7">
        <v>91</v>
      </c>
      <c r="C618" s="7">
        <v>1</v>
      </c>
      <c r="D618" s="7">
        <v>1.0999999999999999E-2</v>
      </c>
      <c r="E618" s="7">
        <v>1.9E-3</v>
      </c>
      <c r="F618" s="8" t="s">
        <v>35</v>
      </c>
      <c r="G618" s="8" t="s">
        <v>35</v>
      </c>
      <c r="H618" t="str">
        <f t="shared" si="9"/>
        <v>YES</v>
      </c>
    </row>
    <row r="619" spans="1:8" x14ac:dyDescent="0.2">
      <c r="A619" s="6" t="s">
        <v>633</v>
      </c>
      <c r="B619" s="7">
        <v>92</v>
      </c>
      <c r="C619" s="7">
        <v>1</v>
      </c>
      <c r="D619" s="7">
        <v>1.09E-2</v>
      </c>
      <c r="E619" s="7">
        <v>1.9E-3</v>
      </c>
      <c r="F619" s="8" t="s">
        <v>35</v>
      </c>
      <c r="G619" s="8" t="s">
        <v>35</v>
      </c>
      <c r="H619" t="str">
        <f t="shared" si="9"/>
        <v>YES</v>
      </c>
    </row>
    <row r="620" spans="1:8" x14ac:dyDescent="0.2">
      <c r="A620" s="6" t="s">
        <v>634</v>
      </c>
      <c r="B620" s="7">
        <v>93</v>
      </c>
      <c r="C620" s="7">
        <v>1</v>
      </c>
      <c r="D620" s="7">
        <v>1.0800000000000001E-2</v>
      </c>
      <c r="E620" s="7">
        <v>1.9E-3</v>
      </c>
      <c r="F620" s="8" t="s">
        <v>35</v>
      </c>
      <c r="G620" s="8" t="s">
        <v>35</v>
      </c>
      <c r="H620" t="str">
        <f t="shared" si="9"/>
        <v>YES</v>
      </c>
    </row>
    <row r="621" spans="1:8" x14ac:dyDescent="0.2">
      <c r="A621" s="6" t="s">
        <v>635</v>
      </c>
      <c r="B621" s="7">
        <v>94</v>
      </c>
      <c r="C621" s="7">
        <v>1</v>
      </c>
      <c r="D621" s="7">
        <v>1.06E-2</v>
      </c>
      <c r="E621" s="7">
        <v>1.9E-3</v>
      </c>
      <c r="F621" s="8" t="s">
        <v>35</v>
      </c>
      <c r="G621" s="8" t="s">
        <v>35</v>
      </c>
      <c r="H621" t="str">
        <f t="shared" si="9"/>
        <v>YES</v>
      </c>
    </row>
    <row r="622" spans="1:8" x14ac:dyDescent="0.2">
      <c r="A622" s="6" t="s">
        <v>636</v>
      </c>
      <c r="B622" s="7">
        <v>95</v>
      </c>
      <c r="C622" s="7">
        <v>1</v>
      </c>
      <c r="D622" s="7">
        <v>1.0500000000000001E-2</v>
      </c>
      <c r="E622" s="7">
        <v>1.9E-3</v>
      </c>
      <c r="F622" s="8" t="s">
        <v>35</v>
      </c>
      <c r="G622" s="8" t="s">
        <v>35</v>
      </c>
      <c r="H622" t="str">
        <f t="shared" si="9"/>
        <v>YES</v>
      </c>
    </row>
    <row r="623" spans="1:8" x14ac:dyDescent="0.2">
      <c r="A623" s="6" t="s">
        <v>637</v>
      </c>
      <c r="B623" s="7">
        <v>99</v>
      </c>
      <c r="C623" s="7">
        <v>1</v>
      </c>
      <c r="D623" s="7">
        <v>1.01E-2</v>
      </c>
      <c r="E623" s="7">
        <v>1.8E-3</v>
      </c>
      <c r="F623" s="8" t="s">
        <v>35</v>
      </c>
      <c r="G623" s="8" t="s">
        <v>35</v>
      </c>
      <c r="H623" t="str">
        <f t="shared" si="9"/>
        <v>YES</v>
      </c>
    </row>
    <row r="624" spans="1:8" x14ac:dyDescent="0.2">
      <c r="A624" s="6" t="s">
        <v>638</v>
      </c>
      <c r="B624" s="7">
        <v>101</v>
      </c>
      <c r="C624" s="7">
        <v>1</v>
      </c>
      <c r="D624" s="7">
        <v>9.9000000000000008E-3</v>
      </c>
      <c r="E624" s="7">
        <v>1.6999999999999999E-3</v>
      </c>
      <c r="F624" s="8" t="s">
        <v>35</v>
      </c>
      <c r="G624" s="8" t="s">
        <v>35</v>
      </c>
      <c r="H624" t="str">
        <f t="shared" si="9"/>
        <v>YES</v>
      </c>
    </row>
    <row r="625" spans="1:8" x14ac:dyDescent="0.2">
      <c r="A625" s="6" t="s">
        <v>639</v>
      </c>
      <c r="B625" s="7">
        <v>103</v>
      </c>
      <c r="C625" s="7">
        <v>1</v>
      </c>
      <c r="D625" s="7">
        <v>9.7000000000000003E-3</v>
      </c>
      <c r="E625" s="7">
        <v>1.6999999999999999E-3</v>
      </c>
      <c r="F625" s="8" t="s">
        <v>35</v>
      </c>
      <c r="G625" s="8" t="s">
        <v>35</v>
      </c>
      <c r="H625" t="str">
        <f t="shared" si="9"/>
        <v>YES</v>
      </c>
    </row>
    <row r="626" spans="1:8" x14ac:dyDescent="0.2">
      <c r="A626" s="6" t="s">
        <v>640</v>
      </c>
      <c r="B626" s="7">
        <v>323</v>
      </c>
      <c r="C626" s="7">
        <v>2</v>
      </c>
      <c r="D626" s="7">
        <v>6.1999999999999998E-3</v>
      </c>
      <c r="E626" s="7">
        <v>1.6999999999999999E-3</v>
      </c>
      <c r="F626" s="8" t="s">
        <v>35</v>
      </c>
      <c r="G626" s="8" t="s">
        <v>35</v>
      </c>
      <c r="H626" t="str">
        <f t="shared" si="9"/>
        <v>YES</v>
      </c>
    </row>
    <row r="627" spans="1:8" x14ac:dyDescent="0.2">
      <c r="A627" s="6" t="s">
        <v>641</v>
      </c>
      <c r="B627" s="7">
        <v>346</v>
      </c>
      <c r="C627" s="7">
        <v>2</v>
      </c>
      <c r="D627" s="7">
        <v>5.7999999999999996E-3</v>
      </c>
      <c r="E627" s="7">
        <v>1.6000000000000001E-3</v>
      </c>
      <c r="F627" s="8" t="s">
        <v>35</v>
      </c>
      <c r="G627" s="8" t="s">
        <v>35</v>
      </c>
      <c r="H627" t="str">
        <f t="shared" si="9"/>
        <v>YES</v>
      </c>
    </row>
    <row r="628" spans="1:8" x14ac:dyDescent="0.2">
      <c r="A628" s="6" t="s">
        <v>642</v>
      </c>
      <c r="B628" s="7">
        <v>113</v>
      </c>
      <c r="C628" s="7">
        <v>1</v>
      </c>
      <c r="D628" s="7">
        <v>8.8000000000000005E-3</v>
      </c>
      <c r="E628" s="7">
        <v>1.6000000000000001E-3</v>
      </c>
      <c r="F628" s="8" t="s">
        <v>35</v>
      </c>
      <c r="G628" s="8" t="s">
        <v>35</v>
      </c>
      <c r="H628" t="str">
        <f t="shared" si="9"/>
        <v>YES</v>
      </c>
    </row>
    <row r="629" spans="1:8" x14ac:dyDescent="0.2">
      <c r="A629" s="6" t="s">
        <v>643</v>
      </c>
      <c r="B629" s="7">
        <v>116</v>
      </c>
      <c r="C629" s="7">
        <v>1</v>
      </c>
      <c r="D629" s="7">
        <v>8.6E-3</v>
      </c>
      <c r="E629" s="7">
        <v>1.5E-3</v>
      </c>
      <c r="F629" s="8" t="s">
        <v>35</v>
      </c>
      <c r="G629" s="8" t="s">
        <v>35</v>
      </c>
      <c r="H629" t="str">
        <f t="shared" si="9"/>
        <v>YES</v>
      </c>
    </row>
    <row r="630" spans="1:8" x14ac:dyDescent="0.2">
      <c r="A630" s="6" t="s">
        <v>644</v>
      </c>
      <c r="B630" s="7">
        <v>123</v>
      </c>
      <c r="C630" s="7">
        <v>1</v>
      </c>
      <c r="D630" s="7">
        <v>8.0999999999999996E-3</v>
      </c>
      <c r="E630" s="7">
        <v>1.4E-3</v>
      </c>
      <c r="F630" s="8" t="s">
        <v>35</v>
      </c>
      <c r="G630" s="8" t="s">
        <v>35</v>
      </c>
      <c r="H630" t="str">
        <f t="shared" si="9"/>
        <v>YES</v>
      </c>
    </row>
    <row r="631" spans="1:8" x14ac:dyDescent="0.2">
      <c r="A631" s="6" t="s">
        <v>645</v>
      </c>
      <c r="B631" s="7">
        <v>124</v>
      </c>
      <c r="C631" s="7">
        <v>1</v>
      </c>
      <c r="D631" s="7">
        <v>8.0999999999999996E-3</v>
      </c>
      <c r="E631" s="7">
        <v>1.4E-3</v>
      </c>
      <c r="F631" s="8" t="s">
        <v>35</v>
      </c>
      <c r="G631" s="8" t="s">
        <v>35</v>
      </c>
      <c r="H631" t="str">
        <f t="shared" si="9"/>
        <v>YES</v>
      </c>
    </row>
    <row r="632" spans="1:8" x14ac:dyDescent="0.2">
      <c r="A632" s="6" t="s">
        <v>646</v>
      </c>
      <c r="B632" s="7">
        <v>134</v>
      </c>
      <c r="C632" s="7">
        <v>1</v>
      </c>
      <c r="D632" s="7">
        <v>7.4999999999999997E-3</v>
      </c>
      <c r="E632" s="7">
        <v>1.2999999999999999E-3</v>
      </c>
      <c r="F632" s="8" t="s">
        <v>35</v>
      </c>
      <c r="G632" s="8" t="s">
        <v>35</v>
      </c>
      <c r="H632" t="str">
        <f t="shared" si="9"/>
        <v>YES</v>
      </c>
    </row>
    <row r="633" spans="1:8" x14ac:dyDescent="0.2">
      <c r="A633" s="6" t="s">
        <v>647</v>
      </c>
      <c r="B633" s="7">
        <v>144</v>
      </c>
      <c r="C633" s="7">
        <v>1</v>
      </c>
      <c r="D633" s="7">
        <v>6.8999999999999999E-3</v>
      </c>
      <c r="E633" s="7">
        <v>1.1999999999999999E-3</v>
      </c>
      <c r="F633" s="8" t="s">
        <v>35</v>
      </c>
      <c r="G633" s="8" t="s">
        <v>35</v>
      </c>
      <c r="H633" t="str">
        <f t="shared" si="9"/>
        <v>YES</v>
      </c>
    </row>
    <row r="634" spans="1:8" x14ac:dyDescent="0.2">
      <c r="A634" s="6" t="s">
        <v>648</v>
      </c>
      <c r="B634" s="7">
        <v>145</v>
      </c>
      <c r="C634" s="7">
        <v>1</v>
      </c>
      <c r="D634" s="7">
        <v>6.8999999999999999E-3</v>
      </c>
      <c r="E634" s="7">
        <v>1.1999999999999999E-3</v>
      </c>
      <c r="F634" s="8" t="s">
        <v>35</v>
      </c>
      <c r="G634" s="8" t="s">
        <v>35</v>
      </c>
      <c r="H634" t="str">
        <f t="shared" si="9"/>
        <v>YES</v>
      </c>
    </row>
    <row r="635" spans="1:8" x14ac:dyDescent="0.2">
      <c r="A635" s="6" t="s">
        <v>649</v>
      </c>
      <c r="B635" s="7">
        <v>147</v>
      </c>
      <c r="C635" s="7">
        <v>1</v>
      </c>
      <c r="D635" s="7">
        <v>6.7999999999999996E-3</v>
      </c>
      <c r="E635" s="7">
        <v>1.1999999999999999E-3</v>
      </c>
      <c r="F635" s="8" t="s">
        <v>35</v>
      </c>
      <c r="G635" s="8" t="s">
        <v>35</v>
      </c>
      <c r="H635" t="str">
        <f t="shared" si="9"/>
        <v>YES</v>
      </c>
    </row>
    <row r="636" spans="1:8" x14ac:dyDescent="0.2">
      <c r="A636" s="6" t="s">
        <v>650</v>
      </c>
      <c r="B636" s="7">
        <v>151</v>
      </c>
      <c r="C636" s="7">
        <v>1</v>
      </c>
      <c r="D636" s="7">
        <v>6.6E-3</v>
      </c>
      <c r="E636" s="7">
        <v>1.1999999999999999E-3</v>
      </c>
      <c r="F636" s="8" t="s">
        <v>35</v>
      </c>
      <c r="G636" s="8" t="s">
        <v>35</v>
      </c>
      <c r="H636" t="str">
        <f t="shared" si="9"/>
        <v>YES</v>
      </c>
    </row>
    <row r="637" spans="1:8" x14ac:dyDescent="0.2">
      <c r="A637" s="6" t="s">
        <v>651</v>
      </c>
      <c r="B637" s="7">
        <v>161</v>
      </c>
      <c r="C637" s="7">
        <v>1</v>
      </c>
      <c r="D637" s="7">
        <v>6.1999999999999998E-3</v>
      </c>
      <c r="E637" s="7">
        <v>1.1000000000000001E-3</v>
      </c>
      <c r="F637" s="8" t="s">
        <v>35</v>
      </c>
      <c r="G637" s="8" t="s">
        <v>35</v>
      </c>
      <c r="H637" t="str">
        <f t="shared" si="9"/>
        <v>YES</v>
      </c>
    </row>
    <row r="638" spans="1:8" x14ac:dyDescent="0.2">
      <c r="A638" s="6" t="s">
        <v>652</v>
      </c>
      <c r="B638" s="7">
        <v>161</v>
      </c>
      <c r="C638" s="7">
        <v>1</v>
      </c>
      <c r="D638" s="7">
        <v>6.1999999999999998E-3</v>
      </c>
      <c r="E638" s="7">
        <v>1.1000000000000001E-3</v>
      </c>
      <c r="F638" s="8" t="s">
        <v>35</v>
      </c>
      <c r="G638" s="8" t="s">
        <v>35</v>
      </c>
      <c r="H638" t="str">
        <f t="shared" si="9"/>
        <v>YES</v>
      </c>
    </row>
    <row r="639" spans="1:8" x14ac:dyDescent="0.2">
      <c r="A639" s="6" t="s">
        <v>653</v>
      </c>
      <c r="B639" s="7">
        <v>169</v>
      </c>
      <c r="C639" s="7">
        <v>1</v>
      </c>
      <c r="D639" s="7">
        <v>5.8999999999999999E-3</v>
      </c>
      <c r="E639" s="7">
        <v>1E-3</v>
      </c>
      <c r="F639" s="8" t="s">
        <v>35</v>
      </c>
      <c r="G639" s="8" t="s">
        <v>35</v>
      </c>
      <c r="H639" t="str">
        <f t="shared" si="9"/>
        <v>YES</v>
      </c>
    </row>
    <row r="640" spans="1:8" x14ac:dyDescent="0.2">
      <c r="A640" s="6" t="s">
        <v>654</v>
      </c>
      <c r="B640" s="7">
        <v>180</v>
      </c>
      <c r="C640" s="7">
        <v>1</v>
      </c>
      <c r="D640" s="7">
        <v>5.5999999999999999E-3</v>
      </c>
      <c r="E640" s="7">
        <v>1E-3</v>
      </c>
      <c r="F640" s="8" t="s">
        <v>35</v>
      </c>
      <c r="G640" s="8" t="s">
        <v>35</v>
      </c>
      <c r="H640" t="str">
        <f t="shared" si="9"/>
        <v>YES</v>
      </c>
    </row>
    <row r="641" spans="1:8" x14ac:dyDescent="0.2">
      <c r="A641" s="6" t="s">
        <v>655</v>
      </c>
      <c r="B641" s="7">
        <v>181</v>
      </c>
      <c r="C641" s="7">
        <v>1</v>
      </c>
      <c r="D641" s="7">
        <v>5.4999999999999997E-3</v>
      </c>
      <c r="E641" s="7">
        <v>1E-3</v>
      </c>
      <c r="F641" s="8" t="s">
        <v>35</v>
      </c>
      <c r="G641" s="8" t="s">
        <v>35</v>
      </c>
      <c r="H641" t="str">
        <f t="shared" si="9"/>
        <v>YES</v>
      </c>
    </row>
    <row r="642" spans="1:8" x14ac:dyDescent="0.2">
      <c r="A642" s="6" t="s">
        <v>656</v>
      </c>
      <c r="B642" s="7">
        <v>184</v>
      </c>
      <c r="C642" s="7">
        <v>1</v>
      </c>
      <c r="D642" s="7">
        <v>5.4000000000000003E-3</v>
      </c>
      <c r="E642" s="7">
        <v>1E-3</v>
      </c>
      <c r="F642" s="8" t="s">
        <v>35</v>
      </c>
      <c r="G642" s="8" t="s">
        <v>35</v>
      </c>
      <c r="H642" t="str">
        <f t="shared" si="9"/>
        <v>YES</v>
      </c>
    </row>
    <row r="643" spans="1:8" x14ac:dyDescent="0.2">
      <c r="A643" s="6" t="s">
        <v>657</v>
      </c>
      <c r="B643" s="7">
        <v>1115</v>
      </c>
      <c r="C643" s="7">
        <v>3</v>
      </c>
      <c r="D643" s="7">
        <v>2.7000000000000001E-3</v>
      </c>
      <c r="E643" s="7">
        <v>8.9999999999999998E-4</v>
      </c>
      <c r="F643" s="8" t="s">
        <v>35</v>
      </c>
      <c r="G643" s="8" t="s">
        <v>35</v>
      </c>
      <c r="H643" t="str">
        <f t="shared" si="9"/>
        <v>YES</v>
      </c>
    </row>
    <row r="644" spans="1:8" x14ac:dyDescent="0.2">
      <c r="A644" s="6" t="s">
        <v>658</v>
      </c>
      <c r="B644" s="7">
        <v>220</v>
      </c>
      <c r="C644" s="7">
        <v>1</v>
      </c>
      <c r="D644" s="7">
        <v>4.4999999999999997E-3</v>
      </c>
      <c r="E644" s="7">
        <v>8.0000000000000004E-4</v>
      </c>
      <c r="F644" s="8" t="s">
        <v>35</v>
      </c>
      <c r="G644" s="8" t="s">
        <v>35</v>
      </c>
      <c r="H644" t="str">
        <f t="shared" si="9"/>
        <v>YES</v>
      </c>
    </row>
    <row r="645" spans="1:8" x14ac:dyDescent="0.2">
      <c r="A645" s="6" t="s">
        <v>659</v>
      </c>
      <c r="B645" s="7">
        <v>223</v>
      </c>
      <c r="C645" s="7">
        <v>1</v>
      </c>
      <c r="D645" s="7">
        <v>4.4999999999999997E-3</v>
      </c>
      <c r="E645" s="7">
        <v>8.0000000000000004E-4</v>
      </c>
      <c r="F645" s="8" t="s">
        <v>35</v>
      </c>
      <c r="G645" s="8" t="s">
        <v>35</v>
      </c>
      <c r="H645" t="str">
        <f t="shared" ref="H645:H708" si="10">IF(F645=G645,"YES","NO")</f>
        <v>YES</v>
      </c>
    </row>
    <row r="646" spans="1:8" x14ac:dyDescent="0.2">
      <c r="A646" s="6" t="s">
        <v>660</v>
      </c>
      <c r="B646" s="7">
        <v>232</v>
      </c>
      <c r="C646" s="7">
        <v>1</v>
      </c>
      <c r="D646" s="7">
        <v>4.3E-3</v>
      </c>
      <c r="E646" s="7">
        <v>8.0000000000000004E-4</v>
      </c>
      <c r="F646" s="8" t="s">
        <v>35</v>
      </c>
      <c r="G646" s="8" t="s">
        <v>35</v>
      </c>
      <c r="H646" t="str">
        <f t="shared" si="10"/>
        <v>YES</v>
      </c>
    </row>
    <row r="647" spans="1:8" x14ac:dyDescent="0.2">
      <c r="A647" s="6" t="s">
        <v>661</v>
      </c>
      <c r="B647" s="7">
        <v>236</v>
      </c>
      <c r="C647" s="7">
        <v>1</v>
      </c>
      <c r="D647" s="7">
        <v>4.1999999999999997E-3</v>
      </c>
      <c r="E647" s="7">
        <v>6.9999999999999999E-4</v>
      </c>
      <c r="F647" s="8" t="s">
        <v>35</v>
      </c>
      <c r="G647" s="8" t="s">
        <v>35</v>
      </c>
      <c r="H647" t="str">
        <f t="shared" si="10"/>
        <v>YES</v>
      </c>
    </row>
    <row r="648" spans="1:8" x14ac:dyDescent="0.2">
      <c r="A648" s="6" t="s">
        <v>662</v>
      </c>
      <c r="B648" s="7">
        <v>253</v>
      </c>
      <c r="C648" s="7">
        <v>1</v>
      </c>
      <c r="D648" s="7">
        <v>4.0000000000000001E-3</v>
      </c>
      <c r="E648" s="7">
        <v>6.9999999999999999E-4</v>
      </c>
      <c r="F648" s="8" t="s">
        <v>35</v>
      </c>
      <c r="G648" s="8" t="s">
        <v>35</v>
      </c>
      <c r="H648" t="str">
        <f t="shared" si="10"/>
        <v>YES</v>
      </c>
    </row>
    <row r="649" spans="1:8" x14ac:dyDescent="0.2">
      <c r="A649" s="6" t="s">
        <v>663</v>
      </c>
      <c r="B649" s="7">
        <v>297</v>
      </c>
      <c r="C649" s="7">
        <v>1</v>
      </c>
      <c r="D649" s="7">
        <v>3.3999999999999998E-3</v>
      </c>
      <c r="E649" s="7">
        <v>5.9999999999999995E-4</v>
      </c>
      <c r="F649" s="8" t="s">
        <v>35</v>
      </c>
      <c r="G649" s="8" t="s">
        <v>35</v>
      </c>
      <c r="H649" t="str">
        <f t="shared" si="10"/>
        <v>YES</v>
      </c>
    </row>
    <row r="650" spans="1:8" x14ac:dyDescent="0.2">
      <c r="A650" s="6" t="s">
        <v>664</v>
      </c>
      <c r="B650" s="7">
        <v>315</v>
      </c>
      <c r="C650" s="7">
        <v>1</v>
      </c>
      <c r="D650" s="7">
        <v>3.2000000000000002E-3</v>
      </c>
      <c r="E650" s="7">
        <v>5.9999999999999995E-4</v>
      </c>
      <c r="F650" s="8" t="s">
        <v>35</v>
      </c>
      <c r="G650" s="8" t="s">
        <v>35</v>
      </c>
      <c r="H650" t="str">
        <f t="shared" si="10"/>
        <v>YES</v>
      </c>
    </row>
    <row r="651" spans="1:8" x14ac:dyDescent="0.2">
      <c r="A651" s="6" t="s">
        <v>665</v>
      </c>
      <c r="B651" s="7">
        <v>326</v>
      </c>
      <c r="C651" s="7">
        <v>1</v>
      </c>
      <c r="D651" s="7">
        <v>3.0999999999999999E-3</v>
      </c>
      <c r="E651" s="7">
        <v>5.0000000000000001E-4</v>
      </c>
      <c r="F651" s="8" t="s">
        <v>35</v>
      </c>
      <c r="G651" s="8" t="s">
        <v>35</v>
      </c>
      <c r="H651" t="str">
        <f t="shared" si="10"/>
        <v>YES</v>
      </c>
    </row>
    <row r="652" spans="1:8" x14ac:dyDescent="0.2">
      <c r="A652" s="6" t="s">
        <v>666</v>
      </c>
      <c r="B652" s="7">
        <v>405</v>
      </c>
      <c r="C652" s="7">
        <v>1</v>
      </c>
      <c r="D652" s="7">
        <v>2.5000000000000001E-3</v>
      </c>
      <c r="E652" s="7">
        <v>4.0000000000000002E-4</v>
      </c>
      <c r="F652" s="8" t="s">
        <v>35</v>
      </c>
      <c r="G652" s="8" t="s">
        <v>35</v>
      </c>
      <c r="H652" t="str">
        <f t="shared" si="10"/>
        <v>YES</v>
      </c>
    </row>
    <row r="653" spans="1:8" x14ac:dyDescent="0.2">
      <c r="A653" s="6" t="s">
        <v>667</v>
      </c>
      <c r="B653" s="7">
        <v>532</v>
      </c>
      <c r="C653" s="7">
        <v>1</v>
      </c>
      <c r="D653" s="7">
        <v>1.9E-3</v>
      </c>
      <c r="E653" s="7">
        <v>2.9999999999999997E-4</v>
      </c>
      <c r="F653" s="8" t="s">
        <v>35</v>
      </c>
      <c r="G653" s="8" t="s">
        <v>35</v>
      </c>
      <c r="H653" t="str">
        <f t="shared" si="10"/>
        <v>YES</v>
      </c>
    </row>
    <row r="654" spans="1:8" x14ac:dyDescent="0.2">
      <c r="A654" s="6" t="s">
        <v>668</v>
      </c>
      <c r="B654" s="7">
        <v>989</v>
      </c>
      <c r="C654" s="7">
        <v>1</v>
      </c>
      <c r="D654" s="7">
        <v>1E-3</v>
      </c>
      <c r="E654" s="7">
        <v>2.0000000000000001E-4</v>
      </c>
      <c r="F654" s="8" t="s">
        <v>35</v>
      </c>
      <c r="G654" s="8" t="s">
        <v>35</v>
      </c>
      <c r="H654" t="str">
        <f t="shared" si="10"/>
        <v>YES</v>
      </c>
    </row>
    <row r="655" spans="1:8" x14ac:dyDescent="0.2">
      <c r="A655" s="6" t="s">
        <v>669</v>
      </c>
      <c r="B655" s="7">
        <v>11</v>
      </c>
      <c r="C655" s="7">
        <v>0</v>
      </c>
      <c r="D655" s="7">
        <v>0</v>
      </c>
      <c r="E655" s="7">
        <v>0</v>
      </c>
      <c r="F655" s="8" t="s">
        <v>35</v>
      </c>
      <c r="G655" s="8" t="s">
        <v>35</v>
      </c>
      <c r="H655" t="str">
        <f t="shared" si="10"/>
        <v>YES</v>
      </c>
    </row>
    <row r="656" spans="1:8" x14ac:dyDescent="0.2">
      <c r="A656" s="6" t="s">
        <v>670</v>
      </c>
      <c r="B656" s="7">
        <v>11</v>
      </c>
      <c r="C656" s="7">
        <v>0</v>
      </c>
      <c r="D656" s="7">
        <v>0</v>
      </c>
      <c r="E656" s="7">
        <v>0</v>
      </c>
      <c r="F656" s="8" t="s">
        <v>35</v>
      </c>
      <c r="G656" s="8" t="s">
        <v>35</v>
      </c>
      <c r="H656" t="str">
        <f t="shared" si="10"/>
        <v>YES</v>
      </c>
    </row>
    <row r="657" spans="1:8" x14ac:dyDescent="0.2">
      <c r="A657" s="6" t="s">
        <v>671</v>
      </c>
      <c r="B657" s="7">
        <v>11</v>
      </c>
      <c r="C657" s="7">
        <v>0</v>
      </c>
      <c r="D657" s="7">
        <v>0</v>
      </c>
      <c r="E657" s="7">
        <v>0</v>
      </c>
      <c r="F657" s="8" t="s">
        <v>35</v>
      </c>
      <c r="G657" s="8" t="s">
        <v>35</v>
      </c>
      <c r="H657" t="str">
        <f t="shared" si="10"/>
        <v>YES</v>
      </c>
    </row>
    <row r="658" spans="1:8" x14ac:dyDescent="0.2">
      <c r="A658" s="6" t="s">
        <v>672</v>
      </c>
      <c r="B658" s="7">
        <v>11</v>
      </c>
      <c r="C658" s="7">
        <v>0</v>
      </c>
      <c r="D658" s="7">
        <v>0</v>
      </c>
      <c r="E658" s="7">
        <v>0</v>
      </c>
      <c r="F658" s="8" t="s">
        <v>35</v>
      </c>
      <c r="G658" s="8" t="s">
        <v>35</v>
      </c>
      <c r="H658" t="str">
        <f t="shared" si="10"/>
        <v>YES</v>
      </c>
    </row>
    <row r="659" spans="1:8" x14ac:dyDescent="0.2">
      <c r="A659" s="6" t="s">
        <v>673</v>
      </c>
      <c r="B659" s="7">
        <v>11</v>
      </c>
      <c r="C659" s="7">
        <v>0</v>
      </c>
      <c r="D659" s="7">
        <v>0</v>
      </c>
      <c r="E659" s="7">
        <v>0</v>
      </c>
      <c r="F659" s="8" t="s">
        <v>35</v>
      </c>
      <c r="G659" s="8" t="s">
        <v>35</v>
      </c>
      <c r="H659" t="str">
        <f t="shared" si="10"/>
        <v>YES</v>
      </c>
    </row>
    <row r="660" spans="1:8" x14ac:dyDescent="0.2">
      <c r="A660" s="6" t="s">
        <v>674</v>
      </c>
      <c r="B660" s="7">
        <v>11</v>
      </c>
      <c r="C660" s="7">
        <v>0</v>
      </c>
      <c r="D660" s="7">
        <v>0</v>
      </c>
      <c r="E660" s="7">
        <v>0</v>
      </c>
      <c r="F660" s="8" t="s">
        <v>35</v>
      </c>
      <c r="G660" s="8" t="s">
        <v>35</v>
      </c>
      <c r="H660" t="str">
        <f t="shared" si="10"/>
        <v>YES</v>
      </c>
    </row>
    <row r="661" spans="1:8" x14ac:dyDescent="0.2">
      <c r="A661" s="6" t="s">
        <v>675</v>
      </c>
      <c r="B661" s="7">
        <v>11</v>
      </c>
      <c r="C661" s="7">
        <v>0</v>
      </c>
      <c r="D661" s="7">
        <v>0</v>
      </c>
      <c r="E661" s="7">
        <v>0</v>
      </c>
      <c r="F661" s="8" t="s">
        <v>35</v>
      </c>
      <c r="G661" s="8" t="s">
        <v>35</v>
      </c>
      <c r="H661" t="str">
        <f t="shared" si="10"/>
        <v>YES</v>
      </c>
    </row>
    <row r="662" spans="1:8" x14ac:dyDescent="0.2">
      <c r="A662" s="6" t="s">
        <v>676</v>
      </c>
      <c r="B662" s="7">
        <v>11</v>
      </c>
      <c r="C662" s="7">
        <v>0</v>
      </c>
      <c r="D662" s="7">
        <v>0</v>
      </c>
      <c r="E662" s="7">
        <v>0</v>
      </c>
      <c r="F662" s="8" t="s">
        <v>35</v>
      </c>
      <c r="G662" s="8" t="s">
        <v>35</v>
      </c>
      <c r="H662" t="str">
        <f t="shared" si="10"/>
        <v>YES</v>
      </c>
    </row>
    <row r="663" spans="1:8" x14ac:dyDescent="0.2">
      <c r="A663" s="6" t="s">
        <v>677</v>
      </c>
      <c r="B663" s="7">
        <v>11</v>
      </c>
      <c r="C663" s="7">
        <v>0</v>
      </c>
      <c r="D663" s="7">
        <v>0</v>
      </c>
      <c r="E663" s="7">
        <v>0</v>
      </c>
      <c r="F663" s="8" t="s">
        <v>35</v>
      </c>
      <c r="G663" s="8" t="s">
        <v>35</v>
      </c>
      <c r="H663" t="str">
        <f t="shared" si="10"/>
        <v>YES</v>
      </c>
    </row>
    <row r="664" spans="1:8" x14ac:dyDescent="0.2">
      <c r="A664" s="6" t="s">
        <v>678</v>
      </c>
      <c r="B664" s="7">
        <v>11</v>
      </c>
      <c r="C664" s="7">
        <v>0</v>
      </c>
      <c r="D664" s="7">
        <v>0</v>
      </c>
      <c r="E664" s="7">
        <v>0</v>
      </c>
      <c r="F664" s="8" t="s">
        <v>35</v>
      </c>
      <c r="G664" s="8" t="s">
        <v>35</v>
      </c>
      <c r="H664" t="str">
        <f t="shared" si="10"/>
        <v>YES</v>
      </c>
    </row>
    <row r="665" spans="1:8" x14ac:dyDescent="0.2">
      <c r="A665" s="6" t="s">
        <v>679</v>
      </c>
      <c r="B665" s="7">
        <v>11</v>
      </c>
      <c r="C665" s="7">
        <v>0</v>
      </c>
      <c r="D665" s="7">
        <v>0</v>
      </c>
      <c r="E665" s="7">
        <v>0</v>
      </c>
      <c r="F665" s="8" t="s">
        <v>35</v>
      </c>
      <c r="G665" s="8" t="s">
        <v>35</v>
      </c>
      <c r="H665" t="str">
        <f t="shared" si="10"/>
        <v>YES</v>
      </c>
    </row>
    <row r="666" spans="1:8" x14ac:dyDescent="0.2">
      <c r="A666" s="6" t="s">
        <v>680</v>
      </c>
      <c r="B666" s="7">
        <v>11</v>
      </c>
      <c r="C666" s="7">
        <v>0</v>
      </c>
      <c r="D666" s="7">
        <v>0</v>
      </c>
      <c r="E666" s="7">
        <v>0</v>
      </c>
      <c r="F666" s="8" t="s">
        <v>35</v>
      </c>
      <c r="G666" s="8" t="s">
        <v>35</v>
      </c>
      <c r="H666" t="str">
        <f t="shared" si="10"/>
        <v>YES</v>
      </c>
    </row>
    <row r="667" spans="1:8" x14ac:dyDescent="0.2">
      <c r="A667" s="6" t="s">
        <v>681</v>
      </c>
      <c r="B667" s="7">
        <v>11</v>
      </c>
      <c r="C667" s="7">
        <v>0</v>
      </c>
      <c r="D667" s="7">
        <v>0</v>
      </c>
      <c r="E667" s="7">
        <v>0</v>
      </c>
      <c r="F667" s="8" t="s">
        <v>35</v>
      </c>
      <c r="G667" s="8" t="s">
        <v>35</v>
      </c>
      <c r="H667" t="str">
        <f t="shared" si="10"/>
        <v>YES</v>
      </c>
    </row>
    <row r="668" spans="1:8" x14ac:dyDescent="0.2">
      <c r="A668" s="6" t="s">
        <v>682</v>
      </c>
      <c r="B668" s="7">
        <v>11</v>
      </c>
      <c r="C668" s="7">
        <v>0</v>
      </c>
      <c r="D668" s="7">
        <v>0</v>
      </c>
      <c r="E668" s="7">
        <v>0</v>
      </c>
      <c r="F668" s="8" t="s">
        <v>35</v>
      </c>
      <c r="G668" s="8" t="s">
        <v>35</v>
      </c>
      <c r="H668" t="str">
        <f t="shared" si="10"/>
        <v>YES</v>
      </c>
    </row>
    <row r="669" spans="1:8" x14ac:dyDescent="0.2">
      <c r="A669" s="6" t="s">
        <v>683</v>
      </c>
      <c r="B669" s="7">
        <v>11</v>
      </c>
      <c r="C669" s="7">
        <v>0</v>
      </c>
      <c r="D669" s="7">
        <v>0</v>
      </c>
      <c r="E669" s="7">
        <v>0</v>
      </c>
      <c r="F669" s="8" t="s">
        <v>35</v>
      </c>
      <c r="G669" s="8" t="s">
        <v>35</v>
      </c>
      <c r="H669" t="str">
        <f t="shared" si="10"/>
        <v>YES</v>
      </c>
    </row>
    <row r="670" spans="1:8" x14ac:dyDescent="0.2">
      <c r="A670" s="6" t="s">
        <v>684</v>
      </c>
      <c r="B670" s="7">
        <v>11</v>
      </c>
      <c r="C670" s="7">
        <v>0</v>
      </c>
      <c r="D670" s="7">
        <v>0</v>
      </c>
      <c r="E670" s="7">
        <v>0</v>
      </c>
      <c r="F670" s="8" t="s">
        <v>35</v>
      </c>
      <c r="G670" s="8" t="s">
        <v>35</v>
      </c>
      <c r="H670" t="str">
        <f t="shared" si="10"/>
        <v>YES</v>
      </c>
    </row>
    <row r="671" spans="1:8" x14ac:dyDescent="0.2">
      <c r="A671" s="6" t="s">
        <v>685</v>
      </c>
      <c r="B671" s="7">
        <v>11</v>
      </c>
      <c r="C671" s="7">
        <v>0</v>
      </c>
      <c r="D671" s="7">
        <v>0</v>
      </c>
      <c r="E671" s="7">
        <v>0</v>
      </c>
      <c r="F671" s="8" t="s">
        <v>35</v>
      </c>
      <c r="G671" s="8" t="s">
        <v>35</v>
      </c>
      <c r="H671" t="str">
        <f t="shared" si="10"/>
        <v>YES</v>
      </c>
    </row>
    <row r="672" spans="1:8" x14ac:dyDescent="0.2">
      <c r="A672" s="6" t="s">
        <v>686</v>
      </c>
      <c r="B672" s="7">
        <v>11</v>
      </c>
      <c r="C672" s="7">
        <v>0</v>
      </c>
      <c r="D672" s="7">
        <v>0</v>
      </c>
      <c r="E672" s="7">
        <v>0</v>
      </c>
      <c r="F672" s="8" t="s">
        <v>35</v>
      </c>
      <c r="G672" s="8" t="s">
        <v>35</v>
      </c>
      <c r="H672" t="str">
        <f t="shared" si="10"/>
        <v>YES</v>
      </c>
    </row>
    <row r="673" spans="1:8" x14ac:dyDescent="0.2">
      <c r="A673" s="6" t="s">
        <v>687</v>
      </c>
      <c r="B673" s="7">
        <v>11</v>
      </c>
      <c r="C673" s="7">
        <v>0</v>
      </c>
      <c r="D673" s="7">
        <v>0</v>
      </c>
      <c r="E673" s="7">
        <v>0</v>
      </c>
      <c r="F673" s="8" t="s">
        <v>35</v>
      </c>
      <c r="G673" s="8" t="s">
        <v>35</v>
      </c>
      <c r="H673" t="str">
        <f t="shared" si="10"/>
        <v>YES</v>
      </c>
    </row>
    <row r="674" spans="1:8" x14ac:dyDescent="0.2">
      <c r="A674" s="6" t="s">
        <v>688</v>
      </c>
      <c r="B674" s="7">
        <v>11</v>
      </c>
      <c r="C674" s="7">
        <v>0</v>
      </c>
      <c r="D674" s="7">
        <v>0</v>
      </c>
      <c r="E674" s="7">
        <v>0</v>
      </c>
      <c r="F674" s="8" t="s">
        <v>35</v>
      </c>
      <c r="G674" s="8" t="s">
        <v>35</v>
      </c>
      <c r="H674" t="str">
        <f t="shared" si="10"/>
        <v>YES</v>
      </c>
    </row>
    <row r="675" spans="1:8" x14ac:dyDescent="0.2">
      <c r="A675" s="6" t="s">
        <v>689</v>
      </c>
      <c r="B675" s="7">
        <v>11</v>
      </c>
      <c r="C675" s="7">
        <v>0</v>
      </c>
      <c r="D675" s="7">
        <v>0</v>
      </c>
      <c r="E675" s="7">
        <v>0</v>
      </c>
      <c r="F675" s="8" t="s">
        <v>35</v>
      </c>
      <c r="G675" s="8" t="s">
        <v>35</v>
      </c>
      <c r="H675" t="str">
        <f t="shared" si="10"/>
        <v>YES</v>
      </c>
    </row>
    <row r="676" spans="1:8" x14ac:dyDescent="0.2">
      <c r="A676" s="6" t="s">
        <v>690</v>
      </c>
      <c r="B676" s="7">
        <v>11</v>
      </c>
      <c r="C676" s="7">
        <v>0</v>
      </c>
      <c r="D676" s="7">
        <v>0</v>
      </c>
      <c r="E676" s="7">
        <v>0</v>
      </c>
      <c r="F676" s="8" t="s">
        <v>35</v>
      </c>
      <c r="G676" s="8" t="s">
        <v>35</v>
      </c>
      <c r="H676" t="str">
        <f t="shared" si="10"/>
        <v>YES</v>
      </c>
    </row>
    <row r="677" spans="1:8" x14ac:dyDescent="0.2">
      <c r="A677" s="6" t="s">
        <v>691</v>
      </c>
      <c r="B677" s="7">
        <v>11</v>
      </c>
      <c r="C677" s="7">
        <v>0</v>
      </c>
      <c r="D677" s="7">
        <v>0</v>
      </c>
      <c r="E677" s="7">
        <v>0</v>
      </c>
      <c r="F677" s="8" t="s">
        <v>35</v>
      </c>
      <c r="G677" s="8" t="s">
        <v>35</v>
      </c>
      <c r="H677" t="str">
        <f t="shared" si="10"/>
        <v>YES</v>
      </c>
    </row>
    <row r="678" spans="1:8" x14ac:dyDescent="0.2">
      <c r="A678" s="6" t="s">
        <v>692</v>
      </c>
      <c r="B678" s="7">
        <v>11</v>
      </c>
      <c r="C678" s="7">
        <v>0</v>
      </c>
      <c r="D678" s="7">
        <v>0</v>
      </c>
      <c r="E678" s="7">
        <v>0</v>
      </c>
      <c r="F678" s="8" t="s">
        <v>35</v>
      </c>
      <c r="G678" s="8" t="s">
        <v>35</v>
      </c>
      <c r="H678" t="str">
        <f t="shared" si="10"/>
        <v>YES</v>
      </c>
    </row>
    <row r="679" spans="1:8" x14ac:dyDescent="0.2">
      <c r="A679" s="6" t="s">
        <v>693</v>
      </c>
      <c r="B679" s="7">
        <v>11</v>
      </c>
      <c r="C679" s="7">
        <v>0</v>
      </c>
      <c r="D679" s="7">
        <v>0</v>
      </c>
      <c r="E679" s="7">
        <v>0</v>
      </c>
      <c r="F679" s="8" t="s">
        <v>35</v>
      </c>
      <c r="G679" s="8" t="s">
        <v>35</v>
      </c>
      <c r="H679" t="str">
        <f t="shared" si="10"/>
        <v>YES</v>
      </c>
    </row>
    <row r="680" spans="1:8" x14ac:dyDescent="0.2">
      <c r="A680" s="6" t="s">
        <v>694</v>
      </c>
      <c r="B680" s="7">
        <v>27</v>
      </c>
      <c r="C680" s="7">
        <v>0</v>
      </c>
      <c r="D680" s="7">
        <v>0</v>
      </c>
      <c r="E680" s="7">
        <v>0</v>
      </c>
      <c r="F680" s="8" t="s">
        <v>35</v>
      </c>
      <c r="G680" s="8" t="s">
        <v>35</v>
      </c>
      <c r="H680" t="str">
        <f t="shared" si="10"/>
        <v>YES</v>
      </c>
    </row>
    <row r="681" spans="1:8" x14ac:dyDescent="0.2">
      <c r="A681" s="6" t="s">
        <v>695</v>
      </c>
      <c r="B681" s="7">
        <v>27</v>
      </c>
      <c r="C681" s="7">
        <v>0</v>
      </c>
      <c r="D681" s="7">
        <v>0</v>
      </c>
      <c r="E681" s="7">
        <v>0</v>
      </c>
      <c r="F681" s="8" t="s">
        <v>35</v>
      </c>
      <c r="G681" s="8" t="s">
        <v>35</v>
      </c>
      <c r="H681" t="str">
        <f t="shared" si="10"/>
        <v>YES</v>
      </c>
    </row>
    <row r="682" spans="1:8" x14ac:dyDescent="0.2">
      <c r="A682" s="6" t="s">
        <v>696</v>
      </c>
      <c r="B682" s="7">
        <v>27</v>
      </c>
      <c r="C682" s="7">
        <v>0</v>
      </c>
      <c r="D682" s="7">
        <v>0</v>
      </c>
      <c r="E682" s="7">
        <v>0</v>
      </c>
      <c r="F682" s="8" t="s">
        <v>35</v>
      </c>
      <c r="G682" s="8" t="s">
        <v>35</v>
      </c>
      <c r="H682" t="str">
        <f t="shared" si="10"/>
        <v>YES</v>
      </c>
    </row>
    <row r="683" spans="1:8" x14ac:dyDescent="0.2">
      <c r="A683" s="6" t="s">
        <v>697</v>
      </c>
      <c r="B683" s="7">
        <v>27</v>
      </c>
      <c r="C683" s="7">
        <v>0</v>
      </c>
      <c r="D683" s="7">
        <v>0</v>
      </c>
      <c r="E683" s="7">
        <v>0</v>
      </c>
      <c r="F683" s="8" t="s">
        <v>35</v>
      </c>
      <c r="G683" s="8" t="s">
        <v>35</v>
      </c>
      <c r="H683" t="str">
        <f t="shared" si="10"/>
        <v>YES</v>
      </c>
    </row>
    <row r="684" spans="1:8" x14ac:dyDescent="0.2">
      <c r="A684" s="6" t="s">
        <v>698</v>
      </c>
      <c r="B684" s="7">
        <v>27</v>
      </c>
      <c r="C684" s="7">
        <v>0</v>
      </c>
      <c r="D684" s="7">
        <v>0</v>
      </c>
      <c r="E684" s="7">
        <v>0</v>
      </c>
      <c r="F684" s="8" t="s">
        <v>35</v>
      </c>
      <c r="G684" s="8" t="s">
        <v>35</v>
      </c>
      <c r="H684" t="str">
        <f t="shared" si="10"/>
        <v>YES</v>
      </c>
    </row>
    <row r="685" spans="1:8" x14ac:dyDescent="0.2">
      <c r="A685" s="6" t="s">
        <v>699</v>
      </c>
      <c r="B685" s="7">
        <v>27</v>
      </c>
      <c r="C685" s="7">
        <v>0</v>
      </c>
      <c r="D685" s="7">
        <v>0</v>
      </c>
      <c r="E685" s="7">
        <v>0</v>
      </c>
      <c r="F685" s="8" t="s">
        <v>35</v>
      </c>
      <c r="G685" s="8" t="s">
        <v>35</v>
      </c>
      <c r="H685" t="str">
        <f t="shared" si="10"/>
        <v>YES</v>
      </c>
    </row>
    <row r="686" spans="1:8" x14ac:dyDescent="0.2">
      <c r="A686" s="6" t="s">
        <v>700</v>
      </c>
      <c r="B686" s="7">
        <v>27</v>
      </c>
      <c r="C686" s="7">
        <v>0</v>
      </c>
      <c r="D686" s="7">
        <v>0</v>
      </c>
      <c r="E686" s="7">
        <v>0</v>
      </c>
      <c r="F686" s="8" t="s">
        <v>35</v>
      </c>
      <c r="G686" s="8" t="s">
        <v>35</v>
      </c>
      <c r="H686" t="str">
        <f t="shared" si="10"/>
        <v>YES</v>
      </c>
    </row>
    <row r="687" spans="1:8" x14ac:dyDescent="0.2">
      <c r="A687" s="6" t="s">
        <v>701</v>
      </c>
      <c r="B687" s="7">
        <v>27</v>
      </c>
      <c r="C687" s="7">
        <v>0</v>
      </c>
      <c r="D687" s="7">
        <v>0</v>
      </c>
      <c r="E687" s="7">
        <v>0</v>
      </c>
      <c r="F687" s="8" t="s">
        <v>35</v>
      </c>
      <c r="G687" s="8" t="s">
        <v>35</v>
      </c>
      <c r="H687" t="str">
        <f t="shared" si="10"/>
        <v>YES</v>
      </c>
    </row>
    <row r="688" spans="1:8" x14ac:dyDescent="0.2">
      <c r="A688" s="6" t="s">
        <v>702</v>
      </c>
      <c r="B688" s="7">
        <v>22</v>
      </c>
      <c r="C688" s="7">
        <v>0</v>
      </c>
      <c r="D688" s="7">
        <v>0</v>
      </c>
      <c r="E688" s="7">
        <v>0</v>
      </c>
      <c r="F688" s="8" t="s">
        <v>35</v>
      </c>
      <c r="G688" s="8" t="s">
        <v>35</v>
      </c>
      <c r="H688" t="str">
        <f t="shared" si="10"/>
        <v>YES</v>
      </c>
    </row>
    <row r="689" spans="1:8" x14ac:dyDescent="0.2">
      <c r="A689" s="6" t="s">
        <v>703</v>
      </c>
      <c r="B689" s="7">
        <v>22</v>
      </c>
      <c r="C689" s="7">
        <v>0</v>
      </c>
      <c r="D689" s="7">
        <v>0</v>
      </c>
      <c r="E689" s="7">
        <v>0</v>
      </c>
      <c r="F689" s="8" t="s">
        <v>35</v>
      </c>
      <c r="G689" s="8" t="s">
        <v>35</v>
      </c>
      <c r="H689" t="str">
        <f t="shared" si="10"/>
        <v>YES</v>
      </c>
    </row>
    <row r="690" spans="1:8" x14ac:dyDescent="0.2">
      <c r="A690" s="6" t="s">
        <v>704</v>
      </c>
      <c r="B690" s="7">
        <v>22</v>
      </c>
      <c r="C690" s="7">
        <v>0</v>
      </c>
      <c r="D690" s="7">
        <v>0</v>
      </c>
      <c r="E690" s="7">
        <v>0</v>
      </c>
      <c r="F690" s="8" t="s">
        <v>35</v>
      </c>
      <c r="G690" s="8" t="s">
        <v>35</v>
      </c>
      <c r="H690" t="str">
        <f t="shared" si="10"/>
        <v>YES</v>
      </c>
    </row>
    <row r="691" spans="1:8" x14ac:dyDescent="0.2">
      <c r="A691" s="6" t="s">
        <v>705</v>
      </c>
      <c r="B691" s="7">
        <v>22</v>
      </c>
      <c r="C691" s="7">
        <v>0</v>
      </c>
      <c r="D691" s="7">
        <v>0</v>
      </c>
      <c r="E691" s="7">
        <v>0</v>
      </c>
      <c r="F691" s="8" t="s">
        <v>35</v>
      </c>
      <c r="G691" s="8" t="s">
        <v>35</v>
      </c>
      <c r="H691" t="str">
        <f t="shared" si="10"/>
        <v>YES</v>
      </c>
    </row>
    <row r="692" spans="1:8" x14ac:dyDescent="0.2">
      <c r="A692" s="6" t="s">
        <v>706</v>
      </c>
      <c r="B692" s="7">
        <v>22</v>
      </c>
      <c r="C692" s="7">
        <v>0</v>
      </c>
      <c r="D692" s="7">
        <v>0</v>
      </c>
      <c r="E692" s="7">
        <v>0</v>
      </c>
      <c r="F692" s="8" t="s">
        <v>35</v>
      </c>
      <c r="G692" s="8" t="s">
        <v>35</v>
      </c>
      <c r="H692" t="str">
        <f t="shared" si="10"/>
        <v>YES</v>
      </c>
    </row>
    <row r="693" spans="1:8" x14ac:dyDescent="0.2">
      <c r="A693" s="6" t="s">
        <v>707</v>
      </c>
      <c r="B693" s="7">
        <v>22</v>
      </c>
      <c r="C693" s="7">
        <v>0</v>
      </c>
      <c r="D693" s="7">
        <v>0</v>
      </c>
      <c r="E693" s="7">
        <v>0</v>
      </c>
      <c r="F693" s="8" t="s">
        <v>35</v>
      </c>
      <c r="G693" s="8" t="s">
        <v>35</v>
      </c>
      <c r="H693" t="str">
        <f t="shared" si="10"/>
        <v>YES</v>
      </c>
    </row>
    <row r="694" spans="1:8" x14ac:dyDescent="0.2">
      <c r="A694" s="6" t="s">
        <v>708</v>
      </c>
      <c r="B694" s="7">
        <v>22</v>
      </c>
      <c r="C694" s="7">
        <v>0</v>
      </c>
      <c r="D694" s="7">
        <v>0</v>
      </c>
      <c r="E694" s="7">
        <v>0</v>
      </c>
      <c r="F694" s="8" t="s">
        <v>35</v>
      </c>
      <c r="G694" s="8" t="s">
        <v>35</v>
      </c>
      <c r="H694" t="str">
        <f t="shared" si="10"/>
        <v>YES</v>
      </c>
    </row>
    <row r="695" spans="1:8" x14ac:dyDescent="0.2">
      <c r="A695" s="6" t="s">
        <v>709</v>
      </c>
      <c r="B695" s="7">
        <v>22</v>
      </c>
      <c r="C695" s="7">
        <v>0</v>
      </c>
      <c r="D695" s="7">
        <v>0</v>
      </c>
      <c r="E695" s="7">
        <v>0</v>
      </c>
      <c r="F695" s="8" t="s">
        <v>35</v>
      </c>
      <c r="G695" s="8" t="s">
        <v>35</v>
      </c>
      <c r="H695" t="str">
        <f t="shared" si="10"/>
        <v>YES</v>
      </c>
    </row>
    <row r="696" spans="1:8" x14ac:dyDescent="0.2">
      <c r="A696" s="6" t="s">
        <v>710</v>
      </c>
      <c r="B696" s="7">
        <v>22</v>
      </c>
      <c r="C696" s="7">
        <v>0</v>
      </c>
      <c r="D696" s="7">
        <v>0</v>
      </c>
      <c r="E696" s="7">
        <v>0</v>
      </c>
      <c r="F696" s="8" t="s">
        <v>35</v>
      </c>
      <c r="G696" s="8" t="s">
        <v>35</v>
      </c>
      <c r="H696" t="str">
        <f t="shared" si="10"/>
        <v>YES</v>
      </c>
    </row>
    <row r="697" spans="1:8" x14ac:dyDescent="0.2">
      <c r="A697" s="6" t="s">
        <v>711</v>
      </c>
      <c r="B697" s="7">
        <v>22</v>
      </c>
      <c r="C697" s="7">
        <v>0</v>
      </c>
      <c r="D697" s="7">
        <v>0</v>
      </c>
      <c r="E697" s="7">
        <v>0</v>
      </c>
      <c r="F697" s="8" t="s">
        <v>35</v>
      </c>
      <c r="G697" s="8" t="s">
        <v>35</v>
      </c>
      <c r="H697" t="str">
        <f t="shared" si="10"/>
        <v>YES</v>
      </c>
    </row>
    <row r="698" spans="1:8" x14ac:dyDescent="0.2">
      <c r="A698" s="6" t="s">
        <v>712</v>
      </c>
      <c r="B698" s="7">
        <v>47</v>
      </c>
      <c r="C698" s="7">
        <v>0</v>
      </c>
      <c r="D698" s="7">
        <v>0</v>
      </c>
      <c r="E698" s="7">
        <v>0</v>
      </c>
      <c r="F698" s="8" t="s">
        <v>35</v>
      </c>
      <c r="G698" s="8" t="s">
        <v>35</v>
      </c>
      <c r="H698" t="str">
        <f t="shared" si="10"/>
        <v>YES</v>
      </c>
    </row>
    <row r="699" spans="1:8" x14ac:dyDescent="0.2">
      <c r="A699" s="6" t="s">
        <v>713</v>
      </c>
      <c r="B699" s="7">
        <v>47</v>
      </c>
      <c r="C699" s="7">
        <v>0</v>
      </c>
      <c r="D699" s="7">
        <v>0</v>
      </c>
      <c r="E699" s="7">
        <v>0</v>
      </c>
      <c r="F699" s="8" t="s">
        <v>35</v>
      </c>
      <c r="G699" s="8" t="s">
        <v>35</v>
      </c>
      <c r="H699" t="str">
        <f t="shared" si="10"/>
        <v>YES</v>
      </c>
    </row>
    <row r="700" spans="1:8" x14ac:dyDescent="0.2">
      <c r="A700" s="6" t="s">
        <v>714</v>
      </c>
      <c r="B700" s="7">
        <v>47</v>
      </c>
      <c r="C700" s="7">
        <v>0</v>
      </c>
      <c r="D700" s="7">
        <v>0</v>
      </c>
      <c r="E700" s="7">
        <v>0</v>
      </c>
      <c r="F700" s="8" t="s">
        <v>35</v>
      </c>
      <c r="G700" s="8" t="s">
        <v>35</v>
      </c>
      <c r="H700" t="str">
        <f t="shared" si="10"/>
        <v>YES</v>
      </c>
    </row>
    <row r="701" spans="1:8" x14ac:dyDescent="0.2">
      <c r="A701" s="6" t="s">
        <v>715</v>
      </c>
      <c r="B701" s="7">
        <v>47</v>
      </c>
      <c r="C701" s="7">
        <v>0</v>
      </c>
      <c r="D701" s="7">
        <v>0</v>
      </c>
      <c r="E701" s="7">
        <v>0</v>
      </c>
      <c r="F701" s="8" t="s">
        <v>35</v>
      </c>
      <c r="G701" s="8" t="s">
        <v>35</v>
      </c>
      <c r="H701" t="str">
        <f t="shared" si="10"/>
        <v>YES</v>
      </c>
    </row>
    <row r="702" spans="1:8" x14ac:dyDescent="0.2">
      <c r="A702" s="6" t="s">
        <v>716</v>
      </c>
      <c r="B702" s="7">
        <v>47</v>
      </c>
      <c r="C702" s="7">
        <v>0</v>
      </c>
      <c r="D702" s="7">
        <v>0</v>
      </c>
      <c r="E702" s="7">
        <v>0</v>
      </c>
      <c r="F702" s="8" t="s">
        <v>35</v>
      </c>
      <c r="G702" s="8" t="s">
        <v>35</v>
      </c>
      <c r="H702" t="str">
        <f t="shared" si="10"/>
        <v>YES</v>
      </c>
    </row>
    <row r="703" spans="1:8" x14ac:dyDescent="0.2">
      <c r="A703" s="6" t="s">
        <v>717</v>
      </c>
      <c r="B703" s="7">
        <v>47</v>
      </c>
      <c r="C703" s="7">
        <v>0</v>
      </c>
      <c r="D703" s="7">
        <v>0</v>
      </c>
      <c r="E703" s="7">
        <v>0</v>
      </c>
      <c r="F703" s="8" t="s">
        <v>35</v>
      </c>
      <c r="G703" s="8" t="s">
        <v>35</v>
      </c>
      <c r="H703" t="str">
        <f t="shared" si="10"/>
        <v>YES</v>
      </c>
    </row>
    <row r="704" spans="1:8" x14ac:dyDescent="0.2">
      <c r="A704" s="6" t="s">
        <v>718</v>
      </c>
      <c r="B704" s="7">
        <v>47</v>
      </c>
      <c r="C704" s="7">
        <v>0</v>
      </c>
      <c r="D704" s="7">
        <v>0</v>
      </c>
      <c r="E704" s="7">
        <v>0</v>
      </c>
      <c r="F704" s="8" t="s">
        <v>35</v>
      </c>
      <c r="G704" s="8" t="s">
        <v>35</v>
      </c>
      <c r="H704" t="str">
        <f t="shared" si="10"/>
        <v>YES</v>
      </c>
    </row>
    <row r="705" spans="1:8" x14ac:dyDescent="0.2">
      <c r="A705" s="6" t="s">
        <v>719</v>
      </c>
      <c r="B705" s="7">
        <v>47</v>
      </c>
      <c r="C705" s="7">
        <v>0</v>
      </c>
      <c r="D705" s="7">
        <v>0</v>
      </c>
      <c r="E705" s="7">
        <v>0</v>
      </c>
      <c r="F705" s="8" t="s">
        <v>35</v>
      </c>
      <c r="G705" s="8" t="s">
        <v>35</v>
      </c>
      <c r="H705" t="str">
        <f t="shared" si="10"/>
        <v>YES</v>
      </c>
    </row>
    <row r="706" spans="1:8" x14ac:dyDescent="0.2">
      <c r="A706" s="6" t="s">
        <v>720</v>
      </c>
      <c r="B706" s="7">
        <v>47</v>
      </c>
      <c r="C706" s="7">
        <v>0</v>
      </c>
      <c r="D706" s="7">
        <v>0</v>
      </c>
      <c r="E706" s="7">
        <v>0</v>
      </c>
      <c r="F706" s="8" t="s">
        <v>35</v>
      </c>
      <c r="G706" s="8" t="s">
        <v>35</v>
      </c>
      <c r="H706" t="str">
        <f t="shared" si="10"/>
        <v>YES</v>
      </c>
    </row>
    <row r="707" spans="1:8" x14ac:dyDescent="0.2">
      <c r="A707" s="6" t="s">
        <v>721</v>
      </c>
      <c r="B707" s="7">
        <v>47</v>
      </c>
      <c r="C707" s="7">
        <v>0</v>
      </c>
      <c r="D707" s="7">
        <v>0</v>
      </c>
      <c r="E707" s="7">
        <v>0</v>
      </c>
      <c r="F707" s="8" t="s">
        <v>35</v>
      </c>
      <c r="G707" s="8" t="s">
        <v>35</v>
      </c>
      <c r="H707" t="str">
        <f t="shared" si="10"/>
        <v>YES</v>
      </c>
    </row>
    <row r="708" spans="1:8" x14ac:dyDescent="0.2">
      <c r="A708" s="6" t="s">
        <v>722</v>
      </c>
      <c r="B708" s="7">
        <v>47</v>
      </c>
      <c r="C708" s="7">
        <v>0</v>
      </c>
      <c r="D708" s="7">
        <v>0</v>
      </c>
      <c r="E708" s="7">
        <v>0</v>
      </c>
      <c r="F708" s="8" t="s">
        <v>35</v>
      </c>
      <c r="G708" s="8" t="s">
        <v>35</v>
      </c>
      <c r="H708" t="str">
        <f t="shared" si="10"/>
        <v>YES</v>
      </c>
    </row>
    <row r="709" spans="1:8" x14ac:dyDescent="0.2">
      <c r="A709" s="6" t="s">
        <v>723</v>
      </c>
      <c r="B709" s="7">
        <v>44</v>
      </c>
      <c r="C709" s="7">
        <v>0</v>
      </c>
      <c r="D709" s="7">
        <v>0</v>
      </c>
      <c r="E709" s="7">
        <v>0</v>
      </c>
      <c r="F709" s="8" t="s">
        <v>35</v>
      </c>
      <c r="G709" s="8" t="s">
        <v>35</v>
      </c>
      <c r="H709" t="str">
        <f t="shared" ref="H709:H772" si="11">IF(F709=G709,"YES","NO")</f>
        <v>YES</v>
      </c>
    </row>
    <row r="710" spans="1:8" x14ac:dyDescent="0.2">
      <c r="A710" s="6" t="s">
        <v>724</v>
      </c>
      <c r="B710" s="7">
        <v>44</v>
      </c>
      <c r="C710" s="7">
        <v>0</v>
      </c>
      <c r="D710" s="7">
        <v>0</v>
      </c>
      <c r="E710" s="7">
        <v>0</v>
      </c>
      <c r="F710" s="8" t="s">
        <v>35</v>
      </c>
      <c r="G710" s="8" t="s">
        <v>35</v>
      </c>
      <c r="H710" t="str">
        <f t="shared" si="11"/>
        <v>YES</v>
      </c>
    </row>
    <row r="711" spans="1:8" x14ac:dyDescent="0.2">
      <c r="A711" s="6" t="s">
        <v>725</v>
      </c>
      <c r="B711" s="7">
        <v>44</v>
      </c>
      <c r="C711" s="7">
        <v>0</v>
      </c>
      <c r="D711" s="7">
        <v>0</v>
      </c>
      <c r="E711" s="7">
        <v>0</v>
      </c>
      <c r="F711" s="8" t="s">
        <v>35</v>
      </c>
      <c r="G711" s="8" t="s">
        <v>35</v>
      </c>
      <c r="H711" t="str">
        <f t="shared" si="11"/>
        <v>YES</v>
      </c>
    </row>
    <row r="712" spans="1:8" x14ac:dyDescent="0.2">
      <c r="A712" s="6" t="s">
        <v>726</v>
      </c>
      <c r="B712" s="7">
        <v>44</v>
      </c>
      <c r="C712" s="7">
        <v>0</v>
      </c>
      <c r="D712" s="7">
        <v>0</v>
      </c>
      <c r="E712" s="7">
        <v>0</v>
      </c>
      <c r="F712" s="8" t="s">
        <v>35</v>
      </c>
      <c r="G712" s="8" t="s">
        <v>35</v>
      </c>
      <c r="H712" t="str">
        <f t="shared" si="11"/>
        <v>YES</v>
      </c>
    </row>
    <row r="713" spans="1:8" x14ac:dyDescent="0.2">
      <c r="A713" s="6" t="s">
        <v>727</v>
      </c>
      <c r="B713" s="7">
        <v>108</v>
      </c>
      <c r="C713" s="7">
        <v>0</v>
      </c>
      <c r="D713" s="7">
        <v>0</v>
      </c>
      <c r="E713" s="7">
        <v>0</v>
      </c>
      <c r="F713" s="8" t="s">
        <v>35</v>
      </c>
      <c r="G713" s="8" t="s">
        <v>35</v>
      </c>
      <c r="H713" t="str">
        <f t="shared" si="11"/>
        <v>YES</v>
      </c>
    </row>
    <row r="714" spans="1:8" x14ac:dyDescent="0.2">
      <c r="A714" s="6" t="s">
        <v>728</v>
      </c>
      <c r="B714" s="7">
        <v>88</v>
      </c>
      <c r="C714" s="7">
        <v>0</v>
      </c>
      <c r="D714" s="7">
        <v>0</v>
      </c>
      <c r="E714" s="7">
        <v>0</v>
      </c>
      <c r="F714" s="8" t="s">
        <v>35</v>
      </c>
      <c r="G714" s="8" t="s">
        <v>35</v>
      </c>
      <c r="H714" t="str">
        <f t="shared" si="11"/>
        <v>YES</v>
      </c>
    </row>
    <row r="715" spans="1:8" x14ac:dyDescent="0.2">
      <c r="A715" s="6" t="s">
        <v>729</v>
      </c>
      <c r="B715" s="7">
        <v>88</v>
      </c>
      <c r="C715" s="7">
        <v>0</v>
      </c>
      <c r="D715" s="7">
        <v>0</v>
      </c>
      <c r="E715" s="7">
        <v>0</v>
      </c>
      <c r="F715" s="8" t="s">
        <v>35</v>
      </c>
      <c r="G715" s="8" t="s">
        <v>35</v>
      </c>
      <c r="H715" t="str">
        <f t="shared" si="11"/>
        <v>YES</v>
      </c>
    </row>
    <row r="716" spans="1:8" x14ac:dyDescent="0.2">
      <c r="A716" s="6" t="s">
        <v>730</v>
      </c>
      <c r="B716" s="7">
        <v>83</v>
      </c>
      <c r="C716" s="7">
        <v>0</v>
      </c>
      <c r="D716" s="7">
        <v>0</v>
      </c>
      <c r="E716" s="7">
        <v>0</v>
      </c>
      <c r="F716" s="8" t="s">
        <v>35</v>
      </c>
      <c r="G716" s="8" t="s">
        <v>35</v>
      </c>
      <c r="H716" t="str">
        <f t="shared" si="11"/>
        <v>YES</v>
      </c>
    </row>
    <row r="717" spans="1:8" x14ac:dyDescent="0.2">
      <c r="A717" s="6" t="s">
        <v>731</v>
      </c>
      <c r="B717" s="7">
        <v>83</v>
      </c>
      <c r="C717" s="7">
        <v>0</v>
      </c>
      <c r="D717" s="7">
        <v>0</v>
      </c>
      <c r="E717" s="7">
        <v>0</v>
      </c>
      <c r="F717" s="8" t="s">
        <v>35</v>
      </c>
      <c r="G717" s="8" t="s">
        <v>35</v>
      </c>
      <c r="H717" t="str">
        <f t="shared" si="11"/>
        <v>YES</v>
      </c>
    </row>
    <row r="718" spans="1:8" x14ac:dyDescent="0.2">
      <c r="A718" s="6" t="s">
        <v>732</v>
      </c>
      <c r="B718" s="7">
        <v>83</v>
      </c>
      <c r="C718" s="7">
        <v>0</v>
      </c>
      <c r="D718" s="7">
        <v>0</v>
      </c>
      <c r="E718" s="7">
        <v>0</v>
      </c>
      <c r="F718" s="8" t="s">
        <v>35</v>
      </c>
      <c r="G718" s="8" t="s">
        <v>35</v>
      </c>
      <c r="H718" t="str">
        <f t="shared" si="11"/>
        <v>YES</v>
      </c>
    </row>
    <row r="719" spans="1:8" x14ac:dyDescent="0.2">
      <c r="A719" s="6" t="s">
        <v>733</v>
      </c>
      <c r="B719" s="7">
        <v>216</v>
      </c>
      <c r="C719" s="7">
        <v>0</v>
      </c>
      <c r="D719" s="7">
        <v>0</v>
      </c>
      <c r="E719" s="7">
        <v>0</v>
      </c>
      <c r="F719" s="8" t="s">
        <v>35</v>
      </c>
      <c r="G719" s="8" t="s">
        <v>35</v>
      </c>
      <c r="H719" t="str">
        <f t="shared" si="11"/>
        <v>YES</v>
      </c>
    </row>
    <row r="720" spans="1:8" x14ac:dyDescent="0.2">
      <c r="A720" s="6" t="s">
        <v>734</v>
      </c>
      <c r="B720" s="7">
        <v>188</v>
      </c>
      <c r="C720" s="7">
        <v>0</v>
      </c>
      <c r="D720" s="7">
        <v>0</v>
      </c>
      <c r="E720" s="7">
        <v>0</v>
      </c>
      <c r="F720" s="8" t="s">
        <v>35</v>
      </c>
      <c r="G720" s="8" t="s">
        <v>35</v>
      </c>
      <c r="H720" t="str">
        <f t="shared" si="11"/>
        <v>YES</v>
      </c>
    </row>
    <row r="721" spans="1:8" x14ac:dyDescent="0.2">
      <c r="A721" s="6" t="s">
        <v>735</v>
      </c>
      <c r="B721" s="7">
        <v>135</v>
      </c>
      <c r="C721" s="7">
        <v>0</v>
      </c>
      <c r="D721" s="7">
        <v>0</v>
      </c>
      <c r="E721" s="7">
        <v>0</v>
      </c>
      <c r="F721" s="8" t="s">
        <v>35</v>
      </c>
      <c r="G721" s="8" t="s">
        <v>35</v>
      </c>
      <c r="H721" t="str">
        <f t="shared" si="11"/>
        <v>YES</v>
      </c>
    </row>
    <row r="722" spans="1:8" x14ac:dyDescent="0.2">
      <c r="A722" s="6" t="s">
        <v>736</v>
      </c>
      <c r="B722" s="7">
        <v>135</v>
      </c>
      <c r="C722" s="7">
        <v>0</v>
      </c>
      <c r="D722" s="7">
        <v>0</v>
      </c>
      <c r="E722" s="7">
        <v>0</v>
      </c>
      <c r="F722" s="8" t="s">
        <v>35</v>
      </c>
      <c r="G722" s="8" t="s">
        <v>35</v>
      </c>
      <c r="H722" t="str">
        <f t="shared" si="11"/>
        <v>YES</v>
      </c>
    </row>
    <row r="723" spans="1:8" x14ac:dyDescent="0.2">
      <c r="A723" s="6" t="s">
        <v>737</v>
      </c>
      <c r="B723" s="7">
        <v>135</v>
      </c>
      <c r="C723" s="7">
        <v>0</v>
      </c>
      <c r="D723" s="7">
        <v>0</v>
      </c>
      <c r="E723" s="7">
        <v>0</v>
      </c>
      <c r="F723" s="8" t="s">
        <v>35</v>
      </c>
      <c r="G723" s="8" t="s">
        <v>35</v>
      </c>
      <c r="H723" t="str">
        <f t="shared" si="11"/>
        <v>YES</v>
      </c>
    </row>
    <row r="724" spans="1:8" x14ac:dyDescent="0.2">
      <c r="A724" s="6" t="s">
        <v>738</v>
      </c>
      <c r="B724" s="7">
        <v>311</v>
      </c>
      <c r="C724" s="7">
        <v>0</v>
      </c>
      <c r="D724" s="7">
        <v>0</v>
      </c>
      <c r="E724" s="7">
        <v>0</v>
      </c>
      <c r="F724" s="8" t="s">
        <v>35</v>
      </c>
      <c r="G724" s="8" t="s">
        <v>35</v>
      </c>
      <c r="H724" t="str">
        <f t="shared" si="11"/>
        <v>YES</v>
      </c>
    </row>
    <row r="725" spans="1:8" x14ac:dyDescent="0.2">
      <c r="A725" s="6" t="s">
        <v>739</v>
      </c>
      <c r="B725" s="7">
        <v>265</v>
      </c>
      <c r="C725" s="7">
        <v>0</v>
      </c>
      <c r="D725" s="7">
        <v>0</v>
      </c>
      <c r="E725" s="7">
        <v>0</v>
      </c>
      <c r="F725" s="8" t="s">
        <v>35</v>
      </c>
      <c r="G725" s="8" t="s">
        <v>35</v>
      </c>
      <c r="H725" t="str">
        <f t="shared" si="11"/>
        <v>YES</v>
      </c>
    </row>
    <row r="726" spans="1:8" x14ac:dyDescent="0.2">
      <c r="A726" s="6" t="s">
        <v>740</v>
      </c>
      <c r="B726" s="7">
        <v>1</v>
      </c>
      <c r="C726" s="7">
        <v>0</v>
      </c>
      <c r="D726" s="7">
        <v>0</v>
      </c>
      <c r="E726" s="7">
        <v>0</v>
      </c>
      <c r="F726" s="8" t="s">
        <v>35</v>
      </c>
      <c r="G726" s="8" t="s">
        <v>35</v>
      </c>
      <c r="H726" t="str">
        <f t="shared" si="11"/>
        <v>YES</v>
      </c>
    </row>
    <row r="727" spans="1:8" x14ac:dyDescent="0.2">
      <c r="A727" s="6" t="s">
        <v>741</v>
      </c>
      <c r="B727" s="7">
        <v>1</v>
      </c>
      <c r="C727" s="7">
        <v>0</v>
      </c>
      <c r="D727" s="7">
        <v>0</v>
      </c>
      <c r="E727" s="7">
        <v>0</v>
      </c>
      <c r="F727" s="8" t="s">
        <v>35</v>
      </c>
      <c r="G727" s="8" t="s">
        <v>35</v>
      </c>
      <c r="H727" t="str">
        <f t="shared" si="11"/>
        <v>YES</v>
      </c>
    </row>
    <row r="728" spans="1:8" x14ac:dyDescent="0.2">
      <c r="A728" s="6" t="s">
        <v>742</v>
      </c>
      <c r="B728" s="7">
        <v>1</v>
      </c>
      <c r="C728" s="7">
        <v>0</v>
      </c>
      <c r="D728" s="7">
        <v>0</v>
      </c>
      <c r="E728" s="7">
        <v>0</v>
      </c>
      <c r="F728" s="8" t="s">
        <v>35</v>
      </c>
      <c r="G728" s="8" t="s">
        <v>35</v>
      </c>
      <c r="H728" t="str">
        <f t="shared" si="11"/>
        <v>YES</v>
      </c>
    </row>
    <row r="729" spans="1:8" x14ac:dyDescent="0.2">
      <c r="A729" s="6" t="s">
        <v>743</v>
      </c>
      <c r="B729" s="7">
        <v>1</v>
      </c>
      <c r="C729" s="7">
        <v>0</v>
      </c>
      <c r="D729" s="7">
        <v>0</v>
      </c>
      <c r="E729" s="7">
        <v>0</v>
      </c>
      <c r="F729" s="8" t="s">
        <v>35</v>
      </c>
      <c r="G729" s="8" t="s">
        <v>35</v>
      </c>
      <c r="H729" t="str">
        <f t="shared" si="11"/>
        <v>YES</v>
      </c>
    </row>
    <row r="730" spans="1:8" x14ac:dyDescent="0.2">
      <c r="A730" s="6" t="s">
        <v>744</v>
      </c>
      <c r="B730" s="7">
        <v>1</v>
      </c>
      <c r="C730" s="7">
        <v>0</v>
      </c>
      <c r="D730" s="7">
        <v>0</v>
      </c>
      <c r="E730" s="7">
        <v>0</v>
      </c>
      <c r="F730" s="8" t="s">
        <v>35</v>
      </c>
      <c r="G730" s="8" t="s">
        <v>35</v>
      </c>
      <c r="H730" t="str">
        <f t="shared" si="11"/>
        <v>YES</v>
      </c>
    </row>
    <row r="731" spans="1:8" x14ac:dyDescent="0.2">
      <c r="A731" s="6" t="s">
        <v>745</v>
      </c>
      <c r="B731" s="7">
        <v>1</v>
      </c>
      <c r="C731" s="7">
        <v>0</v>
      </c>
      <c r="D731" s="7">
        <v>0</v>
      </c>
      <c r="E731" s="7">
        <v>0</v>
      </c>
      <c r="F731" s="8" t="s">
        <v>35</v>
      </c>
      <c r="G731" s="8" t="s">
        <v>35</v>
      </c>
      <c r="H731" t="str">
        <f t="shared" si="11"/>
        <v>YES</v>
      </c>
    </row>
    <row r="732" spans="1:8" x14ac:dyDescent="0.2">
      <c r="A732" s="6" t="s">
        <v>746</v>
      </c>
      <c r="B732" s="7">
        <v>1</v>
      </c>
      <c r="C732" s="7">
        <v>0</v>
      </c>
      <c r="D732" s="7">
        <v>0</v>
      </c>
      <c r="E732" s="7">
        <v>0</v>
      </c>
      <c r="F732" s="8" t="s">
        <v>35</v>
      </c>
      <c r="G732" s="8" t="s">
        <v>35</v>
      </c>
      <c r="H732" t="str">
        <f t="shared" si="11"/>
        <v>YES</v>
      </c>
    </row>
    <row r="733" spans="1:8" x14ac:dyDescent="0.2">
      <c r="A733" s="6" t="s">
        <v>747</v>
      </c>
      <c r="B733" s="7">
        <v>1</v>
      </c>
      <c r="C733" s="7">
        <v>0</v>
      </c>
      <c r="D733" s="7">
        <v>0</v>
      </c>
      <c r="E733" s="7">
        <v>0</v>
      </c>
      <c r="F733" s="8" t="s">
        <v>35</v>
      </c>
      <c r="G733" s="8" t="s">
        <v>35</v>
      </c>
      <c r="H733" t="str">
        <f t="shared" si="11"/>
        <v>YES</v>
      </c>
    </row>
    <row r="734" spans="1:8" x14ac:dyDescent="0.2">
      <c r="A734" s="6" t="s">
        <v>748</v>
      </c>
      <c r="B734" s="7">
        <v>1</v>
      </c>
      <c r="C734" s="7">
        <v>0</v>
      </c>
      <c r="D734" s="7">
        <v>0</v>
      </c>
      <c r="E734" s="7">
        <v>0</v>
      </c>
      <c r="F734" s="8" t="s">
        <v>35</v>
      </c>
      <c r="G734" s="8" t="s">
        <v>35</v>
      </c>
      <c r="H734" t="str">
        <f t="shared" si="11"/>
        <v>YES</v>
      </c>
    </row>
    <row r="735" spans="1:8" x14ac:dyDescent="0.2">
      <c r="A735" s="6" t="s">
        <v>749</v>
      </c>
      <c r="B735" s="7">
        <v>1</v>
      </c>
      <c r="C735" s="7">
        <v>0</v>
      </c>
      <c r="D735" s="7">
        <v>0</v>
      </c>
      <c r="E735" s="7">
        <v>0</v>
      </c>
      <c r="F735" s="8" t="s">
        <v>35</v>
      </c>
      <c r="G735" s="8" t="s">
        <v>35</v>
      </c>
      <c r="H735" t="str">
        <f t="shared" si="11"/>
        <v>YES</v>
      </c>
    </row>
    <row r="736" spans="1:8" x14ac:dyDescent="0.2">
      <c r="A736" s="6" t="s">
        <v>750</v>
      </c>
      <c r="B736" s="7">
        <v>1</v>
      </c>
      <c r="C736" s="7">
        <v>0</v>
      </c>
      <c r="D736" s="7">
        <v>0</v>
      </c>
      <c r="E736" s="7">
        <v>0</v>
      </c>
      <c r="F736" s="8" t="s">
        <v>35</v>
      </c>
      <c r="G736" s="8" t="s">
        <v>35</v>
      </c>
      <c r="H736" t="str">
        <f t="shared" si="11"/>
        <v>YES</v>
      </c>
    </row>
    <row r="737" spans="1:8" x14ac:dyDescent="0.2">
      <c r="A737" s="6" t="s">
        <v>751</v>
      </c>
      <c r="B737" s="7">
        <v>1</v>
      </c>
      <c r="C737" s="7">
        <v>0</v>
      </c>
      <c r="D737" s="7">
        <v>0</v>
      </c>
      <c r="E737" s="7">
        <v>0</v>
      </c>
      <c r="F737" s="8" t="s">
        <v>35</v>
      </c>
      <c r="G737" s="8" t="s">
        <v>35</v>
      </c>
      <c r="H737" t="str">
        <f t="shared" si="11"/>
        <v>YES</v>
      </c>
    </row>
    <row r="738" spans="1:8" x14ac:dyDescent="0.2">
      <c r="A738" s="6" t="s">
        <v>752</v>
      </c>
      <c r="B738" s="7">
        <v>1</v>
      </c>
      <c r="C738" s="7">
        <v>0</v>
      </c>
      <c r="D738" s="7">
        <v>0</v>
      </c>
      <c r="E738" s="7">
        <v>0</v>
      </c>
      <c r="F738" s="8" t="s">
        <v>35</v>
      </c>
      <c r="G738" s="8" t="s">
        <v>35</v>
      </c>
      <c r="H738" t="str">
        <f t="shared" si="11"/>
        <v>YES</v>
      </c>
    </row>
    <row r="739" spans="1:8" x14ac:dyDescent="0.2">
      <c r="A739" s="6" t="s">
        <v>753</v>
      </c>
      <c r="B739" s="7">
        <v>1</v>
      </c>
      <c r="C739" s="7">
        <v>0</v>
      </c>
      <c r="D739" s="7">
        <v>0</v>
      </c>
      <c r="E739" s="7">
        <v>0</v>
      </c>
      <c r="F739" s="8" t="s">
        <v>35</v>
      </c>
      <c r="G739" s="8" t="s">
        <v>35</v>
      </c>
      <c r="H739" t="str">
        <f t="shared" si="11"/>
        <v>YES</v>
      </c>
    </row>
    <row r="740" spans="1:8" x14ac:dyDescent="0.2">
      <c r="A740" s="6" t="s">
        <v>754</v>
      </c>
      <c r="B740" s="7">
        <v>1</v>
      </c>
      <c r="C740" s="7">
        <v>0</v>
      </c>
      <c r="D740" s="7">
        <v>0</v>
      </c>
      <c r="E740" s="7">
        <v>0</v>
      </c>
      <c r="F740" s="8" t="s">
        <v>35</v>
      </c>
      <c r="G740" s="8" t="s">
        <v>35</v>
      </c>
      <c r="H740" t="str">
        <f t="shared" si="11"/>
        <v>YES</v>
      </c>
    </row>
    <row r="741" spans="1:8" x14ac:dyDescent="0.2">
      <c r="A741" s="6" t="s">
        <v>755</v>
      </c>
      <c r="B741" s="7">
        <v>1</v>
      </c>
      <c r="C741" s="7">
        <v>0</v>
      </c>
      <c r="D741" s="7">
        <v>0</v>
      </c>
      <c r="E741" s="7">
        <v>0</v>
      </c>
      <c r="F741" s="8" t="s">
        <v>35</v>
      </c>
      <c r="G741" s="8" t="s">
        <v>35</v>
      </c>
      <c r="H741" t="str">
        <f t="shared" si="11"/>
        <v>YES</v>
      </c>
    </row>
    <row r="742" spans="1:8" x14ac:dyDescent="0.2">
      <c r="A742" s="6" t="s">
        <v>756</v>
      </c>
      <c r="B742" s="7">
        <v>1</v>
      </c>
      <c r="C742" s="7">
        <v>0</v>
      </c>
      <c r="D742" s="7">
        <v>0</v>
      </c>
      <c r="E742" s="7">
        <v>0</v>
      </c>
      <c r="F742" s="8" t="s">
        <v>35</v>
      </c>
      <c r="G742" s="8" t="s">
        <v>35</v>
      </c>
      <c r="H742" t="str">
        <f t="shared" si="11"/>
        <v>YES</v>
      </c>
    </row>
    <row r="743" spans="1:8" x14ac:dyDescent="0.2">
      <c r="A743" s="6" t="s">
        <v>757</v>
      </c>
      <c r="B743" s="7">
        <v>1</v>
      </c>
      <c r="C743" s="7">
        <v>0</v>
      </c>
      <c r="D743" s="7">
        <v>0</v>
      </c>
      <c r="E743" s="7">
        <v>0</v>
      </c>
      <c r="F743" s="8" t="s">
        <v>35</v>
      </c>
      <c r="G743" s="8" t="s">
        <v>35</v>
      </c>
      <c r="H743" t="str">
        <f t="shared" si="11"/>
        <v>YES</v>
      </c>
    </row>
    <row r="744" spans="1:8" x14ac:dyDescent="0.2">
      <c r="A744" s="6" t="s">
        <v>758</v>
      </c>
      <c r="B744" s="7">
        <v>1</v>
      </c>
      <c r="C744" s="7">
        <v>0</v>
      </c>
      <c r="D744" s="7">
        <v>0</v>
      </c>
      <c r="E744" s="7">
        <v>0</v>
      </c>
      <c r="F744" s="8" t="s">
        <v>35</v>
      </c>
      <c r="G744" s="8" t="s">
        <v>35</v>
      </c>
      <c r="H744" t="str">
        <f t="shared" si="11"/>
        <v>YES</v>
      </c>
    </row>
    <row r="745" spans="1:8" x14ac:dyDescent="0.2">
      <c r="A745" s="6" t="s">
        <v>759</v>
      </c>
      <c r="B745" s="7">
        <v>1</v>
      </c>
      <c r="C745" s="7">
        <v>0</v>
      </c>
      <c r="D745" s="7">
        <v>0</v>
      </c>
      <c r="E745" s="7">
        <v>0</v>
      </c>
      <c r="F745" s="8" t="s">
        <v>35</v>
      </c>
      <c r="G745" s="8" t="s">
        <v>35</v>
      </c>
      <c r="H745" t="str">
        <f t="shared" si="11"/>
        <v>YES</v>
      </c>
    </row>
    <row r="746" spans="1:8" x14ac:dyDescent="0.2">
      <c r="A746" s="6" t="s">
        <v>760</v>
      </c>
      <c r="B746" s="7">
        <v>1</v>
      </c>
      <c r="C746" s="7">
        <v>0</v>
      </c>
      <c r="D746" s="7">
        <v>0</v>
      </c>
      <c r="E746" s="7">
        <v>0</v>
      </c>
      <c r="F746" s="8" t="s">
        <v>35</v>
      </c>
      <c r="G746" s="8" t="s">
        <v>35</v>
      </c>
      <c r="H746" t="str">
        <f t="shared" si="11"/>
        <v>YES</v>
      </c>
    </row>
    <row r="747" spans="1:8" x14ac:dyDescent="0.2">
      <c r="A747" s="6" t="s">
        <v>761</v>
      </c>
      <c r="B747" s="7">
        <v>1</v>
      </c>
      <c r="C747" s="7">
        <v>0</v>
      </c>
      <c r="D747" s="7">
        <v>0</v>
      </c>
      <c r="E747" s="7">
        <v>0</v>
      </c>
      <c r="F747" s="8" t="s">
        <v>35</v>
      </c>
      <c r="G747" s="8" t="s">
        <v>35</v>
      </c>
      <c r="H747" t="str">
        <f t="shared" si="11"/>
        <v>YES</v>
      </c>
    </row>
    <row r="748" spans="1:8" x14ac:dyDescent="0.2">
      <c r="A748" s="6" t="s">
        <v>762</v>
      </c>
      <c r="B748" s="7">
        <v>1</v>
      </c>
      <c r="C748" s="7">
        <v>0</v>
      </c>
      <c r="D748" s="7">
        <v>0</v>
      </c>
      <c r="E748" s="7">
        <v>0</v>
      </c>
      <c r="F748" s="8" t="s">
        <v>35</v>
      </c>
      <c r="G748" s="8" t="s">
        <v>35</v>
      </c>
      <c r="H748" t="str">
        <f t="shared" si="11"/>
        <v>YES</v>
      </c>
    </row>
    <row r="749" spans="1:8" x14ac:dyDescent="0.2">
      <c r="A749" s="6" t="s">
        <v>763</v>
      </c>
      <c r="B749" s="7">
        <v>1</v>
      </c>
      <c r="C749" s="7">
        <v>0</v>
      </c>
      <c r="D749" s="7">
        <v>0</v>
      </c>
      <c r="E749" s="7">
        <v>0</v>
      </c>
      <c r="F749" s="8" t="s">
        <v>35</v>
      </c>
      <c r="G749" s="8" t="s">
        <v>35</v>
      </c>
      <c r="H749" t="str">
        <f t="shared" si="11"/>
        <v>YES</v>
      </c>
    </row>
    <row r="750" spans="1:8" x14ac:dyDescent="0.2">
      <c r="A750" s="6" t="s">
        <v>764</v>
      </c>
      <c r="B750" s="7">
        <v>1</v>
      </c>
      <c r="C750" s="7">
        <v>0</v>
      </c>
      <c r="D750" s="7">
        <v>0</v>
      </c>
      <c r="E750" s="7">
        <v>0</v>
      </c>
      <c r="F750" s="8" t="s">
        <v>35</v>
      </c>
      <c r="G750" s="8" t="s">
        <v>35</v>
      </c>
      <c r="H750" t="str">
        <f t="shared" si="11"/>
        <v>YES</v>
      </c>
    </row>
    <row r="751" spans="1:8" x14ac:dyDescent="0.2">
      <c r="A751" s="6" t="s">
        <v>765</v>
      </c>
      <c r="B751" s="7">
        <v>1</v>
      </c>
      <c r="C751" s="7">
        <v>0</v>
      </c>
      <c r="D751" s="7">
        <v>0</v>
      </c>
      <c r="E751" s="7">
        <v>0</v>
      </c>
      <c r="F751" s="8" t="s">
        <v>35</v>
      </c>
      <c r="G751" s="8" t="s">
        <v>35</v>
      </c>
      <c r="H751" t="str">
        <f t="shared" si="11"/>
        <v>YES</v>
      </c>
    </row>
    <row r="752" spans="1:8" x14ac:dyDescent="0.2">
      <c r="A752" s="6" t="s">
        <v>766</v>
      </c>
      <c r="B752" s="7">
        <v>1</v>
      </c>
      <c r="C752" s="7">
        <v>0</v>
      </c>
      <c r="D752" s="7">
        <v>0</v>
      </c>
      <c r="E752" s="7">
        <v>0</v>
      </c>
      <c r="F752" s="8" t="s">
        <v>35</v>
      </c>
      <c r="G752" s="8" t="s">
        <v>35</v>
      </c>
      <c r="H752" t="str">
        <f t="shared" si="11"/>
        <v>YES</v>
      </c>
    </row>
    <row r="753" spans="1:8" x14ac:dyDescent="0.2">
      <c r="A753" s="6" t="s">
        <v>767</v>
      </c>
      <c r="B753" s="7">
        <v>1</v>
      </c>
      <c r="C753" s="7">
        <v>0</v>
      </c>
      <c r="D753" s="7">
        <v>0</v>
      </c>
      <c r="E753" s="7">
        <v>0</v>
      </c>
      <c r="F753" s="8" t="s">
        <v>35</v>
      </c>
      <c r="G753" s="8" t="s">
        <v>35</v>
      </c>
      <c r="H753" t="str">
        <f t="shared" si="11"/>
        <v>YES</v>
      </c>
    </row>
    <row r="754" spans="1:8" x14ac:dyDescent="0.2">
      <c r="A754" s="6" t="s">
        <v>768</v>
      </c>
      <c r="B754" s="7">
        <v>1</v>
      </c>
      <c r="C754" s="7">
        <v>0</v>
      </c>
      <c r="D754" s="7">
        <v>0</v>
      </c>
      <c r="E754" s="7">
        <v>0</v>
      </c>
      <c r="F754" s="8" t="s">
        <v>35</v>
      </c>
      <c r="G754" s="8" t="s">
        <v>35</v>
      </c>
      <c r="H754" t="str">
        <f t="shared" si="11"/>
        <v>YES</v>
      </c>
    </row>
    <row r="755" spans="1:8" x14ac:dyDescent="0.2">
      <c r="A755" s="6" t="s">
        <v>769</v>
      </c>
      <c r="B755" s="7">
        <v>1</v>
      </c>
      <c r="C755" s="7">
        <v>0</v>
      </c>
      <c r="D755" s="7">
        <v>0</v>
      </c>
      <c r="E755" s="7">
        <v>0</v>
      </c>
      <c r="F755" s="8" t="s">
        <v>35</v>
      </c>
      <c r="G755" s="8" t="s">
        <v>35</v>
      </c>
      <c r="H755" t="str">
        <f t="shared" si="11"/>
        <v>YES</v>
      </c>
    </row>
    <row r="756" spans="1:8" x14ac:dyDescent="0.2">
      <c r="A756" s="6" t="s">
        <v>770</v>
      </c>
      <c r="B756" s="7">
        <v>1</v>
      </c>
      <c r="C756" s="7">
        <v>0</v>
      </c>
      <c r="D756" s="7">
        <v>0</v>
      </c>
      <c r="E756" s="7">
        <v>0</v>
      </c>
      <c r="F756" s="8" t="s">
        <v>35</v>
      </c>
      <c r="G756" s="8" t="s">
        <v>35</v>
      </c>
      <c r="H756" t="str">
        <f t="shared" si="11"/>
        <v>YES</v>
      </c>
    </row>
    <row r="757" spans="1:8" x14ac:dyDescent="0.2">
      <c r="A757" s="6" t="s">
        <v>771</v>
      </c>
      <c r="B757" s="7">
        <v>1</v>
      </c>
      <c r="C757" s="7">
        <v>0</v>
      </c>
      <c r="D757" s="7">
        <v>0</v>
      </c>
      <c r="E757" s="7">
        <v>0</v>
      </c>
      <c r="F757" s="8" t="s">
        <v>35</v>
      </c>
      <c r="G757" s="8" t="s">
        <v>35</v>
      </c>
      <c r="H757" t="str">
        <f t="shared" si="11"/>
        <v>YES</v>
      </c>
    </row>
    <row r="758" spans="1:8" x14ac:dyDescent="0.2">
      <c r="A758" s="6" t="s">
        <v>772</v>
      </c>
      <c r="B758" s="7">
        <v>1</v>
      </c>
      <c r="C758" s="7">
        <v>0</v>
      </c>
      <c r="D758" s="7">
        <v>0</v>
      </c>
      <c r="E758" s="7">
        <v>0</v>
      </c>
      <c r="F758" s="8" t="s">
        <v>35</v>
      </c>
      <c r="G758" s="8" t="s">
        <v>35</v>
      </c>
      <c r="H758" t="str">
        <f t="shared" si="11"/>
        <v>YES</v>
      </c>
    </row>
    <row r="759" spans="1:8" x14ac:dyDescent="0.2">
      <c r="A759" s="6" t="s">
        <v>773</v>
      </c>
      <c r="B759" s="7">
        <v>1</v>
      </c>
      <c r="C759" s="7">
        <v>0</v>
      </c>
      <c r="D759" s="7">
        <v>0</v>
      </c>
      <c r="E759" s="7">
        <v>0</v>
      </c>
      <c r="F759" s="8" t="s">
        <v>35</v>
      </c>
      <c r="G759" s="8" t="s">
        <v>35</v>
      </c>
      <c r="H759" t="str">
        <f t="shared" si="11"/>
        <v>YES</v>
      </c>
    </row>
    <row r="760" spans="1:8" x14ac:dyDescent="0.2">
      <c r="A760" s="6" t="s">
        <v>774</v>
      </c>
      <c r="B760" s="7">
        <v>1</v>
      </c>
      <c r="C760" s="7">
        <v>0</v>
      </c>
      <c r="D760" s="7">
        <v>0</v>
      </c>
      <c r="E760" s="7">
        <v>0</v>
      </c>
      <c r="F760" s="8" t="s">
        <v>35</v>
      </c>
      <c r="G760" s="8" t="s">
        <v>35</v>
      </c>
      <c r="H760" t="str">
        <f t="shared" si="11"/>
        <v>YES</v>
      </c>
    </row>
    <row r="761" spans="1:8" x14ac:dyDescent="0.2">
      <c r="A761" s="6" t="s">
        <v>775</v>
      </c>
      <c r="B761" s="7">
        <v>1</v>
      </c>
      <c r="C761" s="7">
        <v>0</v>
      </c>
      <c r="D761" s="7">
        <v>0</v>
      </c>
      <c r="E761" s="7">
        <v>0</v>
      </c>
      <c r="F761" s="8" t="s">
        <v>35</v>
      </c>
      <c r="G761" s="8" t="s">
        <v>35</v>
      </c>
      <c r="H761" t="str">
        <f t="shared" si="11"/>
        <v>YES</v>
      </c>
    </row>
    <row r="762" spans="1:8" x14ac:dyDescent="0.2">
      <c r="A762" s="6" t="s">
        <v>776</v>
      </c>
      <c r="B762" s="7">
        <v>1</v>
      </c>
      <c r="C762" s="7">
        <v>0</v>
      </c>
      <c r="D762" s="7">
        <v>0</v>
      </c>
      <c r="E762" s="7">
        <v>0</v>
      </c>
      <c r="F762" s="8" t="s">
        <v>35</v>
      </c>
      <c r="G762" s="8" t="s">
        <v>35</v>
      </c>
      <c r="H762" t="str">
        <f t="shared" si="11"/>
        <v>YES</v>
      </c>
    </row>
    <row r="763" spans="1:8" x14ac:dyDescent="0.2">
      <c r="A763" s="6" t="s">
        <v>777</v>
      </c>
      <c r="B763" s="7">
        <v>1</v>
      </c>
      <c r="C763" s="7">
        <v>0</v>
      </c>
      <c r="D763" s="7">
        <v>0</v>
      </c>
      <c r="E763" s="7">
        <v>0</v>
      </c>
      <c r="F763" s="8" t="s">
        <v>35</v>
      </c>
      <c r="G763" s="8" t="s">
        <v>35</v>
      </c>
      <c r="H763" t="str">
        <f t="shared" si="11"/>
        <v>YES</v>
      </c>
    </row>
    <row r="764" spans="1:8" x14ac:dyDescent="0.2">
      <c r="A764" s="6" t="s">
        <v>778</v>
      </c>
      <c r="B764" s="7">
        <v>1</v>
      </c>
      <c r="C764" s="7">
        <v>0</v>
      </c>
      <c r="D764" s="7">
        <v>0</v>
      </c>
      <c r="E764" s="7">
        <v>0</v>
      </c>
      <c r="F764" s="8" t="s">
        <v>35</v>
      </c>
      <c r="G764" s="8" t="s">
        <v>35</v>
      </c>
      <c r="H764" t="str">
        <f t="shared" si="11"/>
        <v>YES</v>
      </c>
    </row>
    <row r="765" spans="1:8" x14ac:dyDescent="0.2">
      <c r="A765" s="6" t="s">
        <v>779</v>
      </c>
      <c r="B765" s="7">
        <v>1</v>
      </c>
      <c r="C765" s="7">
        <v>0</v>
      </c>
      <c r="D765" s="7">
        <v>0</v>
      </c>
      <c r="E765" s="7">
        <v>0</v>
      </c>
      <c r="F765" s="8" t="s">
        <v>35</v>
      </c>
      <c r="G765" s="8" t="s">
        <v>35</v>
      </c>
      <c r="H765" t="str">
        <f t="shared" si="11"/>
        <v>YES</v>
      </c>
    </row>
    <row r="766" spans="1:8" x14ac:dyDescent="0.2">
      <c r="A766" s="6" t="s">
        <v>780</v>
      </c>
      <c r="B766" s="7">
        <v>1</v>
      </c>
      <c r="C766" s="7">
        <v>0</v>
      </c>
      <c r="D766" s="7">
        <v>0</v>
      </c>
      <c r="E766" s="7">
        <v>0</v>
      </c>
      <c r="F766" s="8" t="s">
        <v>35</v>
      </c>
      <c r="G766" s="8" t="s">
        <v>35</v>
      </c>
      <c r="H766" t="str">
        <f t="shared" si="11"/>
        <v>YES</v>
      </c>
    </row>
    <row r="767" spans="1:8" x14ac:dyDescent="0.2">
      <c r="A767" s="6" t="s">
        <v>781</v>
      </c>
      <c r="B767" s="7">
        <v>1</v>
      </c>
      <c r="C767" s="7">
        <v>0</v>
      </c>
      <c r="D767" s="7">
        <v>0</v>
      </c>
      <c r="E767" s="7">
        <v>0</v>
      </c>
      <c r="F767" s="8" t="s">
        <v>35</v>
      </c>
      <c r="G767" s="8" t="s">
        <v>35</v>
      </c>
      <c r="H767" t="str">
        <f t="shared" si="11"/>
        <v>YES</v>
      </c>
    </row>
    <row r="768" spans="1:8" x14ac:dyDescent="0.2">
      <c r="A768" s="6" t="s">
        <v>782</v>
      </c>
      <c r="B768" s="7">
        <v>1</v>
      </c>
      <c r="C768" s="7">
        <v>0</v>
      </c>
      <c r="D768" s="7">
        <v>0</v>
      </c>
      <c r="E768" s="7">
        <v>0</v>
      </c>
      <c r="F768" s="8" t="s">
        <v>35</v>
      </c>
      <c r="G768" s="8" t="s">
        <v>35</v>
      </c>
      <c r="H768" t="str">
        <f t="shared" si="11"/>
        <v>YES</v>
      </c>
    </row>
    <row r="769" spans="1:8" x14ac:dyDescent="0.2">
      <c r="A769" s="6" t="s">
        <v>783</v>
      </c>
      <c r="B769" s="7">
        <v>1</v>
      </c>
      <c r="C769" s="7">
        <v>0</v>
      </c>
      <c r="D769" s="7">
        <v>0</v>
      </c>
      <c r="E769" s="7">
        <v>0</v>
      </c>
      <c r="F769" s="8" t="s">
        <v>35</v>
      </c>
      <c r="G769" s="8" t="s">
        <v>35</v>
      </c>
      <c r="H769" t="str">
        <f t="shared" si="11"/>
        <v>YES</v>
      </c>
    </row>
    <row r="770" spans="1:8" x14ac:dyDescent="0.2">
      <c r="A770" s="6" t="s">
        <v>784</v>
      </c>
      <c r="B770" s="7">
        <v>1</v>
      </c>
      <c r="C770" s="7">
        <v>0</v>
      </c>
      <c r="D770" s="7">
        <v>0</v>
      </c>
      <c r="E770" s="7">
        <v>0</v>
      </c>
      <c r="F770" s="8" t="s">
        <v>35</v>
      </c>
      <c r="G770" s="8" t="s">
        <v>35</v>
      </c>
      <c r="H770" t="str">
        <f t="shared" si="11"/>
        <v>YES</v>
      </c>
    </row>
    <row r="771" spans="1:8" x14ac:dyDescent="0.2">
      <c r="A771" s="6" t="s">
        <v>785</v>
      </c>
      <c r="B771" s="7">
        <v>1</v>
      </c>
      <c r="C771" s="7">
        <v>0</v>
      </c>
      <c r="D771" s="7">
        <v>0</v>
      </c>
      <c r="E771" s="7">
        <v>0</v>
      </c>
      <c r="F771" s="8" t="s">
        <v>35</v>
      </c>
      <c r="G771" s="8" t="s">
        <v>35</v>
      </c>
      <c r="H771" t="str">
        <f t="shared" si="11"/>
        <v>YES</v>
      </c>
    </row>
    <row r="772" spans="1:8" x14ac:dyDescent="0.2">
      <c r="A772" s="6" t="s">
        <v>786</v>
      </c>
      <c r="B772" s="7">
        <v>1</v>
      </c>
      <c r="C772" s="7">
        <v>0</v>
      </c>
      <c r="D772" s="7">
        <v>0</v>
      </c>
      <c r="E772" s="7">
        <v>0</v>
      </c>
      <c r="F772" s="8" t="s">
        <v>35</v>
      </c>
      <c r="G772" s="8" t="s">
        <v>35</v>
      </c>
      <c r="H772" t="str">
        <f t="shared" si="11"/>
        <v>YES</v>
      </c>
    </row>
    <row r="773" spans="1:8" x14ac:dyDescent="0.2">
      <c r="A773" s="6" t="s">
        <v>787</v>
      </c>
      <c r="B773" s="7">
        <v>1</v>
      </c>
      <c r="C773" s="7">
        <v>0</v>
      </c>
      <c r="D773" s="7">
        <v>0</v>
      </c>
      <c r="E773" s="7">
        <v>0</v>
      </c>
      <c r="F773" s="8" t="s">
        <v>35</v>
      </c>
      <c r="G773" s="8" t="s">
        <v>35</v>
      </c>
      <c r="H773" t="str">
        <f t="shared" ref="H773:H836" si="12">IF(F773=G773,"YES","NO")</f>
        <v>YES</v>
      </c>
    </row>
    <row r="774" spans="1:8" x14ac:dyDescent="0.2">
      <c r="A774" s="6" t="s">
        <v>788</v>
      </c>
      <c r="B774" s="7">
        <v>1</v>
      </c>
      <c r="C774" s="7">
        <v>0</v>
      </c>
      <c r="D774" s="7">
        <v>0</v>
      </c>
      <c r="E774" s="7">
        <v>0</v>
      </c>
      <c r="F774" s="8" t="s">
        <v>35</v>
      </c>
      <c r="G774" s="8" t="s">
        <v>35</v>
      </c>
      <c r="H774" t="str">
        <f t="shared" si="12"/>
        <v>YES</v>
      </c>
    </row>
    <row r="775" spans="1:8" x14ac:dyDescent="0.2">
      <c r="A775" s="6" t="s">
        <v>789</v>
      </c>
      <c r="B775" s="7">
        <v>1</v>
      </c>
      <c r="C775" s="7">
        <v>0</v>
      </c>
      <c r="D775" s="7">
        <v>0</v>
      </c>
      <c r="E775" s="7">
        <v>0</v>
      </c>
      <c r="F775" s="8" t="s">
        <v>35</v>
      </c>
      <c r="G775" s="8" t="s">
        <v>35</v>
      </c>
      <c r="H775" t="str">
        <f t="shared" si="12"/>
        <v>YES</v>
      </c>
    </row>
    <row r="776" spans="1:8" x14ac:dyDescent="0.2">
      <c r="A776" s="6" t="s">
        <v>790</v>
      </c>
      <c r="B776" s="7">
        <v>1</v>
      </c>
      <c r="C776" s="7">
        <v>0</v>
      </c>
      <c r="D776" s="7">
        <v>0</v>
      </c>
      <c r="E776" s="7">
        <v>0</v>
      </c>
      <c r="F776" s="8" t="s">
        <v>35</v>
      </c>
      <c r="G776" s="8" t="s">
        <v>35</v>
      </c>
      <c r="H776" t="str">
        <f t="shared" si="12"/>
        <v>YES</v>
      </c>
    </row>
    <row r="777" spans="1:8" x14ac:dyDescent="0.2">
      <c r="A777" s="6" t="s">
        <v>791</v>
      </c>
      <c r="B777" s="7">
        <v>1</v>
      </c>
      <c r="C777" s="7">
        <v>0</v>
      </c>
      <c r="D777" s="7">
        <v>0</v>
      </c>
      <c r="E777" s="7">
        <v>0</v>
      </c>
      <c r="F777" s="8" t="s">
        <v>35</v>
      </c>
      <c r="G777" s="8" t="s">
        <v>35</v>
      </c>
      <c r="H777" t="str">
        <f t="shared" si="12"/>
        <v>YES</v>
      </c>
    </row>
    <row r="778" spans="1:8" x14ac:dyDescent="0.2">
      <c r="A778" s="6" t="s">
        <v>792</v>
      </c>
      <c r="B778" s="7">
        <v>1</v>
      </c>
      <c r="C778" s="7">
        <v>0</v>
      </c>
      <c r="D778" s="7">
        <v>0</v>
      </c>
      <c r="E778" s="7">
        <v>0</v>
      </c>
      <c r="F778" s="8" t="s">
        <v>35</v>
      </c>
      <c r="G778" s="8" t="s">
        <v>35</v>
      </c>
      <c r="H778" t="str">
        <f t="shared" si="12"/>
        <v>YES</v>
      </c>
    </row>
    <row r="779" spans="1:8" x14ac:dyDescent="0.2">
      <c r="A779" s="6" t="s">
        <v>793</v>
      </c>
      <c r="B779" s="7">
        <v>1</v>
      </c>
      <c r="C779" s="7">
        <v>0</v>
      </c>
      <c r="D779" s="7">
        <v>0</v>
      </c>
      <c r="E779" s="7">
        <v>0</v>
      </c>
      <c r="F779" s="8" t="s">
        <v>35</v>
      </c>
      <c r="G779" s="8" t="s">
        <v>35</v>
      </c>
      <c r="H779" t="str">
        <f t="shared" si="12"/>
        <v>YES</v>
      </c>
    </row>
    <row r="780" spans="1:8" x14ac:dyDescent="0.2">
      <c r="A780" s="6" t="s">
        <v>794</v>
      </c>
      <c r="B780" s="7">
        <v>1</v>
      </c>
      <c r="C780" s="7">
        <v>0</v>
      </c>
      <c r="D780" s="7">
        <v>0</v>
      </c>
      <c r="E780" s="7">
        <v>0</v>
      </c>
      <c r="F780" s="8" t="s">
        <v>35</v>
      </c>
      <c r="G780" s="8" t="s">
        <v>35</v>
      </c>
      <c r="H780" t="str">
        <f t="shared" si="12"/>
        <v>YES</v>
      </c>
    </row>
    <row r="781" spans="1:8" x14ac:dyDescent="0.2">
      <c r="A781" s="6" t="s">
        <v>795</v>
      </c>
      <c r="B781" s="7">
        <v>1</v>
      </c>
      <c r="C781" s="7">
        <v>0</v>
      </c>
      <c r="D781" s="7">
        <v>0</v>
      </c>
      <c r="E781" s="7">
        <v>0</v>
      </c>
      <c r="F781" s="8" t="s">
        <v>35</v>
      </c>
      <c r="G781" s="8" t="s">
        <v>35</v>
      </c>
      <c r="H781" t="str">
        <f t="shared" si="12"/>
        <v>YES</v>
      </c>
    </row>
    <row r="782" spans="1:8" x14ac:dyDescent="0.2">
      <c r="A782" s="6" t="s">
        <v>796</v>
      </c>
      <c r="B782" s="7">
        <v>1</v>
      </c>
      <c r="C782" s="7">
        <v>0</v>
      </c>
      <c r="D782" s="7">
        <v>0</v>
      </c>
      <c r="E782" s="7">
        <v>0</v>
      </c>
      <c r="F782" s="8" t="s">
        <v>35</v>
      </c>
      <c r="G782" s="8" t="s">
        <v>35</v>
      </c>
      <c r="H782" t="str">
        <f t="shared" si="12"/>
        <v>YES</v>
      </c>
    </row>
    <row r="783" spans="1:8" x14ac:dyDescent="0.2">
      <c r="A783" s="6" t="s">
        <v>797</v>
      </c>
      <c r="B783" s="7">
        <v>1</v>
      </c>
      <c r="C783" s="7">
        <v>0</v>
      </c>
      <c r="D783" s="7">
        <v>0</v>
      </c>
      <c r="E783" s="7">
        <v>0</v>
      </c>
      <c r="F783" s="8" t="s">
        <v>35</v>
      </c>
      <c r="G783" s="8" t="s">
        <v>35</v>
      </c>
      <c r="H783" t="str">
        <f t="shared" si="12"/>
        <v>YES</v>
      </c>
    </row>
    <row r="784" spans="1:8" x14ac:dyDescent="0.2">
      <c r="A784" s="6" t="s">
        <v>798</v>
      </c>
      <c r="B784" s="7">
        <v>1</v>
      </c>
      <c r="C784" s="7">
        <v>0</v>
      </c>
      <c r="D784" s="7">
        <v>0</v>
      </c>
      <c r="E784" s="7">
        <v>0</v>
      </c>
      <c r="F784" s="8" t="s">
        <v>35</v>
      </c>
      <c r="G784" s="8" t="s">
        <v>35</v>
      </c>
      <c r="H784" t="str">
        <f t="shared" si="12"/>
        <v>YES</v>
      </c>
    </row>
    <row r="785" spans="1:8" x14ac:dyDescent="0.2">
      <c r="A785" s="6" t="s">
        <v>799</v>
      </c>
      <c r="B785" s="7">
        <v>1</v>
      </c>
      <c r="C785" s="7">
        <v>0</v>
      </c>
      <c r="D785" s="7">
        <v>0</v>
      </c>
      <c r="E785" s="7">
        <v>0</v>
      </c>
      <c r="F785" s="8" t="s">
        <v>35</v>
      </c>
      <c r="G785" s="8" t="s">
        <v>35</v>
      </c>
      <c r="H785" t="str">
        <f t="shared" si="12"/>
        <v>YES</v>
      </c>
    </row>
    <row r="786" spans="1:8" x14ac:dyDescent="0.2">
      <c r="A786" s="6" t="s">
        <v>800</v>
      </c>
      <c r="B786" s="7">
        <v>1</v>
      </c>
      <c r="C786" s="7">
        <v>0</v>
      </c>
      <c r="D786" s="7">
        <v>0</v>
      </c>
      <c r="E786" s="7">
        <v>0</v>
      </c>
      <c r="F786" s="8" t="s">
        <v>35</v>
      </c>
      <c r="G786" s="8" t="s">
        <v>35</v>
      </c>
      <c r="H786" t="str">
        <f t="shared" si="12"/>
        <v>YES</v>
      </c>
    </row>
    <row r="787" spans="1:8" x14ac:dyDescent="0.2">
      <c r="A787" s="6" t="s">
        <v>801</v>
      </c>
      <c r="B787" s="7">
        <v>1</v>
      </c>
      <c r="C787" s="7">
        <v>0</v>
      </c>
      <c r="D787" s="7">
        <v>0</v>
      </c>
      <c r="E787" s="7">
        <v>0</v>
      </c>
      <c r="F787" s="8" t="s">
        <v>35</v>
      </c>
      <c r="G787" s="8" t="s">
        <v>35</v>
      </c>
      <c r="H787" t="str">
        <f t="shared" si="12"/>
        <v>YES</v>
      </c>
    </row>
    <row r="788" spans="1:8" x14ac:dyDescent="0.2">
      <c r="A788" s="6" t="s">
        <v>802</v>
      </c>
      <c r="B788" s="7">
        <v>1</v>
      </c>
      <c r="C788" s="7">
        <v>0</v>
      </c>
      <c r="D788" s="7">
        <v>0</v>
      </c>
      <c r="E788" s="7">
        <v>0</v>
      </c>
      <c r="F788" s="8" t="s">
        <v>35</v>
      </c>
      <c r="G788" s="8" t="s">
        <v>35</v>
      </c>
      <c r="H788" t="str">
        <f t="shared" si="12"/>
        <v>YES</v>
      </c>
    </row>
    <row r="789" spans="1:8" x14ac:dyDescent="0.2">
      <c r="A789" s="6" t="s">
        <v>803</v>
      </c>
      <c r="B789" s="7">
        <v>1</v>
      </c>
      <c r="C789" s="7">
        <v>0</v>
      </c>
      <c r="D789" s="7">
        <v>0</v>
      </c>
      <c r="E789" s="7">
        <v>0</v>
      </c>
      <c r="F789" s="8" t="s">
        <v>35</v>
      </c>
      <c r="G789" s="8" t="s">
        <v>35</v>
      </c>
      <c r="H789" t="str">
        <f t="shared" si="12"/>
        <v>YES</v>
      </c>
    </row>
    <row r="790" spans="1:8" x14ac:dyDescent="0.2">
      <c r="A790" s="6" t="s">
        <v>804</v>
      </c>
      <c r="B790" s="7">
        <v>1</v>
      </c>
      <c r="C790" s="7">
        <v>0</v>
      </c>
      <c r="D790" s="7">
        <v>0</v>
      </c>
      <c r="E790" s="7">
        <v>0</v>
      </c>
      <c r="F790" s="8" t="s">
        <v>35</v>
      </c>
      <c r="G790" s="8" t="s">
        <v>35</v>
      </c>
      <c r="H790" t="str">
        <f t="shared" si="12"/>
        <v>YES</v>
      </c>
    </row>
    <row r="791" spans="1:8" x14ac:dyDescent="0.2">
      <c r="A791" s="6" t="s">
        <v>805</v>
      </c>
      <c r="B791" s="7">
        <v>1</v>
      </c>
      <c r="C791" s="7">
        <v>0</v>
      </c>
      <c r="D791" s="7">
        <v>0</v>
      </c>
      <c r="E791" s="7">
        <v>0</v>
      </c>
      <c r="F791" s="8" t="s">
        <v>35</v>
      </c>
      <c r="G791" s="8" t="s">
        <v>35</v>
      </c>
      <c r="H791" t="str">
        <f t="shared" si="12"/>
        <v>YES</v>
      </c>
    </row>
    <row r="792" spans="1:8" x14ac:dyDescent="0.2">
      <c r="A792" s="6" t="s">
        <v>806</v>
      </c>
      <c r="B792" s="7">
        <v>1</v>
      </c>
      <c r="C792" s="7">
        <v>0</v>
      </c>
      <c r="D792" s="7">
        <v>0</v>
      </c>
      <c r="E792" s="7">
        <v>0</v>
      </c>
      <c r="F792" s="8" t="s">
        <v>35</v>
      </c>
      <c r="G792" s="8" t="s">
        <v>35</v>
      </c>
      <c r="H792" t="str">
        <f t="shared" si="12"/>
        <v>YES</v>
      </c>
    </row>
    <row r="793" spans="1:8" x14ac:dyDescent="0.2">
      <c r="A793" s="6" t="s">
        <v>807</v>
      </c>
      <c r="B793" s="7">
        <v>1</v>
      </c>
      <c r="C793" s="7">
        <v>0</v>
      </c>
      <c r="D793" s="7">
        <v>0</v>
      </c>
      <c r="E793" s="7">
        <v>0</v>
      </c>
      <c r="F793" s="8" t="s">
        <v>35</v>
      </c>
      <c r="G793" s="8" t="s">
        <v>35</v>
      </c>
      <c r="H793" t="str">
        <f t="shared" si="12"/>
        <v>YES</v>
      </c>
    </row>
    <row r="794" spans="1:8" x14ac:dyDescent="0.2">
      <c r="A794" s="6" t="s">
        <v>808</v>
      </c>
      <c r="B794" s="7">
        <v>1</v>
      </c>
      <c r="C794" s="7">
        <v>0</v>
      </c>
      <c r="D794" s="7">
        <v>0</v>
      </c>
      <c r="E794" s="7">
        <v>0</v>
      </c>
      <c r="F794" s="8" t="s">
        <v>35</v>
      </c>
      <c r="G794" s="8" t="s">
        <v>35</v>
      </c>
      <c r="H794" t="str">
        <f t="shared" si="12"/>
        <v>YES</v>
      </c>
    </row>
    <row r="795" spans="1:8" x14ac:dyDescent="0.2">
      <c r="A795" s="6" t="s">
        <v>809</v>
      </c>
      <c r="B795" s="7">
        <v>1</v>
      </c>
      <c r="C795" s="7">
        <v>0</v>
      </c>
      <c r="D795" s="7">
        <v>0</v>
      </c>
      <c r="E795" s="7">
        <v>0</v>
      </c>
      <c r="F795" s="8" t="s">
        <v>35</v>
      </c>
      <c r="G795" s="8" t="s">
        <v>35</v>
      </c>
      <c r="H795" t="str">
        <f t="shared" si="12"/>
        <v>YES</v>
      </c>
    </row>
    <row r="796" spans="1:8" x14ac:dyDescent="0.2">
      <c r="A796" s="6" t="s">
        <v>810</v>
      </c>
      <c r="B796" s="7">
        <v>1</v>
      </c>
      <c r="C796" s="7">
        <v>0</v>
      </c>
      <c r="D796" s="7">
        <v>0</v>
      </c>
      <c r="E796" s="7">
        <v>0</v>
      </c>
      <c r="F796" s="8" t="s">
        <v>35</v>
      </c>
      <c r="G796" s="8" t="s">
        <v>35</v>
      </c>
      <c r="H796" t="str">
        <f t="shared" si="12"/>
        <v>YES</v>
      </c>
    </row>
    <row r="797" spans="1:8" x14ac:dyDescent="0.2">
      <c r="A797" s="6" t="s">
        <v>811</v>
      </c>
      <c r="B797" s="7">
        <v>1</v>
      </c>
      <c r="C797" s="7">
        <v>0</v>
      </c>
      <c r="D797" s="7">
        <v>0</v>
      </c>
      <c r="E797" s="7">
        <v>0</v>
      </c>
      <c r="F797" s="8" t="s">
        <v>35</v>
      </c>
      <c r="G797" s="8" t="s">
        <v>35</v>
      </c>
      <c r="H797" t="str">
        <f t="shared" si="12"/>
        <v>YES</v>
      </c>
    </row>
    <row r="798" spans="1:8" x14ac:dyDescent="0.2">
      <c r="A798" s="6" t="s">
        <v>812</v>
      </c>
      <c r="B798" s="7">
        <v>1</v>
      </c>
      <c r="C798" s="7">
        <v>0</v>
      </c>
      <c r="D798" s="7">
        <v>0</v>
      </c>
      <c r="E798" s="7">
        <v>0</v>
      </c>
      <c r="F798" s="8" t="s">
        <v>35</v>
      </c>
      <c r="G798" s="8" t="s">
        <v>35</v>
      </c>
      <c r="H798" t="str">
        <f t="shared" si="12"/>
        <v>YES</v>
      </c>
    </row>
    <row r="799" spans="1:8" x14ac:dyDescent="0.2">
      <c r="A799" s="6" t="s">
        <v>813</v>
      </c>
      <c r="B799" s="7">
        <v>1</v>
      </c>
      <c r="C799" s="7">
        <v>0</v>
      </c>
      <c r="D799" s="7">
        <v>0</v>
      </c>
      <c r="E799" s="7">
        <v>0</v>
      </c>
      <c r="F799" s="8" t="s">
        <v>35</v>
      </c>
      <c r="G799" s="8" t="s">
        <v>35</v>
      </c>
      <c r="H799" t="str">
        <f t="shared" si="12"/>
        <v>YES</v>
      </c>
    </row>
    <row r="800" spans="1:8" x14ac:dyDescent="0.2">
      <c r="A800" s="6" t="s">
        <v>814</v>
      </c>
      <c r="B800" s="7">
        <v>1</v>
      </c>
      <c r="C800" s="7">
        <v>0</v>
      </c>
      <c r="D800" s="7">
        <v>0</v>
      </c>
      <c r="E800" s="7">
        <v>0</v>
      </c>
      <c r="F800" s="8" t="s">
        <v>35</v>
      </c>
      <c r="G800" s="8" t="s">
        <v>35</v>
      </c>
      <c r="H800" t="str">
        <f t="shared" si="12"/>
        <v>YES</v>
      </c>
    </row>
    <row r="801" spans="1:8" x14ac:dyDescent="0.2">
      <c r="A801" s="6" t="s">
        <v>815</v>
      </c>
      <c r="B801" s="7">
        <v>1</v>
      </c>
      <c r="C801" s="7">
        <v>0</v>
      </c>
      <c r="D801" s="7">
        <v>0</v>
      </c>
      <c r="E801" s="7">
        <v>0</v>
      </c>
      <c r="F801" s="8" t="s">
        <v>35</v>
      </c>
      <c r="G801" s="8" t="s">
        <v>35</v>
      </c>
      <c r="H801" t="str">
        <f t="shared" si="12"/>
        <v>YES</v>
      </c>
    </row>
    <row r="802" spans="1:8" x14ac:dyDescent="0.2">
      <c r="A802" s="6" t="s">
        <v>816</v>
      </c>
      <c r="B802" s="7">
        <v>1</v>
      </c>
      <c r="C802" s="7">
        <v>0</v>
      </c>
      <c r="D802" s="7">
        <v>0</v>
      </c>
      <c r="E802" s="7">
        <v>0</v>
      </c>
      <c r="F802" s="8" t="s">
        <v>35</v>
      </c>
      <c r="G802" s="8" t="s">
        <v>35</v>
      </c>
      <c r="H802" t="str">
        <f t="shared" si="12"/>
        <v>YES</v>
      </c>
    </row>
    <row r="803" spans="1:8" x14ac:dyDescent="0.2">
      <c r="A803" s="6" t="s">
        <v>817</v>
      </c>
      <c r="B803" s="7">
        <v>1</v>
      </c>
      <c r="C803" s="7">
        <v>0</v>
      </c>
      <c r="D803" s="7">
        <v>0</v>
      </c>
      <c r="E803" s="7">
        <v>0</v>
      </c>
      <c r="F803" s="8" t="s">
        <v>35</v>
      </c>
      <c r="G803" s="8" t="s">
        <v>35</v>
      </c>
      <c r="H803" t="str">
        <f t="shared" si="12"/>
        <v>YES</v>
      </c>
    </row>
    <row r="804" spans="1:8" x14ac:dyDescent="0.2">
      <c r="A804" s="6" t="s">
        <v>818</v>
      </c>
      <c r="B804" s="7">
        <v>1</v>
      </c>
      <c r="C804" s="7">
        <v>0</v>
      </c>
      <c r="D804" s="7">
        <v>0</v>
      </c>
      <c r="E804" s="7">
        <v>0</v>
      </c>
      <c r="F804" s="8" t="s">
        <v>35</v>
      </c>
      <c r="G804" s="8" t="s">
        <v>35</v>
      </c>
      <c r="H804" t="str">
        <f t="shared" si="12"/>
        <v>YES</v>
      </c>
    </row>
    <row r="805" spans="1:8" x14ac:dyDescent="0.2">
      <c r="A805" s="6" t="s">
        <v>819</v>
      </c>
      <c r="B805" s="7">
        <v>1</v>
      </c>
      <c r="C805" s="7">
        <v>0</v>
      </c>
      <c r="D805" s="7">
        <v>0</v>
      </c>
      <c r="E805" s="7">
        <v>0</v>
      </c>
      <c r="F805" s="8" t="s">
        <v>35</v>
      </c>
      <c r="G805" s="8" t="s">
        <v>35</v>
      </c>
      <c r="H805" t="str">
        <f t="shared" si="12"/>
        <v>YES</v>
      </c>
    </row>
    <row r="806" spans="1:8" x14ac:dyDescent="0.2">
      <c r="A806" s="6" t="s">
        <v>820</v>
      </c>
      <c r="B806" s="7">
        <v>1</v>
      </c>
      <c r="C806" s="7">
        <v>0</v>
      </c>
      <c r="D806" s="7">
        <v>0</v>
      </c>
      <c r="E806" s="7">
        <v>0</v>
      </c>
      <c r="F806" s="8" t="s">
        <v>35</v>
      </c>
      <c r="G806" s="8" t="s">
        <v>35</v>
      </c>
      <c r="H806" t="str">
        <f t="shared" si="12"/>
        <v>YES</v>
      </c>
    </row>
    <row r="807" spans="1:8" x14ac:dyDescent="0.2">
      <c r="A807" s="6" t="s">
        <v>821</v>
      </c>
      <c r="B807" s="7">
        <v>1</v>
      </c>
      <c r="C807" s="7">
        <v>0</v>
      </c>
      <c r="D807" s="7">
        <v>0</v>
      </c>
      <c r="E807" s="7">
        <v>0</v>
      </c>
      <c r="F807" s="8" t="s">
        <v>35</v>
      </c>
      <c r="G807" s="8" t="s">
        <v>35</v>
      </c>
      <c r="H807" t="str">
        <f t="shared" si="12"/>
        <v>YES</v>
      </c>
    </row>
    <row r="808" spans="1:8" x14ac:dyDescent="0.2">
      <c r="A808" s="6" t="s">
        <v>822</v>
      </c>
      <c r="B808" s="7">
        <v>1</v>
      </c>
      <c r="C808" s="7">
        <v>0</v>
      </c>
      <c r="D808" s="7">
        <v>0</v>
      </c>
      <c r="E808" s="7">
        <v>0</v>
      </c>
      <c r="F808" s="8" t="s">
        <v>35</v>
      </c>
      <c r="G808" s="8" t="s">
        <v>35</v>
      </c>
      <c r="H808" t="str">
        <f t="shared" si="12"/>
        <v>YES</v>
      </c>
    </row>
    <row r="809" spans="1:8" x14ac:dyDescent="0.2">
      <c r="A809" s="6" t="s">
        <v>823</v>
      </c>
      <c r="B809" s="7">
        <v>1</v>
      </c>
      <c r="C809" s="7">
        <v>0</v>
      </c>
      <c r="D809" s="7">
        <v>0</v>
      </c>
      <c r="E809" s="7">
        <v>0</v>
      </c>
      <c r="F809" s="8" t="s">
        <v>35</v>
      </c>
      <c r="G809" s="8" t="s">
        <v>35</v>
      </c>
      <c r="H809" t="str">
        <f t="shared" si="12"/>
        <v>YES</v>
      </c>
    </row>
    <row r="810" spans="1:8" x14ac:dyDescent="0.2">
      <c r="A810" s="6" t="s">
        <v>824</v>
      </c>
      <c r="B810" s="7">
        <v>1</v>
      </c>
      <c r="C810" s="7">
        <v>0</v>
      </c>
      <c r="D810" s="7">
        <v>0</v>
      </c>
      <c r="E810" s="7">
        <v>0</v>
      </c>
      <c r="F810" s="8" t="s">
        <v>35</v>
      </c>
      <c r="G810" s="8" t="s">
        <v>35</v>
      </c>
      <c r="H810" t="str">
        <f t="shared" si="12"/>
        <v>YES</v>
      </c>
    </row>
    <row r="811" spans="1:8" x14ac:dyDescent="0.2">
      <c r="A811" s="6" t="s">
        <v>825</v>
      </c>
      <c r="B811" s="7">
        <v>1</v>
      </c>
      <c r="C811" s="7">
        <v>0</v>
      </c>
      <c r="D811" s="7">
        <v>0</v>
      </c>
      <c r="E811" s="7">
        <v>0</v>
      </c>
      <c r="F811" s="8" t="s">
        <v>35</v>
      </c>
      <c r="G811" s="8" t="s">
        <v>35</v>
      </c>
      <c r="H811" t="str">
        <f t="shared" si="12"/>
        <v>YES</v>
      </c>
    </row>
    <row r="812" spans="1:8" x14ac:dyDescent="0.2">
      <c r="A812" s="6" t="s">
        <v>826</v>
      </c>
      <c r="B812" s="7">
        <v>1</v>
      </c>
      <c r="C812" s="7">
        <v>0</v>
      </c>
      <c r="D812" s="7">
        <v>0</v>
      </c>
      <c r="E812" s="7">
        <v>0</v>
      </c>
      <c r="F812" s="8" t="s">
        <v>35</v>
      </c>
      <c r="G812" s="8" t="s">
        <v>35</v>
      </c>
      <c r="H812" t="str">
        <f t="shared" si="12"/>
        <v>YES</v>
      </c>
    </row>
    <row r="813" spans="1:8" x14ac:dyDescent="0.2">
      <c r="A813" s="6" t="s">
        <v>827</v>
      </c>
      <c r="B813" s="7">
        <v>1</v>
      </c>
      <c r="C813" s="7">
        <v>0</v>
      </c>
      <c r="D813" s="7">
        <v>0</v>
      </c>
      <c r="E813" s="7">
        <v>0</v>
      </c>
      <c r="F813" s="8" t="s">
        <v>35</v>
      </c>
      <c r="G813" s="8" t="s">
        <v>35</v>
      </c>
      <c r="H813" t="str">
        <f t="shared" si="12"/>
        <v>YES</v>
      </c>
    </row>
    <row r="814" spans="1:8" x14ac:dyDescent="0.2">
      <c r="A814" s="6" t="s">
        <v>828</v>
      </c>
      <c r="B814" s="7">
        <v>1</v>
      </c>
      <c r="C814" s="7">
        <v>0</v>
      </c>
      <c r="D814" s="7">
        <v>0</v>
      </c>
      <c r="E814" s="7">
        <v>0</v>
      </c>
      <c r="F814" s="8" t="s">
        <v>35</v>
      </c>
      <c r="G814" s="8" t="s">
        <v>35</v>
      </c>
      <c r="H814" t="str">
        <f t="shared" si="12"/>
        <v>YES</v>
      </c>
    </row>
    <row r="815" spans="1:8" x14ac:dyDescent="0.2">
      <c r="A815" s="6" t="s">
        <v>829</v>
      </c>
      <c r="B815" s="7">
        <v>1</v>
      </c>
      <c r="C815" s="7">
        <v>0</v>
      </c>
      <c r="D815" s="7">
        <v>0</v>
      </c>
      <c r="E815" s="7">
        <v>0</v>
      </c>
      <c r="F815" s="8" t="s">
        <v>35</v>
      </c>
      <c r="G815" s="8" t="s">
        <v>35</v>
      </c>
      <c r="H815" t="str">
        <f t="shared" si="12"/>
        <v>YES</v>
      </c>
    </row>
    <row r="816" spans="1:8" x14ac:dyDescent="0.2">
      <c r="A816" s="6" t="s">
        <v>830</v>
      </c>
      <c r="B816" s="7">
        <v>1</v>
      </c>
      <c r="C816" s="7">
        <v>0</v>
      </c>
      <c r="D816" s="7">
        <v>0</v>
      </c>
      <c r="E816" s="7">
        <v>0</v>
      </c>
      <c r="F816" s="8" t="s">
        <v>35</v>
      </c>
      <c r="G816" s="8" t="s">
        <v>35</v>
      </c>
      <c r="H816" t="str">
        <f t="shared" si="12"/>
        <v>YES</v>
      </c>
    </row>
    <row r="817" spans="1:8" x14ac:dyDescent="0.2">
      <c r="A817" s="6" t="s">
        <v>831</v>
      </c>
      <c r="B817" s="7">
        <v>1</v>
      </c>
      <c r="C817" s="7">
        <v>0</v>
      </c>
      <c r="D817" s="7">
        <v>0</v>
      </c>
      <c r="E817" s="7">
        <v>0</v>
      </c>
      <c r="F817" s="8" t="s">
        <v>35</v>
      </c>
      <c r="G817" s="8" t="s">
        <v>35</v>
      </c>
      <c r="H817" t="str">
        <f t="shared" si="12"/>
        <v>YES</v>
      </c>
    </row>
    <row r="818" spans="1:8" x14ac:dyDescent="0.2">
      <c r="A818" s="6" t="s">
        <v>832</v>
      </c>
      <c r="B818" s="7">
        <v>1</v>
      </c>
      <c r="C818" s="7">
        <v>0</v>
      </c>
      <c r="D818" s="7">
        <v>0</v>
      </c>
      <c r="E818" s="7">
        <v>0</v>
      </c>
      <c r="F818" s="8" t="s">
        <v>35</v>
      </c>
      <c r="G818" s="8" t="s">
        <v>35</v>
      </c>
      <c r="H818" t="str">
        <f t="shared" si="12"/>
        <v>YES</v>
      </c>
    </row>
    <row r="819" spans="1:8" x14ac:dyDescent="0.2">
      <c r="A819" s="6" t="s">
        <v>833</v>
      </c>
      <c r="B819" s="7">
        <v>1</v>
      </c>
      <c r="C819" s="7">
        <v>0</v>
      </c>
      <c r="D819" s="7">
        <v>0</v>
      </c>
      <c r="E819" s="7">
        <v>0</v>
      </c>
      <c r="F819" s="8" t="s">
        <v>35</v>
      </c>
      <c r="G819" s="8" t="s">
        <v>35</v>
      </c>
      <c r="H819" t="str">
        <f t="shared" si="12"/>
        <v>YES</v>
      </c>
    </row>
    <row r="820" spans="1:8" x14ac:dyDescent="0.2">
      <c r="A820" s="6" t="s">
        <v>834</v>
      </c>
      <c r="B820" s="7">
        <v>1</v>
      </c>
      <c r="C820" s="7">
        <v>0</v>
      </c>
      <c r="D820" s="7">
        <v>0</v>
      </c>
      <c r="E820" s="7">
        <v>0</v>
      </c>
      <c r="F820" s="8" t="s">
        <v>35</v>
      </c>
      <c r="G820" s="8" t="s">
        <v>35</v>
      </c>
      <c r="H820" t="str">
        <f t="shared" si="12"/>
        <v>YES</v>
      </c>
    </row>
    <row r="821" spans="1:8" x14ac:dyDescent="0.2">
      <c r="A821" s="6" t="s">
        <v>835</v>
      </c>
      <c r="B821" s="7">
        <v>1</v>
      </c>
      <c r="C821" s="7">
        <v>0</v>
      </c>
      <c r="D821" s="7">
        <v>0</v>
      </c>
      <c r="E821" s="7">
        <v>0</v>
      </c>
      <c r="F821" s="8" t="s">
        <v>35</v>
      </c>
      <c r="G821" s="8" t="s">
        <v>35</v>
      </c>
      <c r="H821" t="str">
        <f t="shared" si="12"/>
        <v>YES</v>
      </c>
    </row>
    <row r="822" spans="1:8" x14ac:dyDescent="0.2">
      <c r="A822" s="6" t="s">
        <v>836</v>
      </c>
      <c r="B822" s="7">
        <v>1</v>
      </c>
      <c r="C822" s="7">
        <v>0</v>
      </c>
      <c r="D822" s="7">
        <v>0</v>
      </c>
      <c r="E822" s="7">
        <v>0</v>
      </c>
      <c r="F822" s="8" t="s">
        <v>35</v>
      </c>
      <c r="G822" s="8" t="s">
        <v>35</v>
      </c>
      <c r="H822" t="str">
        <f t="shared" si="12"/>
        <v>YES</v>
      </c>
    </row>
    <row r="823" spans="1:8" x14ac:dyDescent="0.2">
      <c r="A823" s="6" t="s">
        <v>837</v>
      </c>
      <c r="B823" s="7">
        <v>1</v>
      </c>
      <c r="C823" s="7">
        <v>0</v>
      </c>
      <c r="D823" s="7">
        <v>0</v>
      </c>
      <c r="E823" s="7">
        <v>0</v>
      </c>
      <c r="F823" s="8" t="s">
        <v>35</v>
      </c>
      <c r="G823" s="8" t="s">
        <v>35</v>
      </c>
      <c r="H823" t="str">
        <f t="shared" si="12"/>
        <v>YES</v>
      </c>
    </row>
    <row r="824" spans="1:8" x14ac:dyDescent="0.2">
      <c r="A824" s="6" t="s">
        <v>838</v>
      </c>
      <c r="B824" s="7">
        <v>1</v>
      </c>
      <c r="C824" s="7">
        <v>0</v>
      </c>
      <c r="D824" s="7">
        <v>0</v>
      </c>
      <c r="E824" s="7">
        <v>0</v>
      </c>
      <c r="F824" s="8" t="s">
        <v>35</v>
      </c>
      <c r="G824" s="8" t="s">
        <v>35</v>
      </c>
      <c r="H824" t="str">
        <f t="shared" si="12"/>
        <v>YES</v>
      </c>
    </row>
    <row r="825" spans="1:8" x14ac:dyDescent="0.2">
      <c r="A825" s="6" t="s">
        <v>839</v>
      </c>
      <c r="B825" s="7">
        <v>1</v>
      </c>
      <c r="C825" s="7">
        <v>0</v>
      </c>
      <c r="D825" s="7">
        <v>0</v>
      </c>
      <c r="E825" s="7">
        <v>0</v>
      </c>
      <c r="F825" s="8" t="s">
        <v>35</v>
      </c>
      <c r="G825" s="8" t="s">
        <v>35</v>
      </c>
      <c r="H825" t="str">
        <f t="shared" si="12"/>
        <v>YES</v>
      </c>
    </row>
    <row r="826" spans="1:8" x14ac:dyDescent="0.2">
      <c r="A826" s="6" t="s">
        <v>840</v>
      </c>
      <c r="B826" s="7">
        <v>1</v>
      </c>
      <c r="C826" s="7">
        <v>0</v>
      </c>
      <c r="D826" s="7">
        <v>0</v>
      </c>
      <c r="E826" s="7">
        <v>0</v>
      </c>
      <c r="F826" s="8" t="s">
        <v>35</v>
      </c>
      <c r="G826" s="8" t="s">
        <v>35</v>
      </c>
      <c r="H826" t="str">
        <f t="shared" si="12"/>
        <v>YES</v>
      </c>
    </row>
    <row r="827" spans="1:8" x14ac:dyDescent="0.2">
      <c r="A827" s="6" t="s">
        <v>841</v>
      </c>
      <c r="B827" s="7">
        <v>1</v>
      </c>
      <c r="C827" s="7">
        <v>0</v>
      </c>
      <c r="D827" s="7">
        <v>0</v>
      </c>
      <c r="E827" s="7">
        <v>0</v>
      </c>
      <c r="F827" s="8" t="s">
        <v>35</v>
      </c>
      <c r="G827" s="8" t="s">
        <v>35</v>
      </c>
      <c r="H827" t="str">
        <f t="shared" si="12"/>
        <v>YES</v>
      </c>
    </row>
    <row r="828" spans="1:8" x14ac:dyDescent="0.2">
      <c r="A828" s="6" t="s">
        <v>842</v>
      </c>
      <c r="B828" s="7">
        <v>1</v>
      </c>
      <c r="C828" s="7">
        <v>0</v>
      </c>
      <c r="D828" s="7">
        <v>0</v>
      </c>
      <c r="E828" s="7">
        <v>0</v>
      </c>
      <c r="F828" s="8" t="s">
        <v>35</v>
      </c>
      <c r="G828" s="8" t="s">
        <v>35</v>
      </c>
      <c r="H828" t="str">
        <f t="shared" si="12"/>
        <v>YES</v>
      </c>
    </row>
    <row r="829" spans="1:8" x14ac:dyDescent="0.2">
      <c r="A829" s="6" t="s">
        <v>843</v>
      </c>
      <c r="B829" s="7">
        <v>1</v>
      </c>
      <c r="C829" s="7">
        <v>0</v>
      </c>
      <c r="D829" s="7">
        <v>0</v>
      </c>
      <c r="E829" s="7">
        <v>0</v>
      </c>
      <c r="F829" s="8" t="s">
        <v>35</v>
      </c>
      <c r="G829" s="8" t="s">
        <v>35</v>
      </c>
      <c r="H829" t="str">
        <f t="shared" si="12"/>
        <v>YES</v>
      </c>
    </row>
    <row r="830" spans="1:8" x14ac:dyDescent="0.2">
      <c r="A830" s="6" t="s">
        <v>844</v>
      </c>
      <c r="B830" s="7">
        <v>1</v>
      </c>
      <c r="C830" s="7">
        <v>0</v>
      </c>
      <c r="D830" s="7">
        <v>0</v>
      </c>
      <c r="E830" s="7">
        <v>0</v>
      </c>
      <c r="F830" s="8" t="s">
        <v>35</v>
      </c>
      <c r="G830" s="8" t="s">
        <v>35</v>
      </c>
      <c r="H830" t="str">
        <f t="shared" si="12"/>
        <v>YES</v>
      </c>
    </row>
    <row r="831" spans="1:8" x14ac:dyDescent="0.2">
      <c r="A831" s="6" t="s">
        <v>845</v>
      </c>
      <c r="B831" s="7">
        <v>1</v>
      </c>
      <c r="C831" s="7">
        <v>0</v>
      </c>
      <c r="D831" s="7">
        <v>0</v>
      </c>
      <c r="E831" s="7">
        <v>0</v>
      </c>
      <c r="F831" s="8" t="s">
        <v>35</v>
      </c>
      <c r="G831" s="8" t="s">
        <v>35</v>
      </c>
      <c r="H831" t="str">
        <f t="shared" si="12"/>
        <v>YES</v>
      </c>
    </row>
    <row r="832" spans="1:8" x14ac:dyDescent="0.2">
      <c r="A832" s="6" t="s">
        <v>846</v>
      </c>
      <c r="B832" s="7">
        <v>1</v>
      </c>
      <c r="C832" s="7">
        <v>0</v>
      </c>
      <c r="D832" s="7">
        <v>0</v>
      </c>
      <c r="E832" s="7">
        <v>0</v>
      </c>
      <c r="F832" s="8" t="s">
        <v>35</v>
      </c>
      <c r="G832" s="8" t="s">
        <v>35</v>
      </c>
      <c r="H832" t="str">
        <f t="shared" si="12"/>
        <v>YES</v>
      </c>
    </row>
    <row r="833" spans="1:8" x14ac:dyDescent="0.2">
      <c r="A833" s="6" t="s">
        <v>847</v>
      </c>
      <c r="B833" s="7">
        <v>1</v>
      </c>
      <c r="C833" s="7">
        <v>0</v>
      </c>
      <c r="D833" s="7">
        <v>0</v>
      </c>
      <c r="E833" s="7">
        <v>0</v>
      </c>
      <c r="F833" s="8" t="s">
        <v>35</v>
      </c>
      <c r="G833" s="8" t="s">
        <v>35</v>
      </c>
      <c r="H833" t="str">
        <f t="shared" si="12"/>
        <v>YES</v>
      </c>
    </row>
    <row r="834" spans="1:8" x14ac:dyDescent="0.2">
      <c r="A834" s="6" t="s">
        <v>848</v>
      </c>
      <c r="B834" s="7">
        <v>1</v>
      </c>
      <c r="C834" s="7">
        <v>0</v>
      </c>
      <c r="D834" s="7">
        <v>0</v>
      </c>
      <c r="E834" s="7">
        <v>0</v>
      </c>
      <c r="F834" s="8" t="s">
        <v>35</v>
      </c>
      <c r="G834" s="8" t="s">
        <v>35</v>
      </c>
      <c r="H834" t="str">
        <f t="shared" si="12"/>
        <v>YES</v>
      </c>
    </row>
    <row r="835" spans="1:8" x14ac:dyDescent="0.2">
      <c r="A835" s="6" t="s">
        <v>849</v>
      </c>
      <c r="B835" s="7">
        <v>1</v>
      </c>
      <c r="C835" s="7">
        <v>0</v>
      </c>
      <c r="D835" s="7">
        <v>0</v>
      </c>
      <c r="E835" s="7">
        <v>0</v>
      </c>
      <c r="F835" s="8" t="s">
        <v>35</v>
      </c>
      <c r="G835" s="8" t="s">
        <v>35</v>
      </c>
      <c r="H835" t="str">
        <f t="shared" si="12"/>
        <v>YES</v>
      </c>
    </row>
    <row r="836" spans="1:8" x14ac:dyDescent="0.2">
      <c r="A836" s="6" t="s">
        <v>850</v>
      </c>
      <c r="B836" s="7">
        <v>1</v>
      </c>
      <c r="C836" s="7">
        <v>0</v>
      </c>
      <c r="D836" s="7">
        <v>0</v>
      </c>
      <c r="E836" s="7">
        <v>0</v>
      </c>
      <c r="F836" s="8" t="s">
        <v>35</v>
      </c>
      <c r="G836" s="8" t="s">
        <v>35</v>
      </c>
      <c r="H836" t="str">
        <f t="shared" si="12"/>
        <v>YES</v>
      </c>
    </row>
    <row r="837" spans="1:8" x14ac:dyDescent="0.2">
      <c r="A837" s="6" t="s">
        <v>851</v>
      </c>
      <c r="B837" s="7">
        <v>1</v>
      </c>
      <c r="C837" s="7">
        <v>0</v>
      </c>
      <c r="D837" s="7">
        <v>0</v>
      </c>
      <c r="E837" s="7">
        <v>0</v>
      </c>
      <c r="F837" s="8" t="s">
        <v>35</v>
      </c>
      <c r="G837" s="8" t="s">
        <v>35</v>
      </c>
      <c r="H837" t="str">
        <f t="shared" ref="H837:H900" si="13">IF(F837=G837,"YES","NO")</f>
        <v>YES</v>
      </c>
    </row>
    <row r="838" spans="1:8" x14ac:dyDescent="0.2">
      <c r="A838" s="6" t="s">
        <v>852</v>
      </c>
      <c r="B838" s="7">
        <v>1</v>
      </c>
      <c r="C838" s="7">
        <v>0</v>
      </c>
      <c r="D838" s="7">
        <v>0</v>
      </c>
      <c r="E838" s="7">
        <v>0</v>
      </c>
      <c r="F838" s="8" t="s">
        <v>35</v>
      </c>
      <c r="G838" s="8" t="s">
        <v>35</v>
      </c>
      <c r="H838" t="str">
        <f t="shared" si="13"/>
        <v>YES</v>
      </c>
    </row>
    <row r="839" spans="1:8" x14ac:dyDescent="0.2">
      <c r="A839" s="6" t="s">
        <v>853</v>
      </c>
      <c r="B839" s="7">
        <v>1</v>
      </c>
      <c r="C839" s="7">
        <v>0</v>
      </c>
      <c r="D839" s="7">
        <v>0</v>
      </c>
      <c r="E839" s="7">
        <v>0</v>
      </c>
      <c r="F839" s="8" t="s">
        <v>35</v>
      </c>
      <c r="G839" s="8" t="s">
        <v>35</v>
      </c>
      <c r="H839" t="str">
        <f t="shared" si="13"/>
        <v>YES</v>
      </c>
    </row>
    <row r="840" spans="1:8" x14ac:dyDescent="0.2">
      <c r="A840" s="6" t="s">
        <v>854</v>
      </c>
      <c r="B840" s="7">
        <v>1</v>
      </c>
      <c r="C840" s="7">
        <v>0</v>
      </c>
      <c r="D840" s="7">
        <v>0</v>
      </c>
      <c r="E840" s="7">
        <v>0</v>
      </c>
      <c r="F840" s="8" t="s">
        <v>35</v>
      </c>
      <c r="G840" s="8" t="s">
        <v>35</v>
      </c>
      <c r="H840" t="str">
        <f t="shared" si="13"/>
        <v>YES</v>
      </c>
    </row>
    <row r="841" spans="1:8" x14ac:dyDescent="0.2">
      <c r="A841" s="6" t="s">
        <v>855</v>
      </c>
      <c r="B841" s="7">
        <v>1</v>
      </c>
      <c r="C841" s="7">
        <v>0</v>
      </c>
      <c r="D841" s="7">
        <v>0</v>
      </c>
      <c r="E841" s="7">
        <v>0</v>
      </c>
      <c r="F841" s="8" t="s">
        <v>35</v>
      </c>
      <c r="G841" s="8" t="s">
        <v>35</v>
      </c>
      <c r="H841" t="str">
        <f t="shared" si="13"/>
        <v>YES</v>
      </c>
    </row>
    <row r="842" spans="1:8" x14ac:dyDescent="0.2">
      <c r="A842" s="6" t="s">
        <v>856</v>
      </c>
      <c r="B842" s="7">
        <v>1</v>
      </c>
      <c r="C842" s="7">
        <v>0</v>
      </c>
      <c r="D842" s="7">
        <v>0</v>
      </c>
      <c r="E842" s="7">
        <v>0</v>
      </c>
      <c r="F842" s="8" t="s">
        <v>35</v>
      </c>
      <c r="G842" s="8" t="s">
        <v>35</v>
      </c>
      <c r="H842" t="str">
        <f t="shared" si="13"/>
        <v>YES</v>
      </c>
    </row>
    <row r="843" spans="1:8" x14ac:dyDescent="0.2">
      <c r="A843" s="6" t="s">
        <v>857</v>
      </c>
      <c r="B843" s="7">
        <v>1</v>
      </c>
      <c r="C843" s="7">
        <v>0</v>
      </c>
      <c r="D843" s="7">
        <v>0</v>
      </c>
      <c r="E843" s="7">
        <v>0</v>
      </c>
      <c r="F843" s="8" t="s">
        <v>35</v>
      </c>
      <c r="G843" s="8" t="s">
        <v>35</v>
      </c>
      <c r="H843" t="str">
        <f t="shared" si="13"/>
        <v>YES</v>
      </c>
    </row>
    <row r="844" spans="1:8" x14ac:dyDescent="0.2">
      <c r="A844" s="6" t="s">
        <v>858</v>
      </c>
      <c r="B844" s="7">
        <v>1</v>
      </c>
      <c r="C844" s="7">
        <v>0</v>
      </c>
      <c r="D844" s="7">
        <v>0</v>
      </c>
      <c r="E844" s="7">
        <v>0</v>
      </c>
      <c r="F844" s="8" t="s">
        <v>35</v>
      </c>
      <c r="G844" s="8" t="s">
        <v>35</v>
      </c>
      <c r="H844" t="str">
        <f t="shared" si="13"/>
        <v>YES</v>
      </c>
    </row>
    <row r="845" spans="1:8" x14ac:dyDescent="0.2">
      <c r="A845" s="6" t="s">
        <v>859</v>
      </c>
      <c r="B845" s="7">
        <v>1</v>
      </c>
      <c r="C845" s="7">
        <v>0</v>
      </c>
      <c r="D845" s="7">
        <v>0</v>
      </c>
      <c r="E845" s="7">
        <v>0</v>
      </c>
      <c r="F845" s="8" t="s">
        <v>35</v>
      </c>
      <c r="G845" s="8" t="s">
        <v>35</v>
      </c>
      <c r="H845" t="str">
        <f t="shared" si="13"/>
        <v>YES</v>
      </c>
    </row>
    <row r="846" spans="1:8" x14ac:dyDescent="0.2">
      <c r="A846" s="6" t="s">
        <v>860</v>
      </c>
      <c r="B846" s="7">
        <v>1</v>
      </c>
      <c r="C846" s="7">
        <v>0</v>
      </c>
      <c r="D846" s="7">
        <v>0</v>
      </c>
      <c r="E846" s="7">
        <v>0</v>
      </c>
      <c r="F846" s="8" t="s">
        <v>35</v>
      </c>
      <c r="G846" s="8" t="s">
        <v>35</v>
      </c>
      <c r="H846" t="str">
        <f t="shared" si="13"/>
        <v>YES</v>
      </c>
    </row>
    <row r="847" spans="1:8" x14ac:dyDescent="0.2">
      <c r="A847" s="6" t="s">
        <v>861</v>
      </c>
      <c r="B847" s="7">
        <v>1</v>
      </c>
      <c r="C847" s="7">
        <v>0</v>
      </c>
      <c r="D847" s="7">
        <v>0</v>
      </c>
      <c r="E847" s="7">
        <v>0</v>
      </c>
      <c r="F847" s="8" t="s">
        <v>35</v>
      </c>
      <c r="G847" s="8" t="s">
        <v>35</v>
      </c>
      <c r="H847" t="str">
        <f t="shared" si="13"/>
        <v>YES</v>
      </c>
    </row>
    <row r="848" spans="1:8" x14ac:dyDescent="0.2">
      <c r="A848" s="6" t="s">
        <v>862</v>
      </c>
      <c r="B848" s="7">
        <v>1</v>
      </c>
      <c r="C848" s="7">
        <v>0</v>
      </c>
      <c r="D848" s="7">
        <v>0</v>
      </c>
      <c r="E848" s="7">
        <v>0</v>
      </c>
      <c r="F848" s="8" t="s">
        <v>35</v>
      </c>
      <c r="G848" s="8" t="s">
        <v>35</v>
      </c>
      <c r="H848" t="str">
        <f t="shared" si="13"/>
        <v>YES</v>
      </c>
    </row>
    <row r="849" spans="1:8" x14ac:dyDescent="0.2">
      <c r="A849" s="6" t="s">
        <v>863</v>
      </c>
      <c r="B849" s="7">
        <v>1</v>
      </c>
      <c r="C849" s="7">
        <v>0</v>
      </c>
      <c r="D849" s="7">
        <v>0</v>
      </c>
      <c r="E849" s="7">
        <v>0</v>
      </c>
      <c r="F849" s="8" t="s">
        <v>35</v>
      </c>
      <c r="G849" s="8" t="s">
        <v>35</v>
      </c>
      <c r="H849" t="str">
        <f t="shared" si="13"/>
        <v>YES</v>
      </c>
    </row>
    <row r="850" spans="1:8" x14ac:dyDescent="0.2">
      <c r="A850" s="6" t="s">
        <v>864</v>
      </c>
      <c r="B850" s="7">
        <v>1</v>
      </c>
      <c r="C850" s="7">
        <v>0</v>
      </c>
      <c r="D850" s="7">
        <v>0</v>
      </c>
      <c r="E850" s="7">
        <v>0</v>
      </c>
      <c r="F850" s="8" t="s">
        <v>35</v>
      </c>
      <c r="G850" s="8" t="s">
        <v>35</v>
      </c>
      <c r="H850" t="str">
        <f t="shared" si="13"/>
        <v>YES</v>
      </c>
    </row>
    <row r="851" spans="1:8" x14ac:dyDescent="0.2">
      <c r="A851" s="6" t="s">
        <v>865</v>
      </c>
      <c r="B851" s="7">
        <v>1</v>
      </c>
      <c r="C851" s="7">
        <v>0</v>
      </c>
      <c r="D851" s="7">
        <v>0</v>
      </c>
      <c r="E851" s="7">
        <v>0</v>
      </c>
      <c r="F851" s="8" t="s">
        <v>35</v>
      </c>
      <c r="G851" s="8" t="s">
        <v>35</v>
      </c>
      <c r="H851" t="str">
        <f t="shared" si="13"/>
        <v>YES</v>
      </c>
    </row>
    <row r="852" spans="1:8" x14ac:dyDescent="0.2">
      <c r="A852" s="6" t="s">
        <v>866</v>
      </c>
      <c r="B852" s="7">
        <v>1</v>
      </c>
      <c r="C852" s="7">
        <v>0</v>
      </c>
      <c r="D852" s="7">
        <v>0</v>
      </c>
      <c r="E852" s="7">
        <v>0</v>
      </c>
      <c r="F852" s="8" t="s">
        <v>35</v>
      </c>
      <c r="G852" s="8" t="s">
        <v>35</v>
      </c>
      <c r="H852" t="str">
        <f t="shared" si="13"/>
        <v>YES</v>
      </c>
    </row>
    <row r="853" spans="1:8" x14ac:dyDescent="0.2">
      <c r="A853" s="6" t="s">
        <v>867</v>
      </c>
      <c r="B853" s="7">
        <v>1</v>
      </c>
      <c r="C853" s="7">
        <v>0</v>
      </c>
      <c r="D853" s="7">
        <v>0</v>
      </c>
      <c r="E853" s="7">
        <v>0</v>
      </c>
      <c r="F853" s="8" t="s">
        <v>35</v>
      </c>
      <c r="G853" s="8" t="s">
        <v>35</v>
      </c>
      <c r="H853" t="str">
        <f t="shared" si="13"/>
        <v>YES</v>
      </c>
    </row>
    <row r="854" spans="1:8" x14ac:dyDescent="0.2">
      <c r="A854" s="6" t="s">
        <v>868</v>
      </c>
      <c r="B854" s="7">
        <v>1</v>
      </c>
      <c r="C854" s="7">
        <v>0</v>
      </c>
      <c r="D854" s="7">
        <v>0</v>
      </c>
      <c r="E854" s="7">
        <v>0</v>
      </c>
      <c r="F854" s="8" t="s">
        <v>35</v>
      </c>
      <c r="G854" s="8" t="s">
        <v>35</v>
      </c>
      <c r="H854" t="str">
        <f t="shared" si="13"/>
        <v>YES</v>
      </c>
    </row>
    <row r="855" spans="1:8" x14ac:dyDescent="0.2">
      <c r="A855" s="6" t="s">
        <v>869</v>
      </c>
      <c r="B855" s="7">
        <v>1</v>
      </c>
      <c r="C855" s="7">
        <v>0</v>
      </c>
      <c r="D855" s="7">
        <v>0</v>
      </c>
      <c r="E855" s="7">
        <v>0</v>
      </c>
      <c r="F855" s="8" t="s">
        <v>35</v>
      </c>
      <c r="G855" s="8" t="s">
        <v>35</v>
      </c>
      <c r="H855" t="str">
        <f t="shared" si="13"/>
        <v>YES</v>
      </c>
    </row>
    <row r="856" spans="1:8" x14ac:dyDescent="0.2">
      <c r="A856" s="6" t="s">
        <v>870</v>
      </c>
      <c r="B856" s="7">
        <v>1</v>
      </c>
      <c r="C856" s="7">
        <v>0</v>
      </c>
      <c r="D856" s="7">
        <v>0</v>
      </c>
      <c r="E856" s="7">
        <v>0</v>
      </c>
      <c r="F856" s="8" t="s">
        <v>35</v>
      </c>
      <c r="G856" s="8" t="s">
        <v>35</v>
      </c>
      <c r="H856" t="str">
        <f t="shared" si="13"/>
        <v>YES</v>
      </c>
    </row>
    <row r="857" spans="1:8" x14ac:dyDescent="0.2">
      <c r="A857" s="6" t="s">
        <v>871</v>
      </c>
      <c r="B857" s="7">
        <v>1</v>
      </c>
      <c r="C857" s="7">
        <v>0</v>
      </c>
      <c r="D857" s="7">
        <v>0</v>
      </c>
      <c r="E857" s="7">
        <v>0</v>
      </c>
      <c r="F857" s="8" t="s">
        <v>35</v>
      </c>
      <c r="G857" s="8" t="s">
        <v>35</v>
      </c>
      <c r="H857" t="str">
        <f t="shared" si="13"/>
        <v>YES</v>
      </c>
    </row>
    <row r="858" spans="1:8" x14ac:dyDescent="0.2">
      <c r="A858" s="6" t="s">
        <v>872</v>
      </c>
      <c r="B858" s="7">
        <v>1</v>
      </c>
      <c r="C858" s="7">
        <v>0</v>
      </c>
      <c r="D858" s="7">
        <v>0</v>
      </c>
      <c r="E858" s="7">
        <v>0</v>
      </c>
      <c r="F858" s="8" t="s">
        <v>35</v>
      </c>
      <c r="G858" s="8" t="s">
        <v>35</v>
      </c>
      <c r="H858" t="str">
        <f t="shared" si="13"/>
        <v>YES</v>
      </c>
    </row>
    <row r="859" spans="1:8" x14ac:dyDescent="0.2">
      <c r="A859" s="6" t="s">
        <v>873</v>
      </c>
      <c r="B859" s="7">
        <v>1</v>
      </c>
      <c r="C859" s="7">
        <v>0</v>
      </c>
      <c r="D859" s="7">
        <v>0</v>
      </c>
      <c r="E859" s="7">
        <v>0</v>
      </c>
      <c r="F859" s="8" t="s">
        <v>35</v>
      </c>
      <c r="G859" s="8" t="s">
        <v>35</v>
      </c>
      <c r="H859" t="str">
        <f t="shared" si="13"/>
        <v>YES</v>
      </c>
    </row>
    <row r="860" spans="1:8" x14ac:dyDescent="0.2">
      <c r="A860" s="6" t="s">
        <v>874</v>
      </c>
      <c r="B860" s="7">
        <v>1</v>
      </c>
      <c r="C860" s="7">
        <v>0</v>
      </c>
      <c r="D860" s="7">
        <v>0</v>
      </c>
      <c r="E860" s="7">
        <v>0</v>
      </c>
      <c r="F860" s="8" t="s">
        <v>35</v>
      </c>
      <c r="G860" s="8" t="s">
        <v>35</v>
      </c>
      <c r="H860" t="str">
        <f t="shared" si="13"/>
        <v>YES</v>
      </c>
    </row>
    <row r="861" spans="1:8" x14ac:dyDescent="0.2">
      <c r="A861" s="6" t="s">
        <v>875</v>
      </c>
      <c r="B861" s="7">
        <v>1</v>
      </c>
      <c r="C861" s="7">
        <v>0</v>
      </c>
      <c r="D861" s="7">
        <v>0</v>
      </c>
      <c r="E861" s="7">
        <v>0</v>
      </c>
      <c r="F861" s="8" t="s">
        <v>35</v>
      </c>
      <c r="G861" s="8" t="s">
        <v>35</v>
      </c>
      <c r="H861" t="str">
        <f t="shared" si="13"/>
        <v>YES</v>
      </c>
    </row>
    <row r="862" spans="1:8" x14ac:dyDescent="0.2">
      <c r="A862" s="6" t="s">
        <v>876</v>
      </c>
      <c r="B862" s="7">
        <v>1</v>
      </c>
      <c r="C862" s="7">
        <v>0</v>
      </c>
      <c r="D862" s="7">
        <v>0</v>
      </c>
      <c r="E862" s="7">
        <v>0</v>
      </c>
      <c r="F862" s="8" t="s">
        <v>35</v>
      </c>
      <c r="G862" s="8" t="s">
        <v>35</v>
      </c>
      <c r="H862" t="str">
        <f t="shared" si="13"/>
        <v>YES</v>
      </c>
    </row>
    <row r="863" spans="1:8" x14ac:dyDescent="0.2">
      <c r="A863" s="6" t="s">
        <v>877</v>
      </c>
      <c r="B863" s="7">
        <v>1</v>
      </c>
      <c r="C863" s="7">
        <v>0</v>
      </c>
      <c r="D863" s="7">
        <v>0</v>
      </c>
      <c r="E863" s="7">
        <v>0</v>
      </c>
      <c r="F863" s="8" t="s">
        <v>35</v>
      </c>
      <c r="G863" s="8" t="s">
        <v>35</v>
      </c>
      <c r="H863" t="str">
        <f t="shared" si="13"/>
        <v>YES</v>
      </c>
    </row>
    <row r="864" spans="1:8" x14ac:dyDescent="0.2">
      <c r="A864" s="6" t="s">
        <v>878</v>
      </c>
      <c r="B864" s="7">
        <v>1</v>
      </c>
      <c r="C864" s="7">
        <v>0</v>
      </c>
      <c r="D864" s="7">
        <v>0</v>
      </c>
      <c r="E864" s="7">
        <v>0</v>
      </c>
      <c r="F864" s="8" t="s">
        <v>35</v>
      </c>
      <c r="G864" s="8" t="s">
        <v>35</v>
      </c>
      <c r="H864" t="str">
        <f t="shared" si="13"/>
        <v>YES</v>
      </c>
    </row>
    <row r="865" spans="1:8" x14ac:dyDescent="0.2">
      <c r="A865" s="6" t="s">
        <v>879</v>
      </c>
      <c r="B865" s="7">
        <v>1</v>
      </c>
      <c r="C865" s="7">
        <v>0</v>
      </c>
      <c r="D865" s="7">
        <v>0</v>
      </c>
      <c r="E865" s="7">
        <v>0</v>
      </c>
      <c r="F865" s="8" t="s">
        <v>35</v>
      </c>
      <c r="G865" s="8" t="s">
        <v>35</v>
      </c>
      <c r="H865" t="str">
        <f t="shared" si="13"/>
        <v>YES</v>
      </c>
    </row>
    <row r="866" spans="1:8" x14ac:dyDescent="0.2">
      <c r="A866" s="6" t="s">
        <v>880</v>
      </c>
      <c r="B866" s="7">
        <v>1</v>
      </c>
      <c r="C866" s="7">
        <v>0</v>
      </c>
      <c r="D866" s="7">
        <v>0</v>
      </c>
      <c r="E866" s="7">
        <v>0</v>
      </c>
      <c r="F866" s="8" t="s">
        <v>35</v>
      </c>
      <c r="G866" s="8" t="s">
        <v>35</v>
      </c>
      <c r="H866" t="str">
        <f t="shared" si="13"/>
        <v>YES</v>
      </c>
    </row>
    <row r="867" spans="1:8" x14ac:dyDescent="0.2">
      <c r="A867" s="6" t="s">
        <v>881</v>
      </c>
      <c r="B867" s="7">
        <v>1</v>
      </c>
      <c r="C867" s="7">
        <v>0</v>
      </c>
      <c r="D867" s="7">
        <v>0</v>
      </c>
      <c r="E867" s="7">
        <v>0</v>
      </c>
      <c r="F867" s="8" t="s">
        <v>35</v>
      </c>
      <c r="G867" s="8" t="s">
        <v>35</v>
      </c>
      <c r="H867" t="str">
        <f t="shared" si="13"/>
        <v>YES</v>
      </c>
    </row>
    <row r="868" spans="1:8" x14ac:dyDescent="0.2">
      <c r="A868" s="6" t="s">
        <v>882</v>
      </c>
      <c r="B868" s="7">
        <v>1</v>
      </c>
      <c r="C868" s="7">
        <v>0</v>
      </c>
      <c r="D868" s="7">
        <v>0</v>
      </c>
      <c r="E868" s="7">
        <v>0</v>
      </c>
      <c r="F868" s="8" t="s">
        <v>35</v>
      </c>
      <c r="G868" s="8" t="s">
        <v>35</v>
      </c>
      <c r="H868" t="str">
        <f t="shared" si="13"/>
        <v>YES</v>
      </c>
    </row>
    <row r="869" spans="1:8" x14ac:dyDescent="0.2">
      <c r="A869" s="6" t="s">
        <v>883</v>
      </c>
      <c r="B869" s="7">
        <v>1</v>
      </c>
      <c r="C869" s="7">
        <v>0</v>
      </c>
      <c r="D869" s="7">
        <v>0</v>
      </c>
      <c r="E869" s="7">
        <v>0</v>
      </c>
      <c r="F869" s="8" t="s">
        <v>35</v>
      </c>
      <c r="G869" s="8" t="s">
        <v>35</v>
      </c>
      <c r="H869" t="str">
        <f t="shared" si="13"/>
        <v>YES</v>
      </c>
    </row>
    <row r="870" spans="1:8" x14ac:dyDescent="0.2">
      <c r="A870" s="6" t="s">
        <v>884</v>
      </c>
      <c r="B870" s="7">
        <v>1</v>
      </c>
      <c r="C870" s="7">
        <v>0</v>
      </c>
      <c r="D870" s="7">
        <v>0</v>
      </c>
      <c r="E870" s="7">
        <v>0</v>
      </c>
      <c r="F870" s="8" t="s">
        <v>35</v>
      </c>
      <c r="G870" s="8" t="s">
        <v>35</v>
      </c>
      <c r="H870" t="str">
        <f t="shared" si="13"/>
        <v>YES</v>
      </c>
    </row>
    <row r="871" spans="1:8" x14ac:dyDescent="0.2">
      <c r="A871" s="6" t="s">
        <v>885</v>
      </c>
      <c r="B871" s="7">
        <v>1</v>
      </c>
      <c r="C871" s="7">
        <v>0</v>
      </c>
      <c r="D871" s="7">
        <v>0</v>
      </c>
      <c r="E871" s="7">
        <v>0</v>
      </c>
      <c r="F871" s="8" t="s">
        <v>35</v>
      </c>
      <c r="G871" s="8" t="s">
        <v>35</v>
      </c>
      <c r="H871" t="str">
        <f t="shared" si="13"/>
        <v>YES</v>
      </c>
    </row>
    <row r="872" spans="1:8" x14ac:dyDescent="0.2">
      <c r="A872" s="6" t="s">
        <v>886</v>
      </c>
      <c r="B872" s="7">
        <v>1</v>
      </c>
      <c r="C872" s="7">
        <v>0</v>
      </c>
      <c r="D872" s="7">
        <v>0</v>
      </c>
      <c r="E872" s="7">
        <v>0</v>
      </c>
      <c r="F872" s="8" t="s">
        <v>35</v>
      </c>
      <c r="G872" s="8" t="s">
        <v>35</v>
      </c>
      <c r="H872" t="str">
        <f t="shared" si="13"/>
        <v>YES</v>
      </c>
    </row>
    <row r="873" spans="1:8" x14ac:dyDescent="0.2">
      <c r="A873" s="6" t="s">
        <v>887</v>
      </c>
      <c r="B873" s="7">
        <v>1</v>
      </c>
      <c r="C873" s="7">
        <v>0</v>
      </c>
      <c r="D873" s="7">
        <v>0</v>
      </c>
      <c r="E873" s="7">
        <v>0</v>
      </c>
      <c r="F873" s="8" t="s">
        <v>35</v>
      </c>
      <c r="G873" s="8" t="s">
        <v>35</v>
      </c>
      <c r="H873" t="str">
        <f t="shared" si="13"/>
        <v>YES</v>
      </c>
    </row>
    <row r="874" spans="1:8" x14ac:dyDescent="0.2">
      <c r="A874" s="6" t="s">
        <v>888</v>
      </c>
      <c r="B874" s="7">
        <v>1</v>
      </c>
      <c r="C874" s="7">
        <v>0</v>
      </c>
      <c r="D874" s="7">
        <v>0</v>
      </c>
      <c r="E874" s="7">
        <v>0</v>
      </c>
      <c r="F874" s="8" t="s">
        <v>35</v>
      </c>
      <c r="G874" s="8" t="s">
        <v>35</v>
      </c>
      <c r="H874" t="str">
        <f t="shared" si="13"/>
        <v>YES</v>
      </c>
    </row>
    <row r="875" spans="1:8" x14ac:dyDescent="0.2">
      <c r="A875" s="6" t="s">
        <v>889</v>
      </c>
      <c r="B875" s="7">
        <v>1</v>
      </c>
      <c r="C875" s="7">
        <v>0</v>
      </c>
      <c r="D875" s="7">
        <v>0</v>
      </c>
      <c r="E875" s="7">
        <v>0</v>
      </c>
      <c r="F875" s="8" t="s">
        <v>35</v>
      </c>
      <c r="G875" s="8" t="s">
        <v>35</v>
      </c>
      <c r="H875" t="str">
        <f t="shared" si="13"/>
        <v>YES</v>
      </c>
    </row>
    <row r="876" spans="1:8" x14ac:dyDescent="0.2">
      <c r="A876" s="6" t="s">
        <v>890</v>
      </c>
      <c r="B876" s="7">
        <v>1</v>
      </c>
      <c r="C876" s="7">
        <v>0</v>
      </c>
      <c r="D876" s="7">
        <v>0</v>
      </c>
      <c r="E876" s="7">
        <v>0</v>
      </c>
      <c r="F876" s="8" t="s">
        <v>35</v>
      </c>
      <c r="G876" s="8" t="s">
        <v>35</v>
      </c>
      <c r="H876" t="str">
        <f t="shared" si="13"/>
        <v>YES</v>
      </c>
    </row>
    <row r="877" spans="1:8" x14ac:dyDescent="0.2">
      <c r="A877" s="6" t="s">
        <v>891</v>
      </c>
      <c r="B877" s="7">
        <v>1</v>
      </c>
      <c r="C877" s="7">
        <v>0</v>
      </c>
      <c r="D877" s="7">
        <v>0</v>
      </c>
      <c r="E877" s="7">
        <v>0</v>
      </c>
      <c r="F877" s="8" t="s">
        <v>35</v>
      </c>
      <c r="G877" s="8" t="s">
        <v>35</v>
      </c>
      <c r="H877" t="str">
        <f t="shared" si="13"/>
        <v>YES</v>
      </c>
    </row>
    <row r="878" spans="1:8" x14ac:dyDescent="0.2">
      <c r="A878" s="6" t="s">
        <v>892</v>
      </c>
      <c r="B878" s="7">
        <v>1</v>
      </c>
      <c r="C878" s="7">
        <v>0</v>
      </c>
      <c r="D878" s="7">
        <v>0</v>
      </c>
      <c r="E878" s="7">
        <v>0</v>
      </c>
      <c r="F878" s="8" t="s">
        <v>35</v>
      </c>
      <c r="G878" s="8" t="s">
        <v>35</v>
      </c>
      <c r="H878" t="str">
        <f t="shared" si="13"/>
        <v>YES</v>
      </c>
    </row>
    <row r="879" spans="1:8" x14ac:dyDescent="0.2">
      <c r="A879" s="6" t="s">
        <v>893</v>
      </c>
      <c r="B879" s="7">
        <v>1</v>
      </c>
      <c r="C879" s="7">
        <v>0</v>
      </c>
      <c r="D879" s="7">
        <v>0</v>
      </c>
      <c r="E879" s="7">
        <v>0</v>
      </c>
      <c r="F879" s="8" t="s">
        <v>35</v>
      </c>
      <c r="G879" s="8" t="s">
        <v>35</v>
      </c>
      <c r="H879" t="str">
        <f t="shared" si="13"/>
        <v>YES</v>
      </c>
    </row>
    <row r="880" spans="1:8" x14ac:dyDescent="0.2">
      <c r="A880" s="6" t="s">
        <v>894</v>
      </c>
      <c r="B880" s="7">
        <v>1</v>
      </c>
      <c r="C880" s="7">
        <v>0</v>
      </c>
      <c r="D880" s="7">
        <v>0</v>
      </c>
      <c r="E880" s="7">
        <v>0</v>
      </c>
      <c r="F880" s="8" t="s">
        <v>35</v>
      </c>
      <c r="G880" s="8" t="s">
        <v>35</v>
      </c>
      <c r="H880" t="str">
        <f t="shared" si="13"/>
        <v>YES</v>
      </c>
    </row>
    <row r="881" spans="1:8" x14ac:dyDescent="0.2">
      <c r="A881" s="6" t="s">
        <v>895</v>
      </c>
      <c r="B881" s="7">
        <v>1</v>
      </c>
      <c r="C881" s="7">
        <v>0</v>
      </c>
      <c r="D881" s="7">
        <v>0</v>
      </c>
      <c r="E881" s="7">
        <v>0</v>
      </c>
      <c r="F881" s="8" t="s">
        <v>35</v>
      </c>
      <c r="G881" s="8" t="s">
        <v>35</v>
      </c>
      <c r="H881" t="str">
        <f t="shared" si="13"/>
        <v>YES</v>
      </c>
    </row>
    <row r="882" spans="1:8" x14ac:dyDescent="0.2">
      <c r="A882" s="6" t="s">
        <v>896</v>
      </c>
      <c r="B882" s="7">
        <v>1</v>
      </c>
      <c r="C882" s="7">
        <v>0</v>
      </c>
      <c r="D882" s="7">
        <v>0</v>
      </c>
      <c r="E882" s="7">
        <v>0</v>
      </c>
      <c r="F882" s="8" t="s">
        <v>35</v>
      </c>
      <c r="G882" s="8" t="s">
        <v>35</v>
      </c>
      <c r="H882" t="str">
        <f t="shared" si="13"/>
        <v>YES</v>
      </c>
    </row>
    <row r="883" spans="1:8" x14ac:dyDescent="0.2">
      <c r="A883" s="6" t="s">
        <v>897</v>
      </c>
      <c r="B883" s="7">
        <v>1</v>
      </c>
      <c r="C883" s="7">
        <v>0</v>
      </c>
      <c r="D883" s="7">
        <v>0</v>
      </c>
      <c r="E883" s="7">
        <v>0</v>
      </c>
      <c r="F883" s="8" t="s">
        <v>35</v>
      </c>
      <c r="G883" s="8" t="s">
        <v>35</v>
      </c>
      <c r="H883" t="str">
        <f t="shared" si="13"/>
        <v>YES</v>
      </c>
    </row>
    <row r="884" spans="1:8" x14ac:dyDescent="0.2">
      <c r="A884" s="6" t="s">
        <v>898</v>
      </c>
      <c r="B884" s="7">
        <v>1</v>
      </c>
      <c r="C884" s="7">
        <v>0</v>
      </c>
      <c r="D884" s="7">
        <v>0</v>
      </c>
      <c r="E884" s="7">
        <v>0</v>
      </c>
      <c r="F884" s="8" t="s">
        <v>35</v>
      </c>
      <c r="G884" s="8" t="s">
        <v>35</v>
      </c>
      <c r="H884" t="str">
        <f t="shared" si="13"/>
        <v>YES</v>
      </c>
    </row>
    <row r="885" spans="1:8" x14ac:dyDescent="0.2">
      <c r="A885" s="6" t="s">
        <v>899</v>
      </c>
      <c r="B885" s="7">
        <v>1</v>
      </c>
      <c r="C885" s="7">
        <v>0</v>
      </c>
      <c r="D885" s="7">
        <v>0</v>
      </c>
      <c r="E885" s="7">
        <v>0</v>
      </c>
      <c r="F885" s="8" t="s">
        <v>35</v>
      </c>
      <c r="G885" s="8" t="s">
        <v>35</v>
      </c>
      <c r="H885" t="str">
        <f t="shared" si="13"/>
        <v>YES</v>
      </c>
    </row>
    <row r="886" spans="1:8" x14ac:dyDescent="0.2">
      <c r="A886" s="6" t="s">
        <v>900</v>
      </c>
      <c r="B886" s="7">
        <v>1</v>
      </c>
      <c r="C886" s="7">
        <v>0</v>
      </c>
      <c r="D886" s="7">
        <v>0</v>
      </c>
      <c r="E886" s="7">
        <v>0</v>
      </c>
      <c r="F886" s="8" t="s">
        <v>35</v>
      </c>
      <c r="G886" s="8" t="s">
        <v>35</v>
      </c>
      <c r="H886" t="str">
        <f t="shared" si="13"/>
        <v>YES</v>
      </c>
    </row>
    <row r="887" spans="1:8" x14ac:dyDescent="0.2">
      <c r="A887" s="6" t="s">
        <v>901</v>
      </c>
      <c r="B887" s="7">
        <v>1</v>
      </c>
      <c r="C887" s="7">
        <v>0</v>
      </c>
      <c r="D887" s="7">
        <v>0</v>
      </c>
      <c r="E887" s="7">
        <v>0</v>
      </c>
      <c r="F887" s="8" t="s">
        <v>35</v>
      </c>
      <c r="G887" s="8" t="s">
        <v>35</v>
      </c>
      <c r="H887" t="str">
        <f t="shared" si="13"/>
        <v>YES</v>
      </c>
    </row>
    <row r="888" spans="1:8" x14ac:dyDescent="0.2">
      <c r="A888" s="6" t="s">
        <v>902</v>
      </c>
      <c r="B888" s="7">
        <v>1</v>
      </c>
      <c r="C888" s="7">
        <v>0</v>
      </c>
      <c r="D888" s="7">
        <v>0</v>
      </c>
      <c r="E888" s="7">
        <v>0</v>
      </c>
      <c r="F888" s="8" t="s">
        <v>35</v>
      </c>
      <c r="G888" s="8" t="s">
        <v>35</v>
      </c>
      <c r="H888" t="str">
        <f t="shared" si="13"/>
        <v>YES</v>
      </c>
    </row>
    <row r="889" spans="1:8" x14ac:dyDescent="0.2">
      <c r="A889" s="6" t="s">
        <v>903</v>
      </c>
      <c r="B889" s="7">
        <v>1</v>
      </c>
      <c r="C889" s="7">
        <v>0</v>
      </c>
      <c r="D889" s="7">
        <v>0</v>
      </c>
      <c r="E889" s="7">
        <v>0</v>
      </c>
      <c r="F889" s="8" t="s">
        <v>35</v>
      </c>
      <c r="G889" s="8" t="s">
        <v>35</v>
      </c>
      <c r="H889" t="str">
        <f t="shared" si="13"/>
        <v>YES</v>
      </c>
    </row>
    <row r="890" spans="1:8" x14ac:dyDescent="0.2">
      <c r="A890" s="6" t="s">
        <v>904</v>
      </c>
      <c r="B890" s="7">
        <v>1</v>
      </c>
      <c r="C890" s="7">
        <v>0</v>
      </c>
      <c r="D890" s="7">
        <v>0</v>
      </c>
      <c r="E890" s="7">
        <v>0</v>
      </c>
      <c r="F890" s="8" t="s">
        <v>35</v>
      </c>
      <c r="G890" s="8" t="s">
        <v>35</v>
      </c>
      <c r="H890" t="str">
        <f t="shared" si="13"/>
        <v>YES</v>
      </c>
    </row>
    <row r="891" spans="1:8" x14ac:dyDescent="0.2">
      <c r="A891" s="6" t="s">
        <v>905</v>
      </c>
      <c r="B891" s="7">
        <v>1</v>
      </c>
      <c r="C891" s="7">
        <v>0</v>
      </c>
      <c r="D891" s="7">
        <v>0</v>
      </c>
      <c r="E891" s="7">
        <v>0</v>
      </c>
      <c r="F891" s="8" t="s">
        <v>35</v>
      </c>
      <c r="G891" s="8" t="s">
        <v>35</v>
      </c>
      <c r="H891" t="str">
        <f t="shared" si="13"/>
        <v>YES</v>
      </c>
    </row>
    <row r="892" spans="1:8" x14ac:dyDescent="0.2">
      <c r="A892" s="6" t="s">
        <v>906</v>
      </c>
      <c r="B892" s="7">
        <v>1</v>
      </c>
      <c r="C892" s="7">
        <v>0</v>
      </c>
      <c r="D892" s="7">
        <v>0</v>
      </c>
      <c r="E892" s="7">
        <v>0</v>
      </c>
      <c r="F892" s="8" t="s">
        <v>35</v>
      </c>
      <c r="G892" s="8" t="s">
        <v>35</v>
      </c>
      <c r="H892" t="str">
        <f t="shared" si="13"/>
        <v>YES</v>
      </c>
    </row>
    <row r="893" spans="1:8" x14ac:dyDescent="0.2">
      <c r="A893" s="6" t="s">
        <v>907</v>
      </c>
      <c r="B893" s="7">
        <v>1</v>
      </c>
      <c r="C893" s="7">
        <v>0</v>
      </c>
      <c r="D893" s="7">
        <v>0</v>
      </c>
      <c r="E893" s="7">
        <v>0</v>
      </c>
      <c r="F893" s="8" t="s">
        <v>35</v>
      </c>
      <c r="G893" s="8" t="s">
        <v>35</v>
      </c>
      <c r="H893" t="str">
        <f t="shared" si="13"/>
        <v>YES</v>
      </c>
    </row>
    <row r="894" spans="1:8" x14ac:dyDescent="0.2">
      <c r="A894" s="6" t="s">
        <v>908</v>
      </c>
      <c r="B894" s="7">
        <v>1</v>
      </c>
      <c r="C894" s="7">
        <v>0</v>
      </c>
      <c r="D894" s="7">
        <v>0</v>
      </c>
      <c r="E894" s="7">
        <v>0</v>
      </c>
      <c r="F894" s="8" t="s">
        <v>35</v>
      </c>
      <c r="G894" s="8" t="s">
        <v>35</v>
      </c>
      <c r="H894" t="str">
        <f t="shared" si="13"/>
        <v>YES</v>
      </c>
    </row>
    <row r="895" spans="1:8" x14ac:dyDescent="0.2">
      <c r="A895" s="6" t="s">
        <v>909</v>
      </c>
      <c r="B895" s="7">
        <v>1</v>
      </c>
      <c r="C895" s="7">
        <v>0</v>
      </c>
      <c r="D895" s="7">
        <v>0</v>
      </c>
      <c r="E895" s="7">
        <v>0</v>
      </c>
      <c r="F895" s="8" t="s">
        <v>35</v>
      </c>
      <c r="G895" s="8" t="s">
        <v>35</v>
      </c>
      <c r="H895" t="str">
        <f t="shared" si="13"/>
        <v>YES</v>
      </c>
    </row>
    <row r="896" spans="1:8" x14ac:dyDescent="0.2">
      <c r="A896" s="6" t="s">
        <v>910</v>
      </c>
      <c r="B896" s="7">
        <v>1</v>
      </c>
      <c r="C896" s="7">
        <v>0</v>
      </c>
      <c r="D896" s="7">
        <v>0</v>
      </c>
      <c r="E896" s="7">
        <v>0</v>
      </c>
      <c r="F896" s="8" t="s">
        <v>35</v>
      </c>
      <c r="G896" s="8" t="s">
        <v>35</v>
      </c>
      <c r="H896" t="str">
        <f t="shared" si="13"/>
        <v>YES</v>
      </c>
    </row>
    <row r="897" spans="1:8" x14ac:dyDescent="0.2">
      <c r="A897" s="6" t="s">
        <v>911</v>
      </c>
      <c r="B897" s="7">
        <v>1</v>
      </c>
      <c r="C897" s="7">
        <v>0</v>
      </c>
      <c r="D897" s="7">
        <v>0</v>
      </c>
      <c r="E897" s="7">
        <v>0</v>
      </c>
      <c r="F897" s="8" t="s">
        <v>35</v>
      </c>
      <c r="G897" s="8" t="s">
        <v>35</v>
      </c>
      <c r="H897" t="str">
        <f t="shared" si="13"/>
        <v>YES</v>
      </c>
    </row>
    <row r="898" spans="1:8" x14ac:dyDescent="0.2">
      <c r="A898" s="6" t="s">
        <v>912</v>
      </c>
      <c r="B898" s="7">
        <v>1</v>
      </c>
      <c r="C898" s="7">
        <v>0</v>
      </c>
      <c r="D898" s="7">
        <v>0</v>
      </c>
      <c r="E898" s="7">
        <v>0</v>
      </c>
      <c r="F898" s="8" t="s">
        <v>35</v>
      </c>
      <c r="G898" s="8" t="s">
        <v>35</v>
      </c>
      <c r="H898" t="str">
        <f t="shared" si="13"/>
        <v>YES</v>
      </c>
    </row>
    <row r="899" spans="1:8" x14ac:dyDescent="0.2">
      <c r="A899" s="6" t="s">
        <v>913</v>
      </c>
      <c r="B899" s="7">
        <v>1</v>
      </c>
      <c r="C899" s="7">
        <v>0</v>
      </c>
      <c r="D899" s="7">
        <v>0</v>
      </c>
      <c r="E899" s="7">
        <v>0</v>
      </c>
      <c r="F899" s="8" t="s">
        <v>35</v>
      </c>
      <c r="G899" s="8" t="s">
        <v>35</v>
      </c>
      <c r="H899" t="str">
        <f t="shared" si="13"/>
        <v>YES</v>
      </c>
    </row>
    <row r="900" spans="1:8" x14ac:dyDescent="0.2">
      <c r="A900" s="6" t="s">
        <v>914</v>
      </c>
      <c r="B900" s="7">
        <v>1</v>
      </c>
      <c r="C900" s="7">
        <v>0</v>
      </c>
      <c r="D900" s="7">
        <v>0</v>
      </c>
      <c r="E900" s="7">
        <v>0</v>
      </c>
      <c r="F900" s="8" t="s">
        <v>35</v>
      </c>
      <c r="G900" s="8" t="s">
        <v>35</v>
      </c>
      <c r="H900" t="str">
        <f t="shared" si="13"/>
        <v>YES</v>
      </c>
    </row>
    <row r="901" spans="1:8" x14ac:dyDescent="0.2">
      <c r="A901" s="6" t="s">
        <v>915</v>
      </c>
      <c r="B901" s="7">
        <v>1</v>
      </c>
      <c r="C901" s="7">
        <v>0</v>
      </c>
      <c r="D901" s="7">
        <v>0</v>
      </c>
      <c r="E901" s="7">
        <v>0</v>
      </c>
      <c r="F901" s="8" t="s">
        <v>35</v>
      </c>
      <c r="G901" s="8" t="s">
        <v>35</v>
      </c>
      <c r="H901" t="str">
        <f t="shared" ref="H901:H964" si="14">IF(F901=G901,"YES","NO")</f>
        <v>YES</v>
      </c>
    </row>
    <row r="902" spans="1:8" x14ac:dyDescent="0.2">
      <c r="A902" s="6" t="s">
        <v>916</v>
      </c>
      <c r="B902" s="7">
        <v>1</v>
      </c>
      <c r="C902" s="7">
        <v>0</v>
      </c>
      <c r="D902" s="7">
        <v>0</v>
      </c>
      <c r="E902" s="7">
        <v>0</v>
      </c>
      <c r="F902" s="8" t="s">
        <v>35</v>
      </c>
      <c r="G902" s="8" t="s">
        <v>35</v>
      </c>
      <c r="H902" t="str">
        <f t="shared" si="14"/>
        <v>YES</v>
      </c>
    </row>
    <row r="903" spans="1:8" x14ac:dyDescent="0.2">
      <c r="A903" s="6" t="s">
        <v>917</v>
      </c>
      <c r="B903" s="7">
        <v>1</v>
      </c>
      <c r="C903" s="7">
        <v>0</v>
      </c>
      <c r="D903" s="7">
        <v>0</v>
      </c>
      <c r="E903" s="7">
        <v>0</v>
      </c>
      <c r="F903" s="8" t="s">
        <v>35</v>
      </c>
      <c r="G903" s="8" t="s">
        <v>35</v>
      </c>
      <c r="H903" t="str">
        <f t="shared" si="14"/>
        <v>YES</v>
      </c>
    </row>
    <row r="904" spans="1:8" x14ac:dyDescent="0.2">
      <c r="A904" s="6" t="s">
        <v>918</v>
      </c>
      <c r="B904" s="7">
        <v>1</v>
      </c>
      <c r="C904" s="7">
        <v>0</v>
      </c>
      <c r="D904" s="7">
        <v>0</v>
      </c>
      <c r="E904" s="7">
        <v>0</v>
      </c>
      <c r="F904" s="8" t="s">
        <v>35</v>
      </c>
      <c r="G904" s="8" t="s">
        <v>35</v>
      </c>
      <c r="H904" t="str">
        <f t="shared" si="14"/>
        <v>YES</v>
      </c>
    </row>
    <row r="905" spans="1:8" x14ac:dyDescent="0.2">
      <c r="A905" s="6" t="s">
        <v>919</v>
      </c>
      <c r="B905" s="7">
        <v>1</v>
      </c>
      <c r="C905" s="7">
        <v>0</v>
      </c>
      <c r="D905" s="7">
        <v>0</v>
      </c>
      <c r="E905" s="7">
        <v>0</v>
      </c>
      <c r="F905" s="8" t="s">
        <v>35</v>
      </c>
      <c r="G905" s="8" t="s">
        <v>35</v>
      </c>
      <c r="H905" t="str">
        <f t="shared" si="14"/>
        <v>YES</v>
      </c>
    </row>
    <row r="906" spans="1:8" x14ac:dyDescent="0.2">
      <c r="A906" s="6" t="s">
        <v>920</v>
      </c>
      <c r="B906" s="7">
        <v>1</v>
      </c>
      <c r="C906" s="7">
        <v>0</v>
      </c>
      <c r="D906" s="7">
        <v>0</v>
      </c>
      <c r="E906" s="7">
        <v>0</v>
      </c>
      <c r="F906" s="8" t="s">
        <v>35</v>
      </c>
      <c r="G906" s="8" t="s">
        <v>35</v>
      </c>
      <c r="H906" t="str">
        <f t="shared" si="14"/>
        <v>YES</v>
      </c>
    </row>
    <row r="907" spans="1:8" x14ac:dyDescent="0.2">
      <c r="A907" s="6" t="s">
        <v>921</v>
      </c>
      <c r="B907" s="7">
        <v>1</v>
      </c>
      <c r="C907" s="7">
        <v>0</v>
      </c>
      <c r="D907" s="7">
        <v>0</v>
      </c>
      <c r="E907" s="7">
        <v>0</v>
      </c>
      <c r="F907" s="8" t="s">
        <v>35</v>
      </c>
      <c r="G907" s="8" t="s">
        <v>35</v>
      </c>
      <c r="H907" t="str">
        <f t="shared" si="14"/>
        <v>YES</v>
      </c>
    </row>
    <row r="908" spans="1:8" x14ac:dyDescent="0.2">
      <c r="A908" s="6" t="s">
        <v>922</v>
      </c>
      <c r="B908" s="7">
        <v>1</v>
      </c>
      <c r="C908" s="7">
        <v>0</v>
      </c>
      <c r="D908" s="7">
        <v>0</v>
      </c>
      <c r="E908" s="7">
        <v>0</v>
      </c>
      <c r="F908" s="8" t="s">
        <v>35</v>
      </c>
      <c r="G908" s="8" t="s">
        <v>35</v>
      </c>
      <c r="H908" t="str">
        <f t="shared" si="14"/>
        <v>YES</v>
      </c>
    </row>
    <row r="909" spans="1:8" x14ac:dyDescent="0.2">
      <c r="A909" s="6" t="s">
        <v>923</v>
      </c>
      <c r="B909" s="7">
        <v>2</v>
      </c>
      <c r="C909" s="7">
        <v>0</v>
      </c>
      <c r="D909" s="7">
        <v>0</v>
      </c>
      <c r="E909" s="7">
        <v>0</v>
      </c>
      <c r="F909" s="8" t="s">
        <v>35</v>
      </c>
      <c r="G909" s="8" t="s">
        <v>35</v>
      </c>
      <c r="H909" t="str">
        <f t="shared" si="14"/>
        <v>YES</v>
      </c>
    </row>
    <row r="910" spans="1:8" x14ac:dyDescent="0.2">
      <c r="A910" s="6" t="s">
        <v>924</v>
      </c>
      <c r="B910" s="7">
        <v>2</v>
      </c>
      <c r="C910" s="7">
        <v>0</v>
      </c>
      <c r="D910" s="7">
        <v>0</v>
      </c>
      <c r="E910" s="7">
        <v>0</v>
      </c>
      <c r="F910" s="8" t="s">
        <v>35</v>
      </c>
      <c r="G910" s="8" t="s">
        <v>35</v>
      </c>
      <c r="H910" t="str">
        <f t="shared" si="14"/>
        <v>YES</v>
      </c>
    </row>
    <row r="911" spans="1:8" x14ac:dyDescent="0.2">
      <c r="A911" s="6" t="s">
        <v>925</v>
      </c>
      <c r="B911" s="7">
        <v>2</v>
      </c>
      <c r="C911" s="7">
        <v>0</v>
      </c>
      <c r="D911" s="7">
        <v>0</v>
      </c>
      <c r="E911" s="7">
        <v>0</v>
      </c>
      <c r="F911" s="8" t="s">
        <v>35</v>
      </c>
      <c r="G911" s="8" t="s">
        <v>35</v>
      </c>
      <c r="H911" t="str">
        <f t="shared" si="14"/>
        <v>YES</v>
      </c>
    </row>
    <row r="912" spans="1:8" x14ac:dyDescent="0.2">
      <c r="A912" s="6" t="s">
        <v>926</v>
      </c>
      <c r="B912" s="7">
        <v>2</v>
      </c>
      <c r="C912" s="7">
        <v>0</v>
      </c>
      <c r="D912" s="7">
        <v>0</v>
      </c>
      <c r="E912" s="7">
        <v>0</v>
      </c>
      <c r="F912" s="8" t="s">
        <v>35</v>
      </c>
      <c r="G912" s="8" t="s">
        <v>35</v>
      </c>
      <c r="H912" t="str">
        <f t="shared" si="14"/>
        <v>YES</v>
      </c>
    </row>
    <row r="913" spans="1:8" x14ac:dyDescent="0.2">
      <c r="A913" s="6" t="s">
        <v>927</v>
      </c>
      <c r="B913" s="7">
        <v>2</v>
      </c>
      <c r="C913" s="7">
        <v>0</v>
      </c>
      <c r="D913" s="7">
        <v>0</v>
      </c>
      <c r="E913" s="7">
        <v>0</v>
      </c>
      <c r="F913" s="8" t="s">
        <v>35</v>
      </c>
      <c r="G913" s="8" t="s">
        <v>35</v>
      </c>
      <c r="H913" t="str">
        <f t="shared" si="14"/>
        <v>YES</v>
      </c>
    </row>
    <row r="914" spans="1:8" x14ac:dyDescent="0.2">
      <c r="A914" s="6" t="s">
        <v>928</v>
      </c>
      <c r="B914" s="7">
        <v>2</v>
      </c>
      <c r="C914" s="7">
        <v>0</v>
      </c>
      <c r="D914" s="7">
        <v>0</v>
      </c>
      <c r="E914" s="7">
        <v>0</v>
      </c>
      <c r="F914" s="8" t="s">
        <v>35</v>
      </c>
      <c r="G914" s="8" t="s">
        <v>35</v>
      </c>
      <c r="H914" t="str">
        <f t="shared" si="14"/>
        <v>YES</v>
      </c>
    </row>
    <row r="915" spans="1:8" x14ac:dyDescent="0.2">
      <c r="A915" s="6" t="s">
        <v>929</v>
      </c>
      <c r="B915" s="7">
        <v>2</v>
      </c>
      <c r="C915" s="7">
        <v>0</v>
      </c>
      <c r="D915" s="7">
        <v>0</v>
      </c>
      <c r="E915" s="7">
        <v>0</v>
      </c>
      <c r="F915" s="8" t="s">
        <v>35</v>
      </c>
      <c r="G915" s="8" t="s">
        <v>35</v>
      </c>
      <c r="H915" t="str">
        <f t="shared" si="14"/>
        <v>YES</v>
      </c>
    </row>
    <row r="916" spans="1:8" x14ac:dyDescent="0.2">
      <c r="A916" s="6" t="s">
        <v>930</v>
      </c>
      <c r="B916" s="7">
        <v>2</v>
      </c>
      <c r="C916" s="7">
        <v>0</v>
      </c>
      <c r="D916" s="7">
        <v>0</v>
      </c>
      <c r="E916" s="7">
        <v>0</v>
      </c>
      <c r="F916" s="8" t="s">
        <v>35</v>
      </c>
      <c r="G916" s="8" t="s">
        <v>35</v>
      </c>
      <c r="H916" t="str">
        <f t="shared" si="14"/>
        <v>YES</v>
      </c>
    </row>
    <row r="917" spans="1:8" x14ac:dyDescent="0.2">
      <c r="A917" s="6" t="s">
        <v>931</v>
      </c>
      <c r="B917" s="7">
        <v>2</v>
      </c>
      <c r="C917" s="7">
        <v>0</v>
      </c>
      <c r="D917" s="7">
        <v>0</v>
      </c>
      <c r="E917" s="7">
        <v>0</v>
      </c>
      <c r="F917" s="8" t="s">
        <v>35</v>
      </c>
      <c r="G917" s="8" t="s">
        <v>35</v>
      </c>
      <c r="H917" t="str">
        <f t="shared" si="14"/>
        <v>YES</v>
      </c>
    </row>
    <row r="918" spans="1:8" x14ac:dyDescent="0.2">
      <c r="A918" s="6" t="s">
        <v>932</v>
      </c>
      <c r="B918" s="7">
        <v>2</v>
      </c>
      <c r="C918" s="7">
        <v>0</v>
      </c>
      <c r="D918" s="7">
        <v>0</v>
      </c>
      <c r="E918" s="7">
        <v>0</v>
      </c>
      <c r="F918" s="8" t="s">
        <v>35</v>
      </c>
      <c r="G918" s="8" t="s">
        <v>35</v>
      </c>
      <c r="H918" t="str">
        <f t="shared" si="14"/>
        <v>YES</v>
      </c>
    </row>
    <row r="919" spans="1:8" x14ac:dyDescent="0.2">
      <c r="A919" s="6" t="s">
        <v>933</v>
      </c>
      <c r="B919" s="7">
        <v>2</v>
      </c>
      <c r="C919" s="7">
        <v>0</v>
      </c>
      <c r="D919" s="7">
        <v>0</v>
      </c>
      <c r="E919" s="7">
        <v>0</v>
      </c>
      <c r="F919" s="8" t="s">
        <v>35</v>
      </c>
      <c r="G919" s="8" t="s">
        <v>35</v>
      </c>
      <c r="H919" t="str">
        <f t="shared" si="14"/>
        <v>YES</v>
      </c>
    </row>
    <row r="920" spans="1:8" x14ac:dyDescent="0.2">
      <c r="A920" s="6" t="s">
        <v>934</v>
      </c>
      <c r="B920" s="7">
        <v>2</v>
      </c>
      <c r="C920" s="7">
        <v>0</v>
      </c>
      <c r="D920" s="7">
        <v>0</v>
      </c>
      <c r="E920" s="7">
        <v>0</v>
      </c>
      <c r="F920" s="8" t="s">
        <v>35</v>
      </c>
      <c r="G920" s="8" t="s">
        <v>35</v>
      </c>
      <c r="H920" t="str">
        <f t="shared" si="14"/>
        <v>YES</v>
      </c>
    </row>
    <row r="921" spans="1:8" x14ac:dyDescent="0.2">
      <c r="A921" s="6" t="s">
        <v>935</v>
      </c>
      <c r="B921" s="7">
        <v>2</v>
      </c>
      <c r="C921" s="7">
        <v>0</v>
      </c>
      <c r="D921" s="7">
        <v>0</v>
      </c>
      <c r="E921" s="7">
        <v>0</v>
      </c>
      <c r="F921" s="8" t="s">
        <v>35</v>
      </c>
      <c r="G921" s="8" t="s">
        <v>35</v>
      </c>
      <c r="H921" t="str">
        <f t="shared" si="14"/>
        <v>YES</v>
      </c>
    </row>
    <row r="922" spans="1:8" x14ac:dyDescent="0.2">
      <c r="A922" s="6" t="s">
        <v>936</v>
      </c>
      <c r="B922" s="7">
        <v>2</v>
      </c>
      <c r="C922" s="7">
        <v>0</v>
      </c>
      <c r="D922" s="7">
        <v>0</v>
      </c>
      <c r="E922" s="7">
        <v>0</v>
      </c>
      <c r="F922" s="8" t="s">
        <v>35</v>
      </c>
      <c r="G922" s="8" t="s">
        <v>35</v>
      </c>
      <c r="H922" t="str">
        <f t="shared" si="14"/>
        <v>YES</v>
      </c>
    </row>
    <row r="923" spans="1:8" x14ac:dyDescent="0.2">
      <c r="A923" s="6" t="s">
        <v>937</v>
      </c>
      <c r="B923" s="7">
        <v>2</v>
      </c>
      <c r="C923" s="7">
        <v>0</v>
      </c>
      <c r="D923" s="7">
        <v>0</v>
      </c>
      <c r="E923" s="7">
        <v>0</v>
      </c>
      <c r="F923" s="8" t="s">
        <v>35</v>
      </c>
      <c r="G923" s="8" t="s">
        <v>35</v>
      </c>
      <c r="H923" t="str">
        <f t="shared" si="14"/>
        <v>YES</v>
      </c>
    </row>
    <row r="924" spans="1:8" x14ac:dyDescent="0.2">
      <c r="A924" s="6" t="s">
        <v>938</v>
      </c>
      <c r="B924" s="7">
        <v>2</v>
      </c>
      <c r="C924" s="7">
        <v>0</v>
      </c>
      <c r="D924" s="7">
        <v>0</v>
      </c>
      <c r="E924" s="7">
        <v>0</v>
      </c>
      <c r="F924" s="8" t="s">
        <v>35</v>
      </c>
      <c r="G924" s="8" t="s">
        <v>35</v>
      </c>
      <c r="H924" t="str">
        <f t="shared" si="14"/>
        <v>YES</v>
      </c>
    </row>
    <row r="925" spans="1:8" x14ac:dyDescent="0.2">
      <c r="A925" s="6" t="s">
        <v>939</v>
      </c>
      <c r="B925" s="7">
        <v>2</v>
      </c>
      <c r="C925" s="7">
        <v>0</v>
      </c>
      <c r="D925" s="7">
        <v>0</v>
      </c>
      <c r="E925" s="7">
        <v>0</v>
      </c>
      <c r="F925" s="8" t="s">
        <v>35</v>
      </c>
      <c r="G925" s="8" t="s">
        <v>35</v>
      </c>
      <c r="H925" t="str">
        <f t="shared" si="14"/>
        <v>YES</v>
      </c>
    </row>
    <row r="926" spans="1:8" x14ac:dyDescent="0.2">
      <c r="A926" s="6" t="s">
        <v>940</v>
      </c>
      <c r="B926" s="7">
        <v>2</v>
      </c>
      <c r="C926" s="7">
        <v>0</v>
      </c>
      <c r="D926" s="7">
        <v>0</v>
      </c>
      <c r="E926" s="7">
        <v>0</v>
      </c>
      <c r="F926" s="8" t="s">
        <v>35</v>
      </c>
      <c r="G926" s="8" t="s">
        <v>35</v>
      </c>
      <c r="H926" t="str">
        <f t="shared" si="14"/>
        <v>YES</v>
      </c>
    </row>
    <row r="927" spans="1:8" x14ac:dyDescent="0.2">
      <c r="A927" s="6" t="s">
        <v>941</v>
      </c>
      <c r="B927" s="7">
        <v>2</v>
      </c>
      <c r="C927" s="7">
        <v>0</v>
      </c>
      <c r="D927" s="7">
        <v>0</v>
      </c>
      <c r="E927" s="7">
        <v>0</v>
      </c>
      <c r="F927" s="8" t="s">
        <v>35</v>
      </c>
      <c r="G927" s="8" t="s">
        <v>35</v>
      </c>
      <c r="H927" t="str">
        <f t="shared" si="14"/>
        <v>YES</v>
      </c>
    </row>
    <row r="928" spans="1:8" x14ac:dyDescent="0.2">
      <c r="A928" s="6" t="s">
        <v>942</v>
      </c>
      <c r="B928" s="7">
        <v>2</v>
      </c>
      <c r="C928" s="7">
        <v>0</v>
      </c>
      <c r="D928" s="7">
        <v>0</v>
      </c>
      <c r="E928" s="7">
        <v>0</v>
      </c>
      <c r="F928" s="8" t="s">
        <v>35</v>
      </c>
      <c r="G928" s="8" t="s">
        <v>35</v>
      </c>
      <c r="H928" t="str">
        <f t="shared" si="14"/>
        <v>YES</v>
      </c>
    </row>
    <row r="929" spans="1:8" x14ac:dyDescent="0.2">
      <c r="A929" s="6" t="s">
        <v>943</v>
      </c>
      <c r="B929" s="7">
        <v>2</v>
      </c>
      <c r="C929" s="7">
        <v>0</v>
      </c>
      <c r="D929" s="7">
        <v>0</v>
      </c>
      <c r="E929" s="7">
        <v>0</v>
      </c>
      <c r="F929" s="8" t="s">
        <v>35</v>
      </c>
      <c r="G929" s="8" t="s">
        <v>35</v>
      </c>
      <c r="H929" t="str">
        <f t="shared" si="14"/>
        <v>YES</v>
      </c>
    </row>
    <row r="930" spans="1:8" x14ac:dyDescent="0.2">
      <c r="A930" s="6" t="s">
        <v>944</v>
      </c>
      <c r="B930" s="7">
        <v>2</v>
      </c>
      <c r="C930" s="7">
        <v>0</v>
      </c>
      <c r="D930" s="7">
        <v>0</v>
      </c>
      <c r="E930" s="7">
        <v>0</v>
      </c>
      <c r="F930" s="8" t="s">
        <v>35</v>
      </c>
      <c r="G930" s="8" t="s">
        <v>35</v>
      </c>
      <c r="H930" t="str">
        <f t="shared" si="14"/>
        <v>YES</v>
      </c>
    </row>
    <row r="931" spans="1:8" x14ac:dyDescent="0.2">
      <c r="A931" s="6" t="s">
        <v>945</v>
      </c>
      <c r="B931" s="7">
        <v>2</v>
      </c>
      <c r="C931" s="7">
        <v>0</v>
      </c>
      <c r="D931" s="7">
        <v>0</v>
      </c>
      <c r="E931" s="7">
        <v>0</v>
      </c>
      <c r="F931" s="8" t="s">
        <v>35</v>
      </c>
      <c r="G931" s="8" t="s">
        <v>35</v>
      </c>
      <c r="H931" t="str">
        <f t="shared" si="14"/>
        <v>YES</v>
      </c>
    </row>
    <row r="932" spans="1:8" x14ac:dyDescent="0.2">
      <c r="A932" s="6" t="s">
        <v>946</v>
      </c>
      <c r="B932" s="7">
        <v>2</v>
      </c>
      <c r="C932" s="7">
        <v>0</v>
      </c>
      <c r="D932" s="7">
        <v>0</v>
      </c>
      <c r="E932" s="7">
        <v>0</v>
      </c>
      <c r="F932" s="8" t="s">
        <v>35</v>
      </c>
      <c r="G932" s="8" t="s">
        <v>35</v>
      </c>
      <c r="H932" t="str">
        <f t="shared" si="14"/>
        <v>YES</v>
      </c>
    </row>
    <row r="933" spans="1:8" x14ac:dyDescent="0.2">
      <c r="A933" s="6" t="s">
        <v>947</v>
      </c>
      <c r="B933" s="7">
        <v>2</v>
      </c>
      <c r="C933" s="7">
        <v>0</v>
      </c>
      <c r="D933" s="7">
        <v>0</v>
      </c>
      <c r="E933" s="7">
        <v>0</v>
      </c>
      <c r="F933" s="8" t="s">
        <v>35</v>
      </c>
      <c r="G933" s="8" t="s">
        <v>35</v>
      </c>
      <c r="H933" t="str">
        <f t="shared" si="14"/>
        <v>YES</v>
      </c>
    </row>
    <row r="934" spans="1:8" x14ac:dyDescent="0.2">
      <c r="A934" s="6" t="s">
        <v>948</v>
      </c>
      <c r="B934" s="7">
        <v>2</v>
      </c>
      <c r="C934" s="7">
        <v>0</v>
      </c>
      <c r="D934" s="7">
        <v>0</v>
      </c>
      <c r="E934" s="7">
        <v>0</v>
      </c>
      <c r="F934" s="8" t="s">
        <v>35</v>
      </c>
      <c r="G934" s="8" t="s">
        <v>35</v>
      </c>
      <c r="H934" t="str">
        <f t="shared" si="14"/>
        <v>YES</v>
      </c>
    </row>
    <row r="935" spans="1:8" x14ac:dyDescent="0.2">
      <c r="A935" s="6" t="s">
        <v>949</v>
      </c>
      <c r="B935" s="7">
        <v>2</v>
      </c>
      <c r="C935" s="7">
        <v>0</v>
      </c>
      <c r="D935" s="7">
        <v>0</v>
      </c>
      <c r="E935" s="7">
        <v>0</v>
      </c>
      <c r="F935" s="8" t="s">
        <v>35</v>
      </c>
      <c r="G935" s="8" t="s">
        <v>35</v>
      </c>
      <c r="H935" t="str">
        <f t="shared" si="14"/>
        <v>YES</v>
      </c>
    </row>
    <row r="936" spans="1:8" x14ac:dyDescent="0.2">
      <c r="A936" s="6" t="s">
        <v>950</v>
      </c>
      <c r="B936" s="7">
        <v>2</v>
      </c>
      <c r="C936" s="7">
        <v>0</v>
      </c>
      <c r="D936" s="7">
        <v>0</v>
      </c>
      <c r="E936" s="7">
        <v>0</v>
      </c>
      <c r="F936" s="8" t="s">
        <v>35</v>
      </c>
      <c r="G936" s="8" t="s">
        <v>35</v>
      </c>
      <c r="H936" t="str">
        <f t="shared" si="14"/>
        <v>YES</v>
      </c>
    </row>
    <row r="937" spans="1:8" x14ac:dyDescent="0.2">
      <c r="A937" s="6" t="s">
        <v>951</v>
      </c>
      <c r="B937" s="7">
        <v>2</v>
      </c>
      <c r="C937" s="7">
        <v>0</v>
      </c>
      <c r="D937" s="7">
        <v>0</v>
      </c>
      <c r="E937" s="7">
        <v>0</v>
      </c>
      <c r="F937" s="8" t="s">
        <v>35</v>
      </c>
      <c r="G937" s="8" t="s">
        <v>35</v>
      </c>
      <c r="H937" t="str">
        <f t="shared" si="14"/>
        <v>YES</v>
      </c>
    </row>
    <row r="938" spans="1:8" x14ac:dyDescent="0.2">
      <c r="A938" s="6" t="s">
        <v>952</v>
      </c>
      <c r="B938" s="7">
        <v>2</v>
      </c>
      <c r="C938" s="7">
        <v>0</v>
      </c>
      <c r="D938" s="7">
        <v>0</v>
      </c>
      <c r="E938" s="7">
        <v>0</v>
      </c>
      <c r="F938" s="8" t="s">
        <v>35</v>
      </c>
      <c r="G938" s="8" t="s">
        <v>35</v>
      </c>
      <c r="H938" t="str">
        <f t="shared" si="14"/>
        <v>YES</v>
      </c>
    </row>
    <row r="939" spans="1:8" x14ac:dyDescent="0.2">
      <c r="A939" s="6" t="s">
        <v>953</v>
      </c>
      <c r="B939" s="7">
        <v>2</v>
      </c>
      <c r="C939" s="7">
        <v>0</v>
      </c>
      <c r="D939" s="7">
        <v>0</v>
      </c>
      <c r="E939" s="7">
        <v>0</v>
      </c>
      <c r="F939" s="8" t="s">
        <v>35</v>
      </c>
      <c r="G939" s="8" t="s">
        <v>35</v>
      </c>
      <c r="H939" t="str">
        <f t="shared" si="14"/>
        <v>YES</v>
      </c>
    </row>
    <row r="940" spans="1:8" x14ac:dyDescent="0.2">
      <c r="A940" s="6" t="s">
        <v>954</v>
      </c>
      <c r="B940" s="7">
        <v>2</v>
      </c>
      <c r="C940" s="7">
        <v>0</v>
      </c>
      <c r="D940" s="7">
        <v>0</v>
      </c>
      <c r="E940" s="7">
        <v>0</v>
      </c>
      <c r="F940" s="8" t="s">
        <v>35</v>
      </c>
      <c r="G940" s="8" t="s">
        <v>35</v>
      </c>
      <c r="H940" t="str">
        <f t="shared" si="14"/>
        <v>YES</v>
      </c>
    </row>
    <row r="941" spans="1:8" x14ac:dyDescent="0.2">
      <c r="A941" s="6" t="s">
        <v>955</v>
      </c>
      <c r="B941" s="7">
        <v>2</v>
      </c>
      <c r="C941" s="7">
        <v>0</v>
      </c>
      <c r="D941" s="7">
        <v>0</v>
      </c>
      <c r="E941" s="7">
        <v>0</v>
      </c>
      <c r="F941" s="8" t="s">
        <v>35</v>
      </c>
      <c r="G941" s="8" t="s">
        <v>35</v>
      </c>
      <c r="H941" t="str">
        <f t="shared" si="14"/>
        <v>YES</v>
      </c>
    </row>
    <row r="942" spans="1:8" x14ac:dyDescent="0.2">
      <c r="A942" s="6" t="s">
        <v>956</v>
      </c>
      <c r="B942" s="7">
        <v>2</v>
      </c>
      <c r="C942" s="7">
        <v>0</v>
      </c>
      <c r="D942" s="7">
        <v>0</v>
      </c>
      <c r="E942" s="7">
        <v>0</v>
      </c>
      <c r="F942" s="8" t="s">
        <v>35</v>
      </c>
      <c r="G942" s="8" t="s">
        <v>35</v>
      </c>
      <c r="H942" t="str">
        <f t="shared" si="14"/>
        <v>YES</v>
      </c>
    </row>
    <row r="943" spans="1:8" x14ac:dyDescent="0.2">
      <c r="A943" s="6" t="s">
        <v>957</v>
      </c>
      <c r="B943" s="7">
        <v>2</v>
      </c>
      <c r="C943" s="7">
        <v>0</v>
      </c>
      <c r="D943" s="7">
        <v>0</v>
      </c>
      <c r="E943" s="7">
        <v>0</v>
      </c>
      <c r="F943" s="8" t="s">
        <v>35</v>
      </c>
      <c r="G943" s="8" t="s">
        <v>35</v>
      </c>
      <c r="H943" t="str">
        <f t="shared" si="14"/>
        <v>YES</v>
      </c>
    </row>
    <row r="944" spans="1:8" x14ac:dyDescent="0.2">
      <c r="A944" s="6" t="s">
        <v>958</v>
      </c>
      <c r="B944" s="7">
        <v>2</v>
      </c>
      <c r="C944" s="7">
        <v>0</v>
      </c>
      <c r="D944" s="7">
        <v>0</v>
      </c>
      <c r="E944" s="7">
        <v>0</v>
      </c>
      <c r="F944" s="8" t="s">
        <v>35</v>
      </c>
      <c r="G944" s="8" t="s">
        <v>35</v>
      </c>
      <c r="H944" t="str">
        <f t="shared" si="14"/>
        <v>YES</v>
      </c>
    </row>
    <row r="945" spans="1:8" x14ac:dyDescent="0.2">
      <c r="A945" s="6" t="s">
        <v>959</v>
      </c>
      <c r="B945" s="7">
        <v>2</v>
      </c>
      <c r="C945" s="7">
        <v>0</v>
      </c>
      <c r="D945" s="7">
        <v>0</v>
      </c>
      <c r="E945" s="7">
        <v>0</v>
      </c>
      <c r="F945" s="8" t="s">
        <v>35</v>
      </c>
      <c r="G945" s="8" t="s">
        <v>35</v>
      </c>
      <c r="H945" t="str">
        <f t="shared" si="14"/>
        <v>YES</v>
      </c>
    </row>
    <row r="946" spans="1:8" x14ac:dyDescent="0.2">
      <c r="A946" s="6" t="s">
        <v>960</v>
      </c>
      <c r="B946" s="7">
        <v>2</v>
      </c>
      <c r="C946" s="7">
        <v>0</v>
      </c>
      <c r="D946" s="7">
        <v>0</v>
      </c>
      <c r="E946" s="7">
        <v>0</v>
      </c>
      <c r="F946" s="8" t="s">
        <v>35</v>
      </c>
      <c r="G946" s="8" t="s">
        <v>35</v>
      </c>
      <c r="H946" t="str">
        <f t="shared" si="14"/>
        <v>YES</v>
      </c>
    </row>
    <row r="947" spans="1:8" x14ac:dyDescent="0.2">
      <c r="A947" s="6" t="s">
        <v>961</v>
      </c>
      <c r="B947" s="7">
        <v>2</v>
      </c>
      <c r="C947" s="7">
        <v>0</v>
      </c>
      <c r="D947" s="7">
        <v>0</v>
      </c>
      <c r="E947" s="7">
        <v>0</v>
      </c>
      <c r="F947" s="8" t="s">
        <v>35</v>
      </c>
      <c r="G947" s="8" t="s">
        <v>35</v>
      </c>
      <c r="H947" t="str">
        <f t="shared" si="14"/>
        <v>YES</v>
      </c>
    </row>
    <row r="948" spans="1:8" x14ac:dyDescent="0.2">
      <c r="A948" s="6" t="s">
        <v>962</v>
      </c>
      <c r="B948" s="7">
        <v>2</v>
      </c>
      <c r="C948" s="7">
        <v>0</v>
      </c>
      <c r="D948" s="7">
        <v>0</v>
      </c>
      <c r="E948" s="7">
        <v>0</v>
      </c>
      <c r="F948" s="8" t="s">
        <v>35</v>
      </c>
      <c r="G948" s="8" t="s">
        <v>35</v>
      </c>
      <c r="H948" t="str">
        <f t="shared" si="14"/>
        <v>YES</v>
      </c>
    </row>
    <row r="949" spans="1:8" x14ac:dyDescent="0.2">
      <c r="A949" s="6" t="s">
        <v>963</v>
      </c>
      <c r="B949" s="7">
        <v>2</v>
      </c>
      <c r="C949" s="7">
        <v>0</v>
      </c>
      <c r="D949" s="7">
        <v>0</v>
      </c>
      <c r="E949" s="7">
        <v>0</v>
      </c>
      <c r="F949" s="8" t="s">
        <v>35</v>
      </c>
      <c r="G949" s="8" t="s">
        <v>35</v>
      </c>
      <c r="H949" t="str">
        <f t="shared" si="14"/>
        <v>YES</v>
      </c>
    </row>
    <row r="950" spans="1:8" x14ac:dyDescent="0.2">
      <c r="A950" s="6" t="s">
        <v>964</v>
      </c>
      <c r="B950" s="7">
        <v>2</v>
      </c>
      <c r="C950" s="7">
        <v>0</v>
      </c>
      <c r="D950" s="7">
        <v>0</v>
      </c>
      <c r="E950" s="7">
        <v>0</v>
      </c>
      <c r="F950" s="8" t="s">
        <v>35</v>
      </c>
      <c r="G950" s="8" t="s">
        <v>35</v>
      </c>
      <c r="H950" t="str">
        <f t="shared" si="14"/>
        <v>YES</v>
      </c>
    </row>
    <row r="951" spans="1:8" x14ac:dyDescent="0.2">
      <c r="A951" s="6" t="s">
        <v>965</v>
      </c>
      <c r="B951" s="7">
        <v>2</v>
      </c>
      <c r="C951" s="7">
        <v>0</v>
      </c>
      <c r="D951" s="7">
        <v>0</v>
      </c>
      <c r="E951" s="7">
        <v>0</v>
      </c>
      <c r="F951" s="8" t="s">
        <v>35</v>
      </c>
      <c r="G951" s="8" t="s">
        <v>35</v>
      </c>
      <c r="H951" t="str">
        <f t="shared" si="14"/>
        <v>YES</v>
      </c>
    </row>
    <row r="952" spans="1:8" x14ac:dyDescent="0.2">
      <c r="A952" s="6" t="s">
        <v>966</v>
      </c>
      <c r="B952" s="7">
        <v>2</v>
      </c>
      <c r="C952" s="7">
        <v>0</v>
      </c>
      <c r="D952" s="7">
        <v>0</v>
      </c>
      <c r="E952" s="7">
        <v>0</v>
      </c>
      <c r="F952" s="8" t="s">
        <v>35</v>
      </c>
      <c r="G952" s="8" t="s">
        <v>35</v>
      </c>
      <c r="H952" t="str">
        <f t="shared" si="14"/>
        <v>YES</v>
      </c>
    </row>
    <row r="953" spans="1:8" x14ac:dyDescent="0.2">
      <c r="A953" s="6" t="s">
        <v>967</v>
      </c>
      <c r="B953" s="7">
        <v>2</v>
      </c>
      <c r="C953" s="7">
        <v>0</v>
      </c>
      <c r="D953" s="7">
        <v>0</v>
      </c>
      <c r="E953" s="7">
        <v>0</v>
      </c>
      <c r="F953" s="8" t="s">
        <v>35</v>
      </c>
      <c r="G953" s="8" t="s">
        <v>35</v>
      </c>
      <c r="H953" t="str">
        <f t="shared" si="14"/>
        <v>YES</v>
      </c>
    </row>
    <row r="954" spans="1:8" x14ac:dyDescent="0.2">
      <c r="A954" s="6" t="s">
        <v>968</v>
      </c>
      <c r="B954" s="7">
        <v>2</v>
      </c>
      <c r="C954" s="7">
        <v>0</v>
      </c>
      <c r="D954" s="7">
        <v>0</v>
      </c>
      <c r="E954" s="7">
        <v>0</v>
      </c>
      <c r="F954" s="8" t="s">
        <v>35</v>
      </c>
      <c r="G954" s="8" t="s">
        <v>35</v>
      </c>
      <c r="H954" t="str">
        <f t="shared" si="14"/>
        <v>YES</v>
      </c>
    </row>
    <row r="955" spans="1:8" x14ac:dyDescent="0.2">
      <c r="A955" s="6" t="s">
        <v>969</v>
      </c>
      <c r="B955" s="7">
        <v>2</v>
      </c>
      <c r="C955" s="7">
        <v>0</v>
      </c>
      <c r="D955" s="7">
        <v>0</v>
      </c>
      <c r="E955" s="7">
        <v>0</v>
      </c>
      <c r="F955" s="8" t="s">
        <v>35</v>
      </c>
      <c r="G955" s="8" t="s">
        <v>35</v>
      </c>
      <c r="H955" t="str">
        <f t="shared" si="14"/>
        <v>YES</v>
      </c>
    </row>
    <row r="956" spans="1:8" x14ac:dyDescent="0.2">
      <c r="A956" s="6" t="s">
        <v>970</v>
      </c>
      <c r="B956" s="7">
        <v>2</v>
      </c>
      <c r="C956" s="7">
        <v>0</v>
      </c>
      <c r="D956" s="7">
        <v>0</v>
      </c>
      <c r="E956" s="7">
        <v>0</v>
      </c>
      <c r="F956" s="8" t="s">
        <v>35</v>
      </c>
      <c r="G956" s="8" t="s">
        <v>35</v>
      </c>
      <c r="H956" t="str">
        <f t="shared" si="14"/>
        <v>YES</v>
      </c>
    </row>
    <row r="957" spans="1:8" x14ac:dyDescent="0.2">
      <c r="A957" s="6" t="s">
        <v>971</v>
      </c>
      <c r="B957" s="7">
        <v>2</v>
      </c>
      <c r="C957" s="7">
        <v>0</v>
      </c>
      <c r="D957" s="7">
        <v>0</v>
      </c>
      <c r="E957" s="7">
        <v>0</v>
      </c>
      <c r="F957" s="8" t="s">
        <v>35</v>
      </c>
      <c r="G957" s="8" t="s">
        <v>35</v>
      </c>
      <c r="H957" t="str">
        <f t="shared" si="14"/>
        <v>YES</v>
      </c>
    </row>
    <row r="958" spans="1:8" x14ac:dyDescent="0.2">
      <c r="A958" s="6" t="s">
        <v>972</v>
      </c>
      <c r="B958" s="7">
        <v>2</v>
      </c>
      <c r="C958" s="7">
        <v>0</v>
      </c>
      <c r="D958" s="7">
        <v>0</v>
      </c>
      <c r="E958" s="7">
        <v>0</v>
      </c>
      <c r="F958" s="8" t="s">
        <v>35</v>
      </c>
      <c r="G958" s="8" t="s">
        <v>35</v>
      </c>
      <c r="H958" t="str">
        <f t="shared" si="14"/>
        <v>YES</v>
      </c>
    </row>
    <row r="959" spans="1:8" x14ac:dyDescent="0.2">
      <c r="A959" s="6" t="s">
        <v>973</v>
      </c>
      <c r="B959" s="7">
        <v>2</v>
      </c>
      <c r="C959" s="7">
        <v>0</v>
      </c>
      <c r="D959" s="7">
        <v>0</v>
      </c>
      <c r="E959" s="7">
        <v>0</v>
      </c>
      <c r="F959" s="8" t="s">
        <v>35</v>
      </c>
      <c r="G959" s="8" t="s">
        <v>35</v>
      </c>
      <c r="H959" t="str">
        <f t="shared" si="14"/>
        <v>YES</v>
      </c>
    </row>
    <row r="960" spans="1:8" x14ac:dyDescent="0.2">
      <c r="A960" s="6" t="s">
        <v>974</v>
      </c>
      <c r="B960" s="7">
        <v>2</v>
      </c>
      <c r="C960" s="7">
        <v>0</v>
      </c>
      <c r="D960" s="7">
        <v>0</v>
      </c>
      <c r="E960" s="7">
        <v>0</v>
      </c>
      <c r="F960" s="8" t="s">
        <v>35</v>
      </c>
      <c r="G960" s="8" t="s">
        <v>35</v>
      </c>
      <c r="H960" t="str">
        <f t="shared" si="14"/>
        <v>YES</v>
      </c>
    </row>
    <row r="961" spans="1:8" x14ac:dyDescent="0.2">
      <c r="A961" s="6" t="s">
        <v>975</v>
      </c>
      <c r="B961" s="7">
        <v>2</v>
      </c>
      <c r="C961" s="7">
        <v>0</v>
      </c>
      <c r="D961" s="7">
        <v>0</v>
      </c>
      <c r="E961" s="7">
        <v>0</v>
      </c>
      <c r="F961" s="8" t="s">
        <v>35</v>
      </c>
      <c r="G961" s="8" t="s">
        <v>35</v>
      </c>
      <c r="H961" t="str">
        <f t="shared" si="14"/>
        <v>YES</v>
      </c>
    </row>
    <row r="962" spans="1:8" x14ac:dyDescent="0.2">
      <c r="A962" s="6" t="s">
        <v>976</v>
      </c>
      <c r="B962" s="7">
        <v>2</v>
      </c>
      <c r="C962" s="7">
        <v>0</v>
      </c>
      <c r="D962" s="7">
        <v>0</v>
      </c>
      <c r="E962" s="7">
        <v>0</v>
      </c>
      <c r="F962" s="8" t="s">
        <v>35</v>
      </c>
      <c r="G962" s="8" t="s">
        <v>35</v>
      </c>
      <c r="H962" t="str">
        <f t="shared" si="14"/>
        <v>YES</v>
      </c>
    </row>
    <row r="963" spans="1:8" x14ac:dyDescent="0.2">
      <c r="A963" s="6" t="s">
        <v>977</v>
      </c>
      <c r="B963" s="7">
        <v>2</v>
      </c>
      <c r="C963" s="7">
        <v>0</v>
      </c>
      <c r="D963" s="7">
        <v>0</v>
      </c>
      <c r="E963" s="7">
        <v>0</v>
      </c>
      <c r="F963" s="8" t="s">
        <v>35</v>
      </c>
      <c r="G963" s="8" t="s">
        <v>35</v>
      </c>
      <c r="H963" t="str">
        <f t="shared" si="14"/>
        <v>YES</v>
      </c>
    </row>
    <row r="964" spans="1:8" x14ac:dyDescent="0.2">
      <c r="A964" s="6" t="s">
        <v>978</v>
      </c>
      <c r="B964" s="7">
        <v>2</v>
      </c>
      <c r="C964" s="7">
        <v>0</v>
      </c>
      <c r="D964" s="7">
        <v>0</v>
      </c>
      <c r="E964" s="7">
        <v>0</v>
      </c>
      <c r="F964" s="8" t="s">
        <v>35</v>
      </c>
      <c r="G964" s="8" t="s">
        <v>35</v>
      </c>
      <c r="H964" t="str">
        <f t="shared" si="14"/>
        <v>YES</v>
      </c>
    </row>
    <row r="965" spans="1:8" x14ac:dyDescent="0.2">
      <c r="A965" s="6" t="s">
        <v>979</v>
      </c>
      <c r="B965" s="7">
        <v>2</v>
      </c>
      <c r="C965" s="7">
        <v>0</v>
      </c>
      <c r="D965" s="7">
        <v>0</v>
      </c>
      <c r="E965" s="7">
        <v>0</v>
      </c>
      <c r="F965" s="8" t="s">
        <v>35</v>
      </c>
      <c r="G965" s="8" t="s">
        <v>35</v>
      </c>
      <c r="H965" t="str">
        <f t="shared" ref="H965:H1028" si="15">IF(F965=G965,"YES","NO")</f>
        <v>YES</v>
      </c>
    </row>
    <row r="966" spans="1:8" x14ac:dyDescent="0.2">
      <c r="A966" s="6" t="s">
        <v>980</v>
      </c>
      <c r="B966" s="7">
        <v>2</v>
      </c>
      <c r="C966" s="7">
        <v>0</v>
      </c>
      <c r="D966" s="7">
        <v>0</v>
      </c>
      <c r="E966" s="7">
        <v>0</v>
      </c>
      <c r="F966" s="8" t="s">
        <v>35</v>
      </c>
      <c r="G966" s="8" t="s">
        <v>35</v>
      </c>
      <c r="H966" t="str">
        <f t="shared" si="15"/>
        <v>YES</v>
      </c>
    </row>
    <row r="967" spans="1:8" x14ac:dyDescent="0.2">
      <c r="A967" s="6" t="s">
        <v>981</v>
      </c>
      <c r="B967" s="7">
        <v>2</v>
      </c>
      <c r="C967" s="7">
        <v>0</v>
      </c>
      <c r="D967" s="7">
        <v>0</v>
      </c>
      <c r="E967" s="7">
        <v>0</v>
      </c>
      <c r="F967" s="8" t="s">
        <v>35</v>
      </c>
      <c r="G967" s="8" t="s">
        <v>35</v>
      </c>
      <c r="H967" t="str">
        <f t="shared" si="15"/>
        <v>YES</v>
      </c>
    </row>
    <row r="968" spans="1:8" x14ac:dyDescent="0.2">
      <c r="A968" s="6" t="s">
        <v>982</v>
      </c>
      <c r="B968" s="7">
        <v>2</v>
      </c>
      <c r="C968" s="7">
        <v>0</v>
      </c>
      <c r="D968" s="7">
        <v>0</v>
      </c>
      <c r="E968" s="7">
        <v>0</v>
      </c>
      <c r="F968" s="8" t="s">
        <v>35</v>
      </c>
      <c r="G968" s="8" t="s">
        <v>35</v>
      </c>
      <c r="H968" t="str">
        <f t="shared" si="15"/>
        <v>YES</v>
      </c>
    </row>
    <row r="969" spans="1:8" x14ac:dyDescent="0.2">
      <c r="A969" s="6" t="s">
        <v>983</v>
      </c>
      <c r="B969" s="7">
        <v>2</v>
      </c>
      <c r="C969" s="7">
        <v>0</v>
      </c>
      <c r="D969" s="7">
        <v>0</v>
      </c>
      <c r="E969" s="7">
        <v>0</v>
      </c>
      <c r="F969" s="8" t="s">
        <v>35</v>
      </c>
      <c r="G969" s="8" t="s">
        <v>35</v>
      </c>
      <c r="H969" t="str">
        <f t="shared" si="15"/>
        <v>YES</v>
      </c>
    </row>
    <row r="970" spans="1:8" x14ac:dyDescent="0.2">
      <c r="A970" s="6" t="s">
        <v>984</v>
      </c>
      <c r="B970" s="7">
        <v>2</v>
      </c>
      <c r="C970" s="7">
        <v>0</v>
      </c>
      <c r="D970" s="7">
        <v>0</v>
      </c>
      <c r="E970" s="7">
        <v>0</v>
      </c>
      <c r="F970" s="8" t="s">
        <v>35</v>
      </c>
      <c r="G970" s="8" t="s">
        <v>35</v>
      </c>
      <c r="H970" t="str">
        <f t="shared" si="15"/>
        <v>YES</v>
      </c>
    </row>
    <row r="971" spans="1:8" x14ac:dyDescent="0.2">
      <c r="A971" s="6" t="s">
        <v>985</v>
      </c>
      <c r="B971" s="7">
        <v>2</v>
      </c>
      <c r="C971" s="7">
        <v>0</v>
      </c>
      <c r="D971" s="7">
        <v>0</v>
      </c>
      <c r="E971" s="7">
        <v>0</v>
      </c>
      <c r="F971" s="8" t="s">
        <v>35</v>
      </c>
      <c r="G971" s="8" t="s">
        <v>35</v>
      </c>
      <c r="H971" t="str">
        <f t="shared" si="15"/>
        <v>YES</v>
      </c>
    </row>
    <row r="972" spans="1:8" x14ac:dyDescent="0.2">
      <c r="A972" s="6" t="s">
        <v>986</v>
      </c>
      <c r="B972" s="7">
        <v>2</v>
      </c>
      <c r="C972" s="7">
        <v>0</v>
      </c>
      <c r="D972" s="7">
        <v>0</v>
      </c>
      <c r="E972" s="7">
        <v>0</v>
      </c>
      <c r="F972" s="8" t="s">
        <v>35</v>
      </c>
      <c r="G972" s="8" t="s">
        <v>35</v>
      </c>
      <c r="H972" t="str">
        <f t="shared" si="15"/>
        <v>YES</v>
      </c>
    </row>
    <row r="973" spans="1:8" x14ac:dyDescent="0.2">
      <c r="A973" s="6" t="s">
        <v>987</v>
      </c>
      <c r="B973" s="7">
        <v>2</v>
      </c>
      <c r="C973" s="7">
        <v>0</v>
      </c>
      <c r="D973" s="7">
        <v>0</v>
      </c>
      <c r="E973" s="7">
        <v>0</v>
      </c>
      <c r="F973" s="8" t="s">
        <v>35</v>
      </c>
      <c r="G973" s="8" t="s">
        <v>35</v>
      </c>
      <c r="H973" t="str">
        <f t="shared" si="15"/>
        <v>YES</v>
      </c>
    </row>
    <row r="974" spans="1:8" x14ac:dyDescent="0.2">
      <c r="A974" s="6" t="s">
        <v>988</v>
      </c>
      <c r="B974" s="7">
        <v>2</v>
      </c>
      <c r="C974" s="7">
        <v>0</v>
      </c>
      <c r="D974" s="7">
        <v>0</v>
      </c>
      <c r="E974" s="7">
        <v>0</v>
      </c>
      <c r="F974" s="8" t="s">
        <v>35</v>
      </c>
      <c r="G974" s="8" t="s">
        <v>35</v>
      </c>
      <c r="H974" t="str">
        <f t="shared" si="15"/>
        <v>YES</v>
      </c>
    </row>
    <row r="975" spans="1:8" x14ac:dyDescent="0.2">
      <c r="A975" s="6" t="s">
        <v>989</v>
      </c>
      <c r="B975" s="7">
        <v>2</v>
      </c>
      <c r="C975" s="7">
        <v>0</v>
      </c>
      <c r="D975" s="7">
        <v>0</v>
      </c>
      <c r="E975" s="7">
        <v>0</v>
      </c>
      <c r="F975" s="8" t="s">
        <v>35</v>
      </c>
      <c r="G975" s="8" t="s">
        <v>35</v>
      </c>
      <c r="H975" t="str">
        <f t="shared" si="15"/>
        <v>YES</v>
      </c>
    </row>
    <row r="976" spans="1:8" x14ac:dyDescent="0.2">
      <c r="A976" s="6" t="s">
        <v>990</v>
      </c>
      <c r="B976" s="7">
        <v>2</v>
      </c>
      <c r="C976" s="7">
        <v>0</v>
      </c>
      <c r="D976" s="7">
        <v>0</v>
      </c>
      <c r="E976" s="7">
        <v>0</v>
      </c>
      <c r="F976" s="8" t="s">
        <v>35</v>
      </c>
      <c r="G976" s="8" t="s">
        <v>35</v>
      </c>
      <c r="H976" t="str">
        <f t="shared" si="15"/>
        <v>YES</v>
      </c>
    </row>
    <row r="977" spans="1:8" x14ac:dyDescent="0.2">
      <c r="A977" s="6" t="s">
        <v>991</v>
      </c>
      <c r="B977" s="7">
        <v>2</v>
      </c>
      <c r="C977" s="7">
        <v>0</v>
      </c>
      <c r="D977" s="7">
        <v>0</v>
      </c>
      <c r="E977" s="7">
        <v>0</v>
      </c>
      <c r="F977" s="8" t="s">
        <v>35</v>
      </c>
      <c r="G977" s="8" t="s">
        <v>35</v>
      </c>
      <c r="H977" t="str">
        <f t="shared" si="15"/>
        <v>YES</v>
      </c>
    </row>
    <row r="978" spans="1:8" x14ac:dyDescent="0.2">
      <c r="A978" s="6" t="s">
        <v>992</v>
      </c>
      <c r="B978" s="7">
        <v>2</v>
      </c>
      <c r="C978" s="7">
        <v>0</v>
      </c>
      <c r="D978" s="7">
        <v>0</v>
      </c>
      <c r="E978" s="7">
        <v>0</v>
      </c>
      <c r="F978" s="8" t="s">
        <v>35</v>
      </c>
      <c r="G978" s="8" t="s">
        <v>35</v>
      </c>
      <c r="H978" t="str">
        <f t="shared" si="15"/>
        <v>YES</v>
      </c>
    </row>
    <row r="979" spans="1:8" x14ac:dyDescent="0.2">
      <c r="A979" s="6" t="s">
        <v>993</v>
      </c>
      <c r="B979" s="7">
        <v>2</v>
      </c>
      <c r="C979" s="7">
        <v>0</v>
      </c>
      <c r="D979" s="7">
        <v>0</v>
      </c>
      <c r="E979" s="7">
        <v>0</v>
      </c>
      <c r="F979" s="8" t="s">
        <v>35</v>
      </c>
      <c r="G979" s="8" t="s">
        <v>35</v>
      </c>
      <c r="H979" t="str">
        <f t="shared" si="15"/>
        <v>YES</v>
      </c>
    </row>
    <row r="980" spans="1:8" x14ac:dyDescent="0.2">
      <c r="A980" s="6" t="s">
        <v>994</v>
      </c>
      <c r="B980" s="7">
        <v>2</v>
      </c>
      <c r="C980" s="7">
        <v>0</v>
      </c>
      <c r="D980" s="7">
        <v>0</v>
      </c>
      <c r="E980" s="7">
        <v>0</v>
      </c>
      <c r="F980" s="8" t="s">
        <v>35</v>
      </c>
      <c r="G980" s="8" t="s">
        <v>35</v>
      </c>
      <c r="H980" t="str">
        <f t="shared" si="15"/>
        <v>YES</v>
      </c>
    </row>
    <row r="981" spans="1:8" x14ac:dyDescent="0.2">
      <c r="A981" s="6" t="s">
        <v>995</v>
      </c>
      <c r="B981" s="7">
        <v>2</v>
      </c>
      <c r="C981" s="7">
        <v>0</v>
      </c>
      <c r="D981" s="7">
        <v>0</v>
      </c>
      <c r="E981" s="7">
        <v>0</v>
      </c>
      <c r="F981" s="8" t="s">
        <v>35</v>
      </c>
      <c r="G981" s="8" t="s">
        <v>35</v>
      </c>
      <c r="H981" t="str">
        <f t="shared" si="15"/>
        <v>YES</v>
      </c>
    </row>
    <row r="982" spans="1:8" x14ac:dyDescent="0.2">
      <c r="A982" s="6" t="s">
        <v>996</v>
      </c>
      <c r="B982" s="7">
        <v>2</v>
      </c>
      <c r="C982" s="7">
        <v>0</v>
      </c>
      <c r="D982" s="7">
        <v>0</v>
      </c>
      <c r="E982" s="7">
        <v>0</v>
      </c>
      <c r="F982" s="8" t="s">
        <v>35</v>
      </c>
      <c r="G982" s="8" t="s">
        <v>35</v>
      </c>
      <c r="H982" t="str">
        <f t="shared" si="15"/>
        <v>YES</v>
      </c>
    </row>
    <row r="983" spans="1:8" x14ac:dyDescent="0.2">
      <c r="A983" s="6" t="s">
        <v>997</v>
      </c>
      <c r="B983" s="7">
        <v>2</v>
      </c>
      <c r="C983" s="7">
        <v>0</v>
      </c>
      <c r="D983" s="7">
        <v>0</v>
      </c>
      <c r="E983" s="7">
        <v>0</v>
      </c>
      <c r="F983" s="8" t="s">
        <v>35</v>
      </c>
      <c r="G983" s="8" t="s">
        <v>35</v>
      </c>
      <c r="H983" t="str">
        <f t="shared" si="15"/>
        <v>YES</v>
      </c>
    </row>
    <row r="984" spans="1:8" x14ac:dyDescent="0.2">
      <c r="A984" s="6" t="s">
        <v>998</v>
      </c>
      <c r="B984" s="7">
        <v>2</v>
      </c>
      <c r="C984" s="7">
        <v>0</v>
      </c>
      <c r="D984" s="7">
        <v>0</v>
      </c>
      <c r="E984" s="7">
        <v>0</v>
      </c>
      <c r="F984" s="8" t="s">
        <v>35</v>
      </c>
      <c r="G984" s="8" t="s">
        <v>35</v>
      </c>
      <c r="H984" t="str">
        <f t="shared" si="15"/>
        <v>YES</v>
      </c>
    </row>
    <row r="985" spans="1:8" x14ac:dyDescent="0.2">
      <c r="A985" s="6" t="s">
        <v>999</v>
      </c>
      <c r="B985" s="7">
        <v>2</v>
      </c>
      <c r="C985" s="7">
        <v>0</v>
      </c>
      <c r="D985" s="7">
        <v>0</v>
      </c>
      <c r="E985" s="7">
        <v>0</v>
      </c>
      <c r="F985" s="8" t="s">
        <v>35</v>
      </c>
      <c r="G985" s="8" t="s">
        <v>35</v>
      </c>
      <c r="H985" t="str">
        <f t="shared" si="15"/>
        <v>YES</v>
      </c>
    </row>
    <row r="986" spans="1:8" x14ac:dyDescent="0.2">
      <c r="A986" s="6" t="s">
        <v>1000</v>
      </c>
      <c r="B986" s="7">
        <v>2</v>
      </c>
      <c r="C986" s="7">
        <v>0</v>
      </c>
      <c r="D986" s="7">
        <v>0</v>
      </c>
      <c r="E986" s="7">
        <v>0</v>
      </c>
      <c r="F986" s="8" t="s">
        <v>35</v>
      </c>
      <c r="G986" s="8" t="s">
        <v>35</v>
      </c>
      <c r="H986" t="str">
        <f t="shared" si="15"/>
        <v>YES</v>
      </c>
    </row>
    <row r="987" spans="1:8" x14ac:dyDescent="0.2">
      <c r="A987" s="6" t="s">
        <v>1001</v>
      </c>
      <c r="B987" s="7">
        <v>2</v>
      </c>
      <c r="C987" s="7">
        <v>0</v>
      </c>
      <c r="D987" s="7">
        <v>0</v>
      </c>
      <c r="E987" s="7">
        <v>0</v>
      </c>
      <c r="F987" s="8" t="s">
        <v>35</v>
      </c>
      <c r="G987" s="8" t="s">
        <v>35</v>
      </c>
      <c r="H987" t="str">
        <f t="shared" si="15"/>
        <v>YES</v>
      </c>
    </row>
    <row r="988" spans="1:8" x14ac:dyDescent="0.2">
      <c r="A988" s="6" t="s">
        <v>1002</v>
      </c>
      <c r="B988" s="7">
        <v>2</v>
      </c>
      <c r="C988" s="7">
        <v>0</v>
      </c>
      <c r="D988" s="7">
        <v>0</v>
      </c>
      <c r="E988" s="7">
        <v>0</v>
      </c>
      <c r="F988" s="8" t="s">
        <v>35</v>
      </c>
      <c r="G988" s="8" t="s">
        <v>35</v>
      </c>
      <c r="H988" t="str">
        <f t="shared" si="15"/>
        <v>YES</v>
      </c>
    </row>
    <row r="989" spans="1:8" x14ac:dyDescent="0.2">
      <c r="A989" s="6" t="s">
        <v>1003</v>
      </c>
      <c r="B989" s="7">
        <v>2</v>
      </c>
      <c r="C989" s="7">
        <v>0</v>
      </c>
      <c r="D989" s="7">
        <v>0</v>
      </c>
      <c r="E989" s="7">
        <v>0</v>
      </c>
      <c r="F989" s="8" t="s">
        <v>35</v>
      </c>
      <c r="G989" s="8" t="s">
        <v>35</v>
      </c>
      <c r="H989" t="str">
        <f t="shared" si="15"/>
        <v>YES</v>
      </c>
    </row>
    <row r="990" spans="1:8" x14ac:dyDescent="0.2">
      <c r="A990" s="6" t="s">
        <v>1004</v>
      </c>
      <c r="B990" s="7">
        <v>2</v>
      </c>
      <c r="C990" s="7">
        <v>0</v>
      </c>
      <c r="D990" s="7">
        <v>0</v>
      </c>
      <c r="E990" s="7">
        <v>0</v>
      </c>
      <c r="F990" s="8" t="s">
        <v>35</v>
      </c>
      <c r="G990" s="8" t="s">
        <v>35</v>
      </c>
      <c r="H990" t="str">
        <f t="shared" si="15"/>
        <v>YES</v>
      </c>
    </row>
    <row r="991" spans="1:8" x14ac:dyDescent="0.2">
      <c r="A991" s="6" t="s">
        <v>1005</v>
      </c>
      <c r="B991" s="7">
        <v>2</v>
      </c>
      <c r="C991" s="7">
        <v>0</v>
      </c>
      <c r="D991" s="7">
        <v>0</v>
      </c>
      <c r="E991" s="7">
        <v>0</v>
      </c>
      <c r="F991" s="8" t="s">
        <v>35</v>
      </c>
      <c r="G991" s="8" t="s">
        <v>35</v>
      </c>
      <c r="H991" t="str">
        <f t="shared" si="15"/>
        <v>YES</v>
      </c>
    </row>
    <row r="992" spans="1:8" x14ac:dyDescent="0.2">
      <c r="A992" s="6" t="s">
        <v>1006</v>
      </c>
      <c r="B992" s="7">
        <v>2</v>
      </c>
      <c r="C992" s="7">
        <v>0</v>
      </c>
      <c r="D992" s="7">
        <v>0</v>
      </c>
      <c r="E992" s="7">
        <v>0</v>
      </c>
      <c r="F992" s="8" t="s">
        <v>35</v>
      </c>
      <c r="G992" s="8" t="s">
        <v>35</v>
      </c>
      <c r="H992" t="str">
        <f t="shared" si="15"/>
        <v>YES</v>
      </c>
    </row>
    <row r="993" spans="1:8" x14ac:dyDescent="0.2">
      <c r="A993" s="6" t="s">
        <v>1007</v>
      </c>
      <c r="B993" s="7">
        <v>2</v>
      </c>
      <c r="C993" s="7">
        <v>0</v>
      </c>
      <c r="D993" s="7">
        <v>0</v>
      </c>
      <c r="E993" s="7">
        <v>0</v>
      </c>
      <c r="F993" s="8" t="s">
        <v>35</v>
      </c>
      <c r="G993" s="8" t="s">
        <v>35</v>
      </c>
      <c r="H993" t="str">
        <f t="shared" si="15"/>
        <v>YES</v>
      </c>
    </row>
    <row r="994" spans="1:8" x14ac:dyDescent="0.2">
      <c r="A994" s="6" t="s">
        <v>1008</v>
      </c>
      <c r="B994" s="7">
        <v>2</v>
      </c>
      <c r="C994" s="7">
        <v>0</v>
      </c>
      <c r="D994" s="7">
        <v>0</v>
      </c>
      <c r="E994" s="7">
        <v>0</v>
      </c>
      <c r="F994" s="8" t="s">
        <v>35</v>
      </c>
      <c r="G994" s="8" t="s">
        <v>35</v>
      </c>
      <c r="H994" t="str">
        <f t="shared" si="15"/>
        <v>YES</v>
      </c>
    </row>
    <row r="995" spans="1:8" x14ac:dyDescent="0.2">
      <c r="A995" s="6" t="s">
        <v>1009</v>
      </c>
      <c r="B995" s="7">
        <v>2</v>
      </c>
      <c r="C995" s="7">
        <v>0</v>
      </c>
      <c r="D995" s="7">
        <v>0</v>
      </c>
      <c r="E995" s="7">
        <v>0</v>
      </c>
      <c r="F995" s="8" t="s">
        <v>35</v>
      </c>
      <c r="G995" s="8" t="s">
        <v>35</v>
      </c>
      <c r="H995" t="str">
        <f t="shared" si="15"/>
        <v>YES</v>
      </c>
    </row>
    <row r="996" spans="1:8" x14ac:dyDescent="0.2">
      <c r="A996" s="6" t="s">
        <v>1010</v>
      </c>
      <c r="B996" s="7">
        <v>2</v>
      </c>
      <c r="C996" s="7">
        <v>0</v>
      </c>
      <c r="D996" s="7">
        <v>0</v>
      </c>
      <c r="E996" s="7">
        <v>0</v>
      </c>
      <c r="F996" s="8" t="s">
        <v>35</v>
      </c>
      <c r="G996" s="8" t="s">
        <v>35</v>
      </c>
      <c r="H996" t="str">
        <f t="shared" si="15"/>
        <v>YES</v>
      </c>
    </row>
    <row r="997" spans="1:8" x14ac:dyDescent="0.2">
      <c r="A997" s="6" t="s">
        <v>1011</v>
      </c>
      <c r="B997" s="7">
        <v>2</v>
      </c>
      <c r="C997" s="7">
        <v>0</v>
      </c>
      <c r="D997" s="7">
        <v>0</v>
      </c>
      <c r="E997" s="7">
        <v>0</v>
      </c>
      <c r="F997" s="8" t="s">
        <v>35</v>
      </c>
      <c r="G997" s="8" t="s">
        <v>35</v>
      </c>
      <c r="H997" t="str">
        <f t="shared" si="15"/>
        <v>YES</v>
      </c>
    </row>
    <row r="998" spans="1:8" x14ac:dyDescent="0.2">
      <c r="A998" s="6" t="s">
        <v>1012</v>
      </c>
      <c r="B998" s="7">
        <v>2</v>
      </c>
      <c r="C998" s="7">
        <v>0</v>
      </c>
      <c r="D998" s="7">
        <v>0</v>
      </c>
      <c r="E998" s="7">
        <v>0</v>
      </c>
      <c r="F998" s="8" t="s">
        <v>35</v>
      </c>
      <c r="G998" s="8" t="s">
        <v>35</v>
      </c>
      <c r="H998" t="str">
        <f t="shared" si="15"/>
        <v>YES</v>
      </c>
    </row>
    <row r="999" spans="1:8" x14ac:dyDescent="0.2">
      <c r="A999" s="6" t="s">
        <v>1013</v>
      </c>
      <c r="B999" s="7">
        <v>2</v>
      </c>
      <c r="C999" s="7">
        <v>0</v>
      </c>
      <c r="D999" s="7">
        <v>0</v>
      </c>
      <c r="E999" s="7">
        <v>0</v>
      </c>
      <c r="F999" s="8" t="s">
        <v>35</v>
      </c>
      <c r="G999" s="8" t="s">
        <v>35</v>
      </c>
      <c r="H999" t="str">
        <f t="shared" si="15"/>
        <v>YES</v>
      </c>
    </row>
    <row r="1000" spans="1:8" x14ac:dyDescent="0.2">
      <c r="A1000" s="6" t="s">
        <v>1014</v>
      </c>
      <c r="B1000" s="7">
        <v>2</v>
      </c>
      <c r="C1000" s="7">
        <v>0</v>
      </c>
      <c r="D1000" s="7">
        <v>0</v>
      </c>
      <c r="E1000" s="7">
        <v>0</v>
      </c>
      <c r="F1000" s="8" t="s">
        <v>35</v>
      </c>
      <c r="G1000" s="8" t="s">
        <v>35</v>
      </c>
      <c r="H1000" t="str">
        <f t="shared" si="15"/>
        <v>YES</v>
      </c>
    </row>
    <row r="1001" spans="1:8" x14ac:dyDescent="0.2">
      <c r="A1001" s="6" t="s">
        <v>1015</v>
      </c>
      <c r="B1001" s="7">
        <v>2</v>
      </c>
      <c r="C1001" s="7">
        <v>0</v>
      </c>
      <c r="D1001" s="7">
        <v>0</v>
      </c>
      <c r="E1001" s="7">
        <v>0</v>
      </c>
      <c r="F1001" s="8" t="s">
        <v>35</v>
      </c>
      <c r="G1001" s="8" t="s">
        <v>35</v>
      </c>
      <c r="H1001" t="str">
        <f t="shared" si="15"/>
        <v>YES</v>
      </c>
    </row>
    <row r="1002" spans="1:8" x14ac:dyDescent="0.2">
      <c r="A1002" s="6" t="s">
        <v>1016</v>
      </c>
      <c r="B1002" s="7">
        <v>2</v>
      </c>
      <c r="C1002" s="7">
        <v>0</v>
      </c>
      <c r="D1002" s="7">
        <v>0</v>
      </c>
      <c r="E1002" s="7">
        <v>0</v>
      </c>
      <c r="F1002" s="8" t="s">
        <v>35</v>
      </c>
      <c r="G1002" s="8" t="s">
        <v>35</v>
      </c>
      <c r="H1002" t="str">
        <f t="shared" si="15"/>
        <v>YES</v>
      </c>
    </row>
    <row r="1003" spans="1:8" x14ac:dyDescent="0.2">
      <c r="A1003" s="6" t="s">
        <v>1017</v>
      </c>
      <c r="B1003" s="7">
        <v>2</v>
      </c>
      <c r="C1003" s="7">
        <v>0</v>
      </c>
      <c r="D1003" s="7">
        <v>0</v>
      </c>
      <c r="E1003" s="7">
        <v>0</v>
      </c>
      <c r="F1003" s="8" t="s">
        <v>35</v>
      </c>
      <c r="G1003" s="8" t="s">
        <v>35</v>
      </c>
      <c r="H1003" t="str">
        <f t="shared" si="15"/>
        <v>YES</v>
      </c>
    </row>
    <row r="1004" spans="1:8" x14ac:dyDescent="0.2">
      <c r="A1004" s="6" t="s">
        <v>1018</v>
      </c>
      <c r="B1004" s="7">
        <v>2</v>
      </c>
      <c r="C1004" s="7">
        <v>0</v>
      </c>
      <c r="D1004" s="7">
        <v>0</v>
      </c>
      <c r="E1004" s="7">
        <v>0</v>
      </c>
      <c r="F1004" s="8" t="s">
        <v>35</v>
      </c>
      <c r="G1004" s="8" t="s">
        <v>35</v>
      </c>
      <c r="H1004" t="str">
        <f t="shared" si="15"/>
        <v>YES</v>
      </c>
    </row>
    <row r="1005" spans="1:8" x14ac:dyDescent="0.2">
      <c r="A1005" s="6" t="s">
        <v>1019</v>
      </c>
      <c r="B1005" s="7">
        <v>2</v>
      </c>
      <c r="C1005" s="7">
        <v>0</v>
      </c>
      <c r="D1005" s="7">
        <v>0</v>
      </c>
      <c r="E1005" s="7">
        <v>0</v>
      </c>
      <c r="F1005" s="8" t="s">
        <v>35</v>
      </c>
      <c r="G1005" s="8" t="s">
        <v>35</v>
      </c>
      <c r="H1005" t="str">
        <f t="shared" si="15"/>
        <v>YES</v>
      </c>
    </row>
    <row r="1006" spans="1:8" x14ac:dyDescent="0.2">
      <c r="A1006" s="6" t="s">
        <v>1020</v>
      </c>
      <c r="B1006" s="7">
        <v>2</v>
      </c>
      <c r="C1006" s="7">
        <v>0</v>
      </c>
      <c r="D1006" s="7">
        <v>0</v>
      </c>
      <c r="E1006" s="7">
        <v>0</v>
      </c>
      <c r="F1006" s="8" t="s">
        <v>35</v>
      </c>
      <c r="G1006" s="8" t="s">
        <v>35</v>
      </c>
      <c r="H1006" t="str">
        <f t="shared" si="15"/>
        <v>YES</v>
      </c>
    </row>
    <row r="1007" spans="1:8" x14ac:dyDescent="0.2">
      <c r="A1007" s="6" t="s">
        <v>1021</v>
      </c>
      <c r="B1007" s="7">
        <v>2</v>
      </c>
      <c r="C1007" s="7">
        <v>0</v>
      </c>
      <c r="D1007" s="7">
        <v>0</v>
      </c>
      <c r="E1007" s="7">
        <v>0</v>
      </c>
      <c r="F1007" s="8" t="s">
        <v>35</v>
      </c>
      <c r="G1007" s="8" t="s">
        <v>35</v>
      </c>
      <c r="H1007" t="str">
        <f t="shared" si="15"/>
        <v>YES</v>
      </c>
    </row>
    <row r="1008" spans="1:8" x14ac:dyDescent="0.2">
      <c r="A1008" s="6" t="s">
        <v>1022</v>
      </c>
      <c r="B1008" s="7">
        <v>2</v>
      </c>
      <c r="C1008" s="7">
        <v>0</v>
      </c>
      <c r="D1008" s="7">
        <v>0</v>
      </c>
      <c r="E1008" s="7">
        <v>0</v>
      </c>
      <c r="F1008" s="8" t="s">
        <v>35</v>
      </c>
      <c r="G1008" s="8" t="s">
        <v>35</v>
      </c>
      <c r="H1008" t="str">
        <f t="shared" si="15"/>
        <v>YES</v>
      </c>
    </row>
    <row r="1009" spans="1:8" x14ac:dyDescent="0.2">
      <c r="A1009" s="6" t="s">
        <v>1023</v>
      </c>
      <c r="B1009" s="7">
        <v>2</v>
      </c>
      <c r="C1009" s="7">
        <v>0</v>
      </c>
      <c r="D1009" s="7">
        <v>0</v>
      </c>
      <c r="E1009" s="7">
        <v>0</v>
      </c>
      <c r="F1009" s="8" t="s">
        <v>35</v>
      </c>
      <c r="G1009" s="8" t="s">
        <v>35</v>
      </c>
      <c r="H1009" t="str">
        <f t="shared" si="15"/>
        <v>YES</v>
      </c>
    </row>
    <row r="1010" spans="1:8" x14ac:dyDescent="0.2">
      <c r="A1010" s="6" t="s">
        <v>1024</v>
      </c>
      <c r="B1010" s="7">
        <v>2</v>
      </c>
      <c r="C1010" s="7">
        <v>0</v>
      </c>
      <c r="D1010" s="7">
        <v>0</v>
      </c>
      <c r="E1010" s="7">
        <v>0</v>
      </c>
      <c r="F1010" s="8" t="s">
        <v>35</v>
      </c>
      <c r="G1010" s="8" t="s">
        <v>35</v>
      </c>
      <c r="H1010" t="str">
        <f t="shared" si="15"/>
        <v>YES</v>
      </c>
    </row>
    <row r="1011" spans="1:8" x14ac:dyDescent="0.2">
      <c r="A1011" s="6" t="s">
        <v>1025</v>
      </c>
      <c r="B1011" s="7">
        <v>2</v>
      </c>
      <c r="C1011" s="7">
        <v>0</v>
      </c>
      <c r="D1011" s="7">
        <v>0</v>
      </c>
      <c r="E1011" s="7">
        <v>0</v>
      </c>
      <c r="F1011" s="8" t="s">
        <v>35</v>
      </c>
      <c r="G1011" s="8" t="s">
        <v>35</v>
      </c>
      <c r="H1011" t="str">
        <f t="shared" si="15"/>
        <v>YES</v>
      </c>
    </row>
    <row r="1012" spans="1:8" x14ac:dyDescent="0.2">
      <c r="A1012" s="6" t="s">
        <v>1026</v>
      </c>
      <c r="B1012" s="7">
        <v>2</v>
      </c>
      <c r="C1012" s="7">
        <v>0</v>
      </c>
      <c r="D1012" s="7">
        <v>0</v>
      </c>
      <c r="E1012" s="7">
        <v>0</v>
      </c>
      <c r="F1012" s="8" t="s">
        <v>35</v>
      </c>
      <c r="G1012" s="8" t="s">
        <v>35</v>
      </c>
      <c r="H1012" t="str">
        <f t="shared" si="15"/>
        <v>YES</v>
      </c>
    </row>
    <row r="1013" spans="1:8" x14ac:dyDescent="0.2">
      <c r="A1013" s="6" t="s">
        <v>1027</v>
      </c>
      <c r="B1013" s="7">
        <v>2</v>
      </c>
      <c r="C1013" s="7">
        <v>0</v>
      </c>
      <c r="D1013" s="7">
        <v>0</v>
      </c>
      <c r="E1013" s="7">
        <v>0</v>
      </c>
      <c r="F1013" s="8" t="s">
        <v>35</v>
      </c>
      <c r="G1013" s="8" t="s">
        <v>35</v>
      </c>
      <c r="H1013" t="str">
        <f t="shared" si="15"/>
        <v>YES</v>
      </c>
    </row>
    <row r="1014" spans="1:8" x14ac:dyDescent="0.2">
      <c r="A1014" s="6" t="s">
        <v>1028</v>
      </c>
      <c r="B1014" s="7">
        <v>2</v>
      </c>
      <c r="C1014" s="7">
        <v>0</v>
      </c>
      <c r="D1014" s="7">
        <v>0</v>
      </c>
      <c r="E1014" s="7">
        <v>0</v>
      </c>
      <c r="F1014" s="8" t="s">
        <v>35</v>
      </c>
      <c r="G1014" s="8" t="s">
        <v>35</v>
      </c>
      <c r="H1014" t="str">
        <f t="shared" si="15"/>
        <v>YES</v>
      </c>
    </row>
    <row r="1015" spans="1:8" x14ac:dyDescent="0.2">
      <c r="A1015" s="6" t="s">
        <v>1029</v>
      </c>
      <c r="B1015" s="7">
        <v>2</v>
      </c>
      <c r="C1015" s="7">
        <v>0</v>
      </c>
      <c r="D1015" s="7">
        <v>0</v>
      </c>
      <c r="E1015" s="7">
        <v>0</v>
      </c>
      <c r="F1015" s="8" t="s">
        <v>35</v>
      </c>
      <c r="G1015" s="8" t="s">
        <v>35</v>
      </c>
      <c r="H1015" t="str">
        <f t="shared" si="15"/>
        <v>YES</v>
      </c>
    </row>
    <row r="1016" spans="1:8" x14ac:dyDescent="0.2">
      <c r="A1016" s="6" t="s">
        <v>1030</v>
      </c>
      <c r="B1016" s="7">
        <v>2</v>
      </c>
      <c r="C1016" s="7">
        <v>0</v>
      </c>
      <c r="D1016" s="7">
        <v>0</v>
      </c>
      <c r="E1016" s="7">
        <v>0</v>
      </c>
      <c r="F1016" s="8" t="s">
        <v>35</v>
      </c>
      <c r="G1016" s="8" t="s">
        <v>35</v>
      </c>
      <c r="H1016" t="str">
        <f t="shared" si="15"/>
        <v>YES</v>
      </c>
    </row>
    <row r="1017" spans="1:8" x14ac:dyDescent="0.2">
      <c r="A1017" s="6" t="s">
        <v>1031</v>
      </c>
      <c r="B1017" s="7">
        <v>2</v>
      </c>
      <c r="C1017" s="7">
        <v>0</v>
      </c>
      <c r="D1017" s="7">
        <v>0</v>
      </c>
      <c r="E1017" s="7">
        <v>0</v>
      </c>
      <c r="F1017" s="8" t="s">
        <v>35</v>
      </c>
      <c r="G1017" s="8" t="s">
        <v>35</v>
      </c>
      <c r="H1017" t="str">
        <f t="shared" si="15"/>
        <v>YES</v>
      </c>
    </row>
    <row r="1018" spans="1:8" x14ac:dyDescent="0.2">
      <c r="A1018" s="6" t="s">
        <v>1032</v>
      </c>
      <c r="B1018" s="7">
        <v>2</v>
      </c>
      <c r="C1018" s="7">
        <v>0</v>
      </c>
      <c r="D1018" s="7">
        <v>0</v>
      </c>
      <c r="E1018" s="7">
        <v>0</v>
      </c>
      <c r="F1018" s="8" t="s">
        <v>35</v>
      </c>
      <c r="G1018" s="8" t="s">
        <v>35</v>
      </c>
      <c r="H1018" t="str">
        <f t="shared" si="15"/>
        <v>YES</v>
      </c>
    </row>
    <row r="1019" spans="1:8" x14ac:dyDescent="0.2">
      <c r="A1019" s="6" t="s">
        <v>1033</v>
      </c>
      <c r="B1019" s="7">
        <v>2</v>
      </c>
      <c r="C1019" s="7">
        <v>0</v>
      </c>
      <c r="D1019" s="7">
        <v>0</v>
      </c>
      <c r="E1019" s="7">
        <v>0</v>
      </c>
      <c r="F1019" s="8" t="s">
        <v>35</v>
      </c>
      <c r="G1019" s="8" t="s">
        <v>35</v>
      </c>
      <c r="H1019" t="str">
        <f t="shared" si="15"/>
        <v>YES</v>
      </c>
    </row>
    <row r="1020" spans="1:8" x14ac:dyDescent="0.2">
      <c r="A1020" s="6" t="s">
        <v>1034</v>
      </c>
      <c r="B1020" s="7">
        <v>2</v>
      </c>
      <c r="C1020" s="7">
        <v>0</v>
      </c>
      <c r="D1020" s="7">
        <v>0</v>
      </c>
      <c r="E1020" s="7">
        <v>0</v>
      </c>
      <c r="F1020" s="8" t="s">
        <v>35</v>
      </c>
      <c r="G1020" s="8" t="s">
        <v>35</v>
      </c>
      <c r="H1020" t="str">
        <f t="shared" si="15"/>
        <v>YES</v>
      </c>
    </row>
    <row r="1021" spans="1:8" x14ac:dyDescent="0.2">
      <c r="A1021" s="6" t="s">
        <v>1035</v>
      </c>
      <c r="B1021" s="7">
        <v>2</v>
      </c>
      <c r="C1021" s="7">
        <v>0</v>
      </c>
      <c r="D1021" s="7">
        <v>0</v>
      </c>
      <c r="E1021" s="7">
        <v>0</v>
      </c>
      <c r="F1021" s="8" t="s">
        <v>35</v>
      </c>
      <c r="G1021" s="8" t="s">
        <v>35</v>
      </c>
      <c r="H1021" t="str">
        <f t="shared" si="15"/>
        <v>YES</v>
      </c>
    </row>
    <row r="1022" spans="1:8" x14ac:dyDescent="0.2">
      <c r="A1022" s="6" t="s">
        <v>1036</v>
      </c>
      <c r="B1022" s="7">
        <v>2</v>
      </c>
      <c r="C1022" s="7">
        <v>0</v>
      </c>
      <c r="D1022" s="7">
        <v>0</v>
      </c>
      <c r="E1022" s="7">
        <v>0</v>
      </c>
      <c r="F1022" s="8" t="s">
        <v>35</v>
      </c>
      <c r="G1022" s="8" t="s">
        <v>35</v>
      </c>
      <c r="H1022" t="str">
        <f t="shared" si="15"/>
        <v>YES</v>
      </c>
    </row>
    <row r="1023" spans="1:8" x14ac:dyDescent="0.2">
      <c r="A1023" s="6" t="s">
        <v>1037</v>
      </c>
      <c r="B1023" s="7">
        <v>2</v>
      </c>
      <c r="C1023" s="7">
        <v>0</v>
      </c>
      <c r="D1023" s="7">
        <v>0</v>
      </c>
      <c r="E1023" s="7">
        <v>0</v>
      </c>
      <c r="F1023" s="8" t="s">
        <v>35</v>
      </c>
      <c r="G1023" s="8" t="s">
        <v>35</v>
      </c>
      <c r="H1023" t="str">
        <f t="shared" si="15"/>
        <v>YES</v>
      </c>
    </row>
    <row r="1024" spans="1:8" x14ac:dyDescent="0.2">
      <c r="A1024" s="6" t="s">
        <v>1038</v>
      </c>
      <c r="B1024" s="7">
        <v>2</v>
      </c>
      <c r="C1024" s="7">
        <v>0</v>
      </c>
      <c r="D1024" s="7">
        <v>0</v>
      </c>
      <c r="E1024" s="7">
        <v>0</v>
      </c>
      <c r="F1024" s="8" t="s">
        <v>35</v>
      </c>
      <c r="G1024" s="8" t="s">
        <v>35</v>
      </c>
      <c r="H1024" t="str">
        <f t="shared" si="15"/>
        <v>YES</v>
      </c>
    </row>
    <row r="1025" spans="1:8" x14ac:dyDescent="0.2">
      <c r="A1025" s="6" t="s">
        <v>1039</v>
      </c>
      <c r="B1025" s="7">
        <v>2</v>
      </c>
      <c r="C1025" s="7">
        <v>0</v>
      </c>
      <c r="D1025" s="7">
        <v>0</v>
      </c>
      <c r="E1025" s="7">
        <v>0</v>
      </c>
      <c r="F1025" s="8" t="s">
        <v>35</v>
      </c>
      <c r="G1025" s="8" t="s">
        <v>35</v>
      </c>
      <c r="H1025" t="str">
        <f t="shared" si="15"/>
        <v>YES</v>
      </c>
    </row>
    <row r="1026" spans="1:8" x14ac:dyDescent="0.2">
      <c r="A1026" s="6" t="s">
        <v>1040</v>
      </c>
      <c r="B1026" s="7">
        <v>2</v>
      </c>
      <c r="C1026" s="7">
        <v>0</v>
      </c>
      <c r="D1026" s="7">
        <v>0</v>
      </c>
      <c r="E1026" s="7">
        <v>0</v>
      </c>
      <c r="F1026" s="8" t="s">
        <v>35</v>
      </c>
      <c r="G1026" s="8" t="s">
        <v>35</v>
      </c>
      <c r="H1026" t="str">
        <f t="shared" si="15"/>
        <v>YES</v>
      </c>
    </row>
    <row r="1027" spans="1:8" x14ac:dyDescent="0.2">
      <c r="A1027" s="6" t="s">
        <v>1041</v>
      </c>
      <c r="B1027" s="7">
        <v>2</v>
      </c>
      <c r="C1027" s="7">
        <v>0</v>
      </c>
      <c r="D1027" s="7">
        <v>0</v>
      </c>
      <c r="E1027" s="7">
        <v>0</v>
      </c>
      <c r="F1027" s="8" t="s">
        <v>35</v>
      </c>
      <c r="G1027" s="8" t="s">
        <v>35</v>
      </c>
      <c r="H1027" t="str">
        <f t="shared" si="15"/>
        <v>YES</v>
      </c>
    </row>
    <row r="1028" spans="1:8" x14ac:dyDescent="0.2">
      <c r="A1028" s="6" t="s">
        <v>1042</v>
      </c>
      <c r="B1028" s="7">
        <v>2</v>
      </c>
      <c r="C1028" s="7">
        <v>0</v>
      </c>
      <c r="D1028" s="7">
        <v>0</v>
      </c>
      <c r="E1028" s="7">
        <v>0</v>
      </c>
      <c r="F1028" s="8" t="s">
        <v>35</v>
      </c>
      <c r="G1028" s="8" t="s">
        <v>35</v>
      </c>
      <c r="H1028" t="str">
        <f t="shared" si="15"/>
        <v>YES</v>
      </c>
    </row>
    <row r="1029" spans="1:8" x14ac:dyDescent="0.2">
      <c r="A1029" s="6" t="s">
        <v>1043</v>
      </c>
      <c r="B1029" s="7">
        <v>2</v>
      </c>
      <c r="C1029" s="7">
        <v>0</v>
      </c>
      <c r="D1029" s="7">
        <v>0</v>
      </c>
      <c r="E1029" s="7">
        <v>0</v>
      </c>
      <c r="F1029" s="8" t="s">
        <v>35</v>
      </c>
      <c r="G1029" s="8" t="s">
        <v>35</v>
      </c>
      <c r="H1029" t="str">
        <f t="shared" ref="H1029:H1092" si="16">IF(F1029=G1029,"YES","NO")</f>
        <v>YES</v>
      </c>
    </row>
    <row r="1030" spans="1:8" x14ac:dyDescent="0.2">
      <c r="A1030" s="6" t="s">
        <v>1044</v>
      </c>
      <c r="B1030" s="7">
        <v>2</v>
      </c>
      <c r="C1030" s="7">
        <v>0</v>
      </c>
      <c r="D1030" s="7">
        <v>0</v>
      </c>
      <c r="E1030" s="7">
        <v>0</v>
      </c>
      <c r="F1030" s="8" t="s">
        <v>35</v>
      </c>
      <c r="G1030" s="8" t="s">
        <v>35</v>
      </c>
      <c r="H1030" t="str">
        <f t="shared" si="16"/>
        <v>YES</v>
      </c>
    </row>
    <row r="1031" spans="1:8" x14ac:dyDescent="0.2">
      <c r="A1031" s="6" t="s">
        <v>1045</v>
      </c>
      <c r="B1031" s="7">
        <v>2</v>
      </c>
      <c r="C1031" s="7">
        <v>0</v>
      </c>
      <c r="D1031" s="7">
        <v>0</v>
      </c>
      <c r="E1031" s="7">
        <v>0</v>
      </c>
      <c r="F1031" s="8" t="s">
        <v>35</v>
      </c>
      <c r="G1031" s="8" t="s">
        <v>35</v>
      </c>
      <c r="H1031" t="str">
        <f t="shared" si="16"/>
        <v>YES</v>
      </c>
    </row>
    <row r="1032" spans="1:8" x14ac:dyDescent="0.2">
      <c r="A1032" s="6" t="s">
        <v>1046</v>
      </c>
      <c r="B1032" s="7">
        <v>2</v>
      </c>
      <c r="C1032" s="7">
        <v>0</v>
      </c>
      <c r="D1032" s="7">
        <v>0</v>
      </c>
      <c r="E1032" s="7">
        <v>0</v>
      </c>
      <c r="F1032" s="8" t="s">
        <v>35</v>
      </c>
      <c r="G1032" s="8" t="s">
        <v>35</v>
      </c>
      <c r="H1032" t="str">
        <f t="shared" si="16"/>
        <v>YES</v>
      </c>
    </row>
    <row r="1033" spans="1:8" x14ac:dyDescent="0.2">
      <c r="A1033" s="6" t="s">
        <v>1047</v>
      </c>
      <c r="B1033" s="7">
        <v>2</v>
      </c>
      <c r="C1033" s="7">
        <v>0</v>
      </c>
      <c r="D1033" s="7">
        <v>0</v>
      </c>
      <c r="E1033" s="7">
        <v>0</v>
      </c>
      <c r="F1033" s="8" t="s">
        <v>35</v>
      </c>
      <c r="G1033" s="8" t="s">
        <v>35</v>
      </c>
      <c r="H1033" t="str">
        <f t="shared" si="16"/>
        <v>YES</v>
      </c>
    </row>
    <row r="1034" spans="1:8" x14ac:dyDescent="0.2">
      <c r="A1034" s="6" t="s">
        <v>1048</v>
      </c>
      <c r="B1034" s="7">
        <v>3</v>
      </c>
      <c r="C1034" s="7">
        <v>0</v>
      </c>
      <c r="D1034" s="7">
        <v>0</v>
      </c>
      <c r="E1034" s="7">
        <v>0</v>
      </c>
      <c r="F1034" s="8" t="s">
        <v>35</v>
      </c>
      <c r="G1034" s="8" t="s">
        <v>35</v>
      </c>
      <c r="H1034" t="str">
        <f t="shared" si="16"/>
        <v>YES</v>
      </c>
    </row>
    <row r="1035" spans="1:8" x14ac:dyDescent="0.2">
      <c r="A1035" s="6" t="s">
        <v>1049</v>
      </c>
      <c r="B1035" s="7">
        <v>3</v>
      </c>
      <c r="C1035" s="7">
        <v>0</v>
      </c>
      <c r="D1035" s="7">
        <v>0</v>
      </c>
      <c r="E1035" s="7">
        <v>0</v>
      </c>
      <c r="F1035" s="8" t="s">
        <v>35</v>
      </c>
      <c r="G1035" s="8" t="s">
        <v>35</v>
      </c>
      <c r="H1035" t="str">
        <f t="shared" si="16"/>
        <v>YES</v>
      </c>
    </row>
    <row r="1036" spans="1:8" x14ac:dyDescent="0.2">
      <c r="A1036" s="6" t="s">
        <v>1050</v>
      </c>
      <c r="B1036" s="7">
        <v>3</v>
      </c>
      <c r="C1036" s="7">
        <v>0</v>
      </c>
      <c r="D1036" s="7">
        <v>0</v>
      </c>
      <c r="E1036" s="7">
        <v>0</v>
      </c>
      <c r="F1036" s="8" t="s">
        <v>35</v>
      </c>
      <c r="G1036" s="8" t="s">
        <v>35</v>
      </c>
      <c r="H1036" t="str">
        <f t="shared" si="16"/>
        <v>YES</v>
      </c>
    </row>
    <row r="1037" spans="1:8" x14ac:dyDescent="0.2">
      <c r="A1037" s="6" t="s">
        <v>1051</v>
      </c>
      <c r="B1037" s="7">
        <v>3</v>
      </c>
      <c r="C1037" s="7">
        <v>0</v>
      </c>
      <c r="D1037" s="7">
        <v>0</v>
      </c>
      <c r="E1037" s="7">
        <v>0</v>
      </c>
      <c r="F1037" s="8" t="s">
        <v>35</v>
      </c>
      <c r="G1037" s="8" t="s">
        <v>35</v>
      </c>
      <c r="H1037" t="str">
        <f t="shared" si="16"/>
        <v>YES</v>
      </c>
    </row>
    <row r="1038" spans="1:8" x14ac:dyDescent="0.2">
      <c r="A1038" s="6" t="s">
        <v>1052</v>
      </c>
      <c r="B1038" s="7">
        <v>3</v>
      </c>
      <c r="C1038" s="7">
        <v>0</v>
      </c>
      <c r="D1038" s="7">
        <v>0</v>
      </c>
      <c r="E1038" s="7">
        <v>0</v>
      </c>
      <c r="F1038" s="8" t="s">
        <v>35</v>
      </c>
      <c r="G1038" s="8" t="s">
        <v>35</v>
      </c>
      <c r="H1038" t="str">
        <f t="shared" si="16"/>
        <v>YES</v>
      </c>
    </row>
    <row r="1039" spans="1:8" x14ac:dyDescent="0.2">
      <c r="A1039" s="6" t="s">
        <v>1053</v>
      </c>
      <c r="B1039" s="7">
        <v>3</v>
      </c>
      <c r="C1039" s="7">
        <v>0</v>
      </c>
      <c r="D1039" s="7">
        <v>0</v>
      </c>
      <c r="E1039" s="7">
        <v>0</v>
      </c>
      <c r="F1039" s="8" t="s">
        <v>35</v>
      </c>
      <c r="G1039" s="8" t="s">
        <v>35</v>
      </c>
      <c r="H1039" t="str">
        <f t="shared" si="16"/>
        <v>YES</v>
      </c>
    </row>
    <row r="1040" spans="1:8" x14ac:dyDescent="0.2">
      <c r="A1040" s="6" t="s">
        <v>1054</v>
      </c>
      <c r="B1040" s="7">
        <v>3</v>
      </c>
      <c r="C1040" s="7">
        <v>0</v>
      </c>
      <c r="D1040" s="7">
        <v>0</v>
      </c>
      <c r="E1040" s="7">
        <v>0</v>
      </c>
      <c r="F1040" s="8" t="s">
        <v>35</v>
      </c>
      <c r="G1040" s="8" t="s">
        <v>35</v>
      </c>
      <c r="H1040" t="str">
        <f t="shared" si="16"/>
        <v>YES</v>
      </c>
    </row>
    <row r="1041" spans="1:8" x14ac:dyDescent="0.2">
      <c r="A1041" s="6" t="s">
        <v>1055</v>
      </c>
      <c r="B1041" s="7">
        <v>3</v>
      </c>
      <c r="C1041" s="7">
        <v>0</v>
      </c>
      <c r="D1041" s="7">
        <v>0</v>
      </c>
      <c r="E1041" s="7">
        <v>0</v>
      </c>
      <c r="F1041" s="8" t="s">
        <v>35</v>
      </c>
      <c r="G1041" s="8" t="s">
        <v>35</v>
      </c>
      <c r="H1041" t="str">
        <f t="shared" si="16"/>
        <v>YES</v>
      </c>
    </row>
    <row r="1042" spans="1:8" x14ac:dyDescent="0.2">
      <c r="A1042" s="6" t="s">
        <v>1056</v>
      </c>
      <c r="B1042" s="7">
        <v>3</v>
      </c>
      <c r="C1042" s="7">
        <v>0</v>
      </c>
      <c r="D1042" s="7">
        <v>0</v>
      </c>
      <c r="E1042" s="7">
        <v>0</v>
      </c>
      <c r="F1042" s="8" t="s">
        <v>35</v>
      </c>
      <c r="G1042" s="8" t="s">
        <v>35</v>
      </c>
      <c r="H1042" t="str">
        <f t="shared" si="16"/>
        <v>YES</v>
      </c>
    </row>
    <row r="1043" spans="1:8" x14ac:dyDescent="0.2">
      <c r="A1043" s="6" t="s">
        <v>1057</v>
      </c>
      <c r="B1043" s="7">
        <v>3</v>
      </c>
      <c r="C1043" s="7">
        <v>0</v>
      </c>
      <c r="D1043" s="7">
        <v>0</v>
      </c>
      <c r="E1043" s="7">
        <v>0</v>
      </c>
      <c r="F1043" s="8" t="s">
        <v>35</v>
      </c>
      <c r="G1043" s="8" t="s">
        <v>35</v>
      </c>
      <c r="H1043" t="str">
        <f t="shared" si="16"/>
        <v>YES</v>
      </c>
    </row>
    <row r="1044" spans="1:8" x14ac:dyDescent="0.2">
      <c r="A1044" s="6" t="s">
        <v>1058</v>
      </c>
      <c r="B1044" s="7">
        <v>3</v>
      </c>
      <c r="C1044" s="7">
        <v>0</v>
      </c>
      <c r="D1044" s="7">
        <v>0</v>
      </c>
      <c r="E1044" s="7">
        <v>0</v>
      </c>
      <c r="F1044" s="8" t="s">
        <v>35</v>
      </c>
      <c r="G1044" s="8" t="s">
        <v>35</v>
      </c>
      <c r="H1044" t="str">
        <f t="shared" si="16"/>
        <v>YES</v>
      </c>
    </row>
    <row r="1045" spans="1:8" x14ac:dyDescent="0.2">
      <c r="A1045" s="6" t="s">
        <v>1059</v>
      </c>
      <c r="B1045" s="7">
        <v>3</v>
      </c>
      <c r="C1045" s="7">
        <v>0</v>
      </c>
      <c r="D1045" s="7">
        <v>0</v>
      </c>
      <c r="E1045" s="7">
        <v>0</v>
      </c>
      <c r="F1045" s="8" t="s">
        <v>35</v>
      </c>
      <c r="G1045" s="8" t="s">
        <v>35</v>
      </c>
      <c r="H1045" t="str">
        <f t="shared" si="16"/>
        <v>YES</v>
      </c>
    </row>
    <row r="1046" spans="1:8" x14ac:dyDescent="0.2">
      <c r="A1046" s="6" t="s">
        <v>1060</v>
      </c>
      <c r="B1046" s="7">
        <v>3</v>
      </c>
      <c r="C1046" s="7">
        <v>0</v>
      </c>
      <c r="D1046" s="7">
        <v>0</v>
      </c>
      <c r="E1046" s="7">
        <v>0</v>
      </c>
      <c r="F1046" s="8" t="s">
        <v>35</v>
      </c>
      <c r="G1046" s="8" t="s">
        <v>35</v>
      </c>
      <c r="H1046" t="str">
        <f t="shared" si="16"/>
        <v>YES</v>
      </c>
    </row>
    <row r="1047" spans="1:8" x14ac:dyDescent="0.2">
      <c r="A1047" s="6" t="s">
        <v>1061</v>
      </c>
      <c r="B1047" s="7">
        <v>3</v>
      </c>
      <c r="C1047" s="7">
        <v>0</v>
      </c>
      <c r="D1047" s="7">
        <v>0</v>
      </c>
      <c r="E1047" s="7">
        <v>0</v>
      </c>
      <c r="F1047" s="8" t="s">
        <v>35</v>
      </c>
      <c r="G1047" s="8" t="s">
        <v>35</v>
      </c>
      <c r="H1047" t="str">
        <f t="shared" si="16"/>
        <v>YES</v>
      </c>
    </row>
    <row r="1048" spans="1:8" x14ac:dyDescent="0.2">
      <c r="A1048" s="6" t="s">
        <v>1062</v>
      </c>
      <c r="B1048" s="7">
        <v>3</v>
      </c>
      <c r="C1048" s="7">
        <v>0</v>
      </c>
      <c r="D1048" s="7">
        <v>0</v>
      </c>
      <c r="E1048" s="7">
        <v>0</v>
      </c>
      <c r="F1048" s="8" t="s">
        <v>35</v>
      </c>
      <c r="G1048" s="8" t="s">
        <v>35</v>
      </c>
      <c r="H1048" t="str">
        <f t="shared" si="16"/>
        <v>YES</v>
      </c>
    </row>
    <row r="1049" spans="1:8" x14ac:dyDescent="0.2">
      <c r="A1049" s="6" t="s">
        <v>1063</v>
      </c>
      <c r="B1049" s="7">
        <v>3</v>
      </c>
      <c r="C1049" s="7">
        <v>0</v>
      </c>
      <c r="D1049" s="7">
        <v>0</v>
      </c>
      <c r="E1049" s="7">
        <v>0</v>
      </c>
      <c r="F1049" s="8" t="s">
        <v>35</v>
      </c>
      <c r="G1049" s="8" t="s">
        <v>35</v>
      </c>
      <c r="H1049" t="str">
        <f t="shared" si="16"/>
        <v>YES</v>
      </c>
    </row>
    <row r="1050" spans="1:8" x14ac:dyDescent="0.2">
      <c r="A1050" s="6" t="s">
        <v>1064</v>
      </c>
      <c r="B1050" s="7">
        <v>3</v>
      </c>
      <c r="C1050" s="7">
        <v>0</v>
      </c>
      <c r="D1050" s="7">
        <v>0</v>
      </c>
      <c r="E1050" s="7">
        <v>0</v>
      </c>
      <c r="F1050" s="8" t="s">
        <v>35</v>
      </c>
      <c r="G1050" s="8" t="s">
        <v>35</v>
      </c>
      <c r="H1050" t="str">
        <f t="shared" si="16"/>
        <v>YES</v>
      </c>
    </row>
    <row r="1051" spans="1:8" x14ac:dyDescent="0.2">
      <c r="A1051" s="6" t="s">
        <v>1065</v>
      </c>
      <c r="B1051" s="7">
        <v>3</v>
      </c>
      <c r="C1051" s="7">
        <v>0</v>
      </c>
      <c r="D1051" s="7">
        <v>0</v>
      </c>
      <c r="E1051" s="7">
        <v>0</v>
      </c>
      <c r="F1051" s="8" t="s">
        <v>35</v>
      </c>
      <c r="G1051" s="8" t="s">
        <v>35</v>
      </c>
      <c r="H1051" t="str">
        <f t="shared" si="16"/>
        <v>YES</v>
      </c>
    </row>
    <row r="1052" spans="1:8" x14ac:dyDescent="0.2">
      <c r="A1052" s="6" t="s">
        <v>1066</v>
      </c>
      <c r="B1052" s="7">
        <v>3</v>
      </c>
      <c r="C1052" s="7">
        <v>0</v>
      </c>
      <c r="D1052" s="7">
        <v>0</v>
      </c>
      <c r="E1052" s="7">
        <v>0</v>
      </c>
      <c r="F1052" s="8" t="s">
        <v>35</v>
      </c>
      <c r="G1052" s="8" t="s">
        <v>35</v>
      </c>
      <c r="H1052" t="str">
        <f t="shared" si="16"/>
        <v>YES</v>
      </c>
    </row>
    <row r="1053" spans="1:8" x14ac:dyDescent="0.2">
      <c r="A1053" s="6" t="s">
        <v>1067</v>
      </c>
      <c r="B1053" s="7">
        <v>3</v>
      </c>
      <c r="C1053" s="7">
        <v>0</v>
      </c>
      <c r="D1053" s="7">
        <v>0</v>
      </c>
      <c r="E1053" s="7">
        <v>0</v>
      </c>
      <c r="F1053" s="8" t="s">
        <v>35</v>
      </c>
      <c r="G1053" s="8" t="s">
        <v>35</v>
      </c>
      <c r="H1053" t="str">
        <f t="shared" si="16"/>
        <v>YES</v>
      </c>
    </row>
    <row r="1054" spans="1:8" x14ac:dyDescent="0.2">
      <c r="A1054" s="6" t="s">
        <v>1068</v>
      </c>
      <c r="B1054" s="7">
        <v>3</v>
      </c>
      <c r="C1054" s="7">
        <v>0</v>
      </c>
      <c r="D1054" s="7">
        <v>0</v>
      </c>
      <c r="E1054" s="7">
        <v>0</v>
      </c>
      <c r="F1054" s="8" t="s">
        <v>35</v>
      </c>
      <c r="G1054" s="8" t="s">
        <v>35</v>
      </c>
      <c r="H1054" t="str">
        <f t="shared" si="16"/>
        <v>YES</v>
      </c>
    </row>
    <row r="1055" spans="1:8" x14ac:dyDescent="0.2">
      <c r="A1055" s="6" t="s">
        <v>1069</v>
      </c>
      <c r="B1055" s="7">
        <v>3</v>
      </c>
      <c r="C1055" s="7">
        <v>0</v>
      </c>
      <c r="D1055" s="7">
        <v>0</v>
      </c>
      <c r="E1055" s="7">
        <v>0</v>
      </c>
      <c r="F1055" s="8" t="s">
        <v>35</v>
      </c>
      <c r="G1055" s="8" t="s">
        <v>35</v>
      </c>
      <c r="H1055" t="str">
        <f t="shared" si="16"/>
        <v>YES</v>
      </c>
    </row>
    <row r="1056" spans="1:8" x14ac:dyDescent="0.2">
      <c r="A1056" s="6" t="s">
        <v>1070</v>
      </c>
      <c r="B1056" s="7">
        <v>3</v>
      </c>
      <c r="C1056" s="7">
        <v>0</v>
      </c>
      <c r="D1056" s="7">
        <v>0</v>
      </c>
      <c r="E1056" s="7">
        <v>0</v>
      </c>
      <c r="F1056" s="8" t="s">
        <v>35</v>
      </c>
      <c r="G1056" s="8" t="s">
        <v>35</v>
      </c>
      <c r="H1056" t="str">
        <f t="shared" si="16"/>
        <v>YES</v>
      </c>
    </row>
    <row r="1057" spans="1:8" x14ac:dyDescent="0.2">
      <c r="A1057" s="6" t="s">
        <v>1071</v>
      </c>
      <c r="B1057" s="7">
        <v>3</v>
      </c>
      <c r="C1057" s="7">
        <v>0</v>
      </c>
      <c r="D1057" s="7">
        <v>0</v>
      </c>
      <c r="E1057" s="7">
        <v>0</v>
      </c>
      <c r="F1057" s="8" t="s">
        <v>35</v>
      </c>
      <c r="G1057" s="8" t="s">
        <v>35</v>
      </c>
      <c r="H1057" t="str">
        <f t="shared" si="16"/>
        <v>YES</v>
      </c>
    </row>
    <row r="1058" spans="1:8" x14ac:dyDescent="0.2">
      <c r="A1058" s="6" t="s">
        <v>1072</v>
      </c>
      <c r="B1058" s="7">
        <v>3</v>
      </c>
      <c r="C1058" s="7">
        <v>0</v>
      </c>
      <c r="D1058" s="7">
        <v>0</v>
      </c>
      <c r="E1058" s="7">
        <v>0</v>
      </c>
      <c r="F1058" s="8" t="s">
        <v>35</v>
      </c>
      <c r="G1058" s="8" t="s">
        <v>35</v>
      </c>
      <c r="H1058" t="str">
        <f t="shared" si="16"/>
        <v>YES</v>
      </c>
    </row>
    <row r="1059" spans="1:8" x14ac:dyDescent="0.2">
      <c r="A1059" s="6" t="s">
        <v>1073</v>
      </c>
      <c r="B1059" s="7">
        <v>3</v>
      </c>
      <c r="C1059" s="7">
        <v>0</v>
      </c>
      <c r="D1059" s="7">
        <v>0</v>
      </c>
      <c r="E1059" s="7">
        <v>0</v>
      </c>
      <c r="F1059" s="8" t="s">
        <v>35</v>
      </c>
      <c r="G1059" s="8" t="s">
        <v>35</v>
      </c>
      <c r="H1059" t="str">
        <f t="shared" si="16"/>
        <v>YES</v>
      </c>
    </row>
    <row r="1060" spans="1:8" x14ac:dyDescent="0.2">
      <c r="A1060" s="6" t="s">
        <v>1074</v>
      </c>
      <c r="B1060" s="7">
        <v>3</v>
      </c>
      <c r="C1060" s="7">
        <v>0</v>
      </c>
      <c r="D1060" s="7">
        <v>0</v>
      </c>
      <c r="E1060" s="7">
        <v>0</v>
      </c>
      <c r="F1060" s="8" t="s">
        <v>35</v>
      </c>
      <c r="G1060" s="8" t="s">
        <v>35</v>
      </c>
      <c r="H1060" t="str">
        <f t="shared" si="16"/>
        <v>YES</v>
      </c>
    </row>
    <row r="1061" spans="1:8" x14ac:dyDescent="0.2">
      <c r="A1061" s="6" t="s">
        <v>1075</v>
      </c>
      <c r="B1061" s="7">
        <v>3</v>
      </c>
      <c r="C1061" s="7">
        <v>0</v>
      </c>
      <c r="D1061" s="7">
        <v>0</v>
      </c>
      <c r="E1061" s="7">
        <v>0</v>
      </c>
      <c r="F1061" s="8" t="s">
        <v>35</v>
      </c>
      <c r="G1061" s="8" t="s">
        <v>35</v>
      </c>
      <c r="H1061" t="str">
        <f t="shared" si="16"/>
        <v>YES</v>
      </c>
    </row>
    <row r="1062" spans="1:8" x14ac:dyDescent="0.2">
      <c r="A1062" s="6" t="s">
        <v>1076</v>
      </c>
      <c r="B1062" s="7">
        <v>3</v>
      </c>
      <c r="C1062" s="7">
        <v>0</v>
      </c>
      <c r="D1062" s="7">
        <v>0</v>
      </c>
      <c r="E1062" s="7">
        <v>0</v>
      </c>
      <c r="F1062" s="8" t="s">
        <v>35</v>
      </c>
      <c r="G1062" s="8" t="s">
        <v>35</v>
      </c>
      <c r="H1062" t="str">
        <f t="shared" si="16"/>
        <v>YES</v>
      </c>
    </row>
    <row r="1063" spans="1:8" x14ac:dyDescent="0.2">
      <c r="A1063" s="6" t="s">
        <v>1077</v>
      </c>
      <c r="B1063" s="7">
        <v>3</v>
      </c>
      <c r="C1063" s="7">
        <v>0</v>
      </c>
      <c r="D1063" s="7">
        <v>0</v>
      </c>
      <c r="E1063" s="7">
        <v>0</v>
      </c>
      <c r="F1063" s="8" t="s">
        <v>35</v>
      </c>
      <c r="G1063" s="8" t="s">
        <v>35</v>
      </c>
      <c r="H1063" t="str">
        <f t="shared" si="16"/>
        <v>YES</v>
      </c>
    </row>
    <row r="1064" spans="1:8" x14ac:dyDescent="0.2">
      <c r="A1064" s="6" t="s">
        <v>1078</v>
      </c>
      <c r="B1064" s="7">
        <v>3</v>
      </c>
      <c r="C1064" s="7">
        <v>0</v>
      </c>
      <c r="D1064" s="7">
        <v>0</v>
      </c>
      <c r="E1064" s="7">
        <v>0</v>
      </c>
      <c r="F1064" s="8" t="s">
        <v>35</v>
      </c>
      <c r="G1064" s="8" t="s">
        <v>35</v>
      </c>
      <c r="H1064" t="str">
        <f t="shared" si="16"/>
        <v>YES</v>
      </c>
    </row>
    <row r="1065" spans="1:8" x14ac:dyDescent="0.2">
      <c r="A1065" s="6" t="s">
        <v>1079</v>
      </c>
      <c r="B1065" s="7">
        <v>3</v>
      </c>
      <c r="C1065" s="7">
        <v>0</v>
      </c>
      <c r="D1065" s="7">
        <v>0</v>
      </c>
      <c r="E1065" s="7">
        <v>0</v>
      </c>
      <c r="F1065" s="8" t="s">
        <v>35</v>
      </c>
      <c r="G1065" s="8" t="s">
        <v>35</v>
      </c>
      <c r="H1065" t="str">
        <f t="shared" si="16"/>
        <v>YES</v>
      </c>
    </row>
    <row r="1066" spans="1:8" x14ac:dyDescent="0.2">
      <c r="A1066" s="6" t="s">
        <v>1080</v>
      </c>
      <c r="B1066" s="7">
        <v>3</v>
      </c>
      <c r="C1066" s="7">
        <v>0</v>
      </c>
      <c r="D1066" s="7">
        <v>0</v>
      </c>
      <c r="E1066" s="7">
        <v>0</v>
      </c>
      <c r="F1066" s="8" t="s">
        <v>35</v>
      </c>
      <c r="G1066" s="8" t="s">
        <v>94</v>
      </c>
      <c r="H1066" t="str">
        <f t="shared" si="16"/>
        <v>NO</v>
      </c>
    </row>
    <row r="1067" spans="1:8" x14ac:dyDescent="0.2">
      <c r="A1067" s="6" t="s">
        <v>1081</v>
      </c>
      <c r="B1067" s="7">
        <v>3</v>
      </c>
      <c r="C1067" s="7">
        <v>0</v>
      </c>
      <c r="D1067" s="7">
        <v>0</v>
      </c>
      <c r="E1067" s="7">
        <v>0</v>
      </c>
      <c r="F1067" s="8" t="s">
        <v>35</v>
      </c>
      <c r="G1067" s="8" t="s">
        <v>35</v>
      </c>
      <c r="H1067" t="str">
        <f t="shared" si="16"/>
        <v>YES</v>
      </c>
    </row>
    <row r="1068" spans="1:8" x14ac:dyDescent="0.2">
      <c r="A1068" s="6" t="s">
        <v>1082</v>
      </c>
      <c r="B1068" s="7">
        <v>3</v>
      </c>
      <c r="C1068" s="7">
        <v>0</v>
      </c>
      <c r="D1068" s="7">
        <v>0</v>
      </c>
      <c r="E1068" s="7">
        <v>0</v>
      </c>
      <c r="F1068" s="8" t="s">
        <v>35</v>
      </c>
      <c r="G1068" s="8" t="s">
        <v>35</v>
      </c>
      <c r="H1068" t="str">
        <f t="shared" si="16"/>
        <v>YES</v>
      </c>
    </row>
    <row r="1069" spans="1:8" x14ac:dyDescent="0.2">
      <c r="A1069" s="6" t="s">
        <v>1083</v>
      </c>
      <c r="B1069" s="7">
        <v>3</v>
      </c>
      <c r="C1069" s="7">
        <v>0</v>
      </c>
      <c r="D1069" s="7">
        <v>0</v>
      </c>
      <c r="E1069" s="7">
        <v>0</v>
      </c>
      <c r="F1069" s="8" t="s">
        <v>35</v>
      </c>
      <c r="G1069" s="8" t="s">
        <v>35</v>
      </c>
      <c r="H1069" t="str">
        <f t="shared" si="16"/>
        <v>YES</v>
      </c>
    </row>
    <row r="1070" spans="1:8" x14ac:dyDescent="0.2">
      <c r="A1070" s="6" t="s">
        <v>1084</v>
      </c>
      <c r="B1070" s="7">
        <v>3</v>
      </c>
      <c r="C1070" s="7">
        <v>0</v>
      </c>
      <c r="D1070" s="7">
        <v>0</v>
      </c>
      <c r="E1070" s="7">
        <v>0</v>
      </c>
      <c r="F1070" s="8" t="s">
        <v>35</v>
      </c>
      <c r="G1070" s="8" t="s">
        <v>35</v>
      </c>
      <c r="H1070" t="str">
        <f t="shared" si="16"/>
        <v>YES</v>
      </c>
    </row>
    <row r="1071" spans="1:8" x14ac:dyDescent="0.2">
      <c r="A1071" s="6" t="s">
        <v>1085</v>
      </c>
      <c r="B1071" s="7">
        <v>3</v>
      </c>
      <c r="C1071" s="7">
        <v>0</v>
      </c>
      <c r="D1071" s="7">
        <v>0</v>
      </c>
      <c r="E1071" s="7">
        <v>0</v>
      </c>
      <c r="F1071" s="8" t="s">
        <v>35</v>
      </c>
      <c r="G1071" s="8" t="s">
        <v>35</v>
      </c>
      <c r="H1071" t="str">
        <f t="shared" si="16"/>
        <v>YES</v>
      </c>
    </row>
    <row r="1072" spans="1:8" x14ac:dyDescent="0.2">
      <c r="A1072" s="6" t="s">
        <v>1086</v>
      </c>
      <c r="B1072" s="7">
        <v>3</v>
      </c>
      <c r="C1072" s="7">
        <v>0</v>
      </c>
      <c r="D1072" s="7">
        <v>0</v>
      </c>
      <c r="E1072" s="7">
        <v>0</v>
      </c>
      <c r="F1072" s="8" t="s">
        <v>35</v>
      </c>
      <c r="G1072" s="8" t="s">
        <v>35</v>
      </c>
      <c r="H1072" t="str">
        <f t="shared" si="16"/>
        <v>YES</v>
      </c>
    </row>
    <row r="1073" spans="1:8" x14ac:dyDescent="0.2">
      <c r="A1073" s="6" t="s">
        <v>1087</v>
      </c>
      <c r="B1073" s="7">
        <v>3</v>
      </c>
      <c r="C1073" s="7">
        <v>0</v>
      </c>
      <c r="D1073" s="7">
        <v>0</v>
      </c>
      <c r="E1073" s="7">
        <v>0</v>
      </c>
      <c r="F1073" s="8" t="s">
        <v>35</v>
      </c>
      <c r="G1073" s="8" t="s">
        <v>35</v>
      </c>
      <c r="H1073" t="str">
        <f t="shared" si="16"/>
        <v>YES</v>
      </c>
    </row>
    <row r="1074" spans="1:8" x14ac:dyDescent="0.2">
      <c r="A1074" s="6" t="s">
        <v>1088</v>
      </c>
      <c r="B1074" s="7">
        <v>3</v>
      </c>
      <c r="C1074" s="7">
        <v>0</v>
      </c>
      <c r="D1074" s="7">
        <v>0</v>
      </c>
      <c r="E1074" s="7">
        <v>0</v>
      </c>
      <c r="F1074" s="8" t="s">
        <v>35</v>
      </c>
      <c r="G1074" s="8" t="s">
        <v>35</v>
      </c>
      <c r="H1074" t="str">
        <f t="shared" si="16"/>
        <v>YES</v>
      </c>
    </row>
    <row r="1075" spans="1:8" x14ac:dyDescent="0.2">
      <c r="A1075" s="6" t="s">
        <v>1089</v>
      </c>
      <c r="B1075" s="7">
        <v>3</v>
      </c>
      <c r="C1075" s="7">
        <v>0</v>
      </c>
      <c r="D1075" s="7">
        <v>0</v>
      </c>
      <c r="E1075" s="7">
        <v>0</v>
      </c>
      <c r="F1075" s="8" t="s">
        <v>35</v>
      </c>
      <c r="G1075" s="8" t="s">
        <v>35</v>
      </c>
      <c r="H1075" t="str">
        <f t="shared" si="16"/>
        <v>YES</v>
      </c>
    </row>
    <row r="1076" spans="1:8" x14ac:dyDescent="0.2">
      <c r="A1076" s="6" t="s">
        <v>1090</v>
      </c>
      <c r="B1076" s="7">
        <v>3</v>
      </c>
      <c r="C1076" s="7">
        <v>0</v>
      </c>
      <c r="D1076" s="7">
        <v>0</v>
      </c>
      <c r="E1076" s="7">
        <v>0</v>
      </c>
      <c r="F1076" s="8" t="s">
        <v>35</v>
      </c>
      <c r="G1076" s="8" t="s">
        <v>35</v>
      </c>
      <c r="H1076" t="str">
        <f t="shared" si="16"/>
        <v>YES</v>
      </c>
    </row>
    <row r="1077" spans="1:8" x14ac:dyDescent="0.2">
      <c r="A1077" s="6" t="s">
        <v>1091</v>
      </c>
      <c r="B1077" s="7">
        <v>3</v>
      </c>
      <c r="C1077" s="7">
        <v>0</v>
      </c>
      <c r="D1077" s="7">
        <v>0</v>
      </c>
      <c r="E1077" s="7">
        <v>0</v>
      </c>
      <c r="F1077" s="8" t="s">
        <v>35</v>
      </c>
      <c r="G1077" s="8" t="s">
        <v>35</v>
      </c>
      <c r="H1077" t="str">
        <f t="shared" si="16"/>
        <v>YES</v>
      </c>
    </row>
    <row r="1078" spans="1:8" x14ac:dyDescent="0.2">
      <c r="A1078" s="6" t="s">
        <v>1092</v>
      </c>
      <c r="B1078" s="7">
        <v>3</v>
      </c>
      <c r="C1078" s="7">
        <v>0</v>
      </c>
      <c r="D1078" s="7">
        <v>0</v>
      </c>
      <c r="E1078" s="7">
        <v>0</v>
      </c>
      <c r="F1078" s="8" t="s">
        <v>35</v>
      </c>
      <c r="G1078" s="8" t="s">
        <v>35</v>
      </c>
      <c r="H1078" t="str">
        <f t="shared" si="16"/>
        <v>YES</v>
      </c>
    </row>
    <row r="1079" spans="1:8" x14ac:dyDescent="0.2">
      <c r="A1079" s="6" t="s">
        <v>1093</v>
      </c>
      <c r="B1079" s="7">
        <v>3</v>
      </c>
      <c r="C1079" s="7">
        <v>0</v>
      </c>
      <c r="D1079" s="7">
        <v>0</v>
      </c>
      <c r="E1079" s="7">
        <v>0</v>
      </c>
      <c r="F1079" s="8" t="s">
        <v>35</v>
      </c>
      <c r="G1079" s="8" t="s">
        <v>35</v>
      </c>
      <c r="H1079" t="str">
        <f t="shared" si="16"/>
        <v>YES</v>
      </c>
    </row>
    <row r="1080" spans="1:8" x14ac:dyDescent="0.2">
      <c r="A1080" s="6" t="s">
        <v>1094</v>
      </c>
      <c r="B1080" s="7">
        <v>3</v>
      </c>
      <c r="C1080" s="7">
        <v>0</v>
      </c>
      <c r="D1080" s="7">
        <v>0</v>
      </c>
      <c r="E1080" s="7">
        <v>0</v>
      </c>
      <c r="F1080" s="8" t="s">
        <v>35</v>
      </c>
      <c r="G1080" s="8" t="s">
        <v>35</v>
      </c>
      <c r="H1080" t="str">
        <f t="shared" si="16"/>
        <v>YES</v>
      </c>
    </row>
    <row r="1081" spans="1:8" x14ac:dyDescent="0.2">
      <c r="A1081" s="6" t="s">
        <v>1095</v>
      </c>
      <c r="B1081" s="7">
        <v>3</v>
      </c>
      <c r="C1081" s="7">
        <v>0</v>
      </c>
      <c r="D1081" s="7">
        <v>0</v>
      </c>
      <c r="E1081" s="7">
        <v>0</v>
      </c>
      <c r="F1081" s="8" t="s">
        <v>35</v>
      </c>
      <c r="G1081" s="8" t="s">
        <v>35</v>
      </c>
      <c r="H1081" t="str">
        <f t="shared" si="16"/>
        <v>YES</v>
      </c>
    </row>
    <row r="1082" spans="1:8" x14ac:dyDescent="0.2">
      <c r="A1082" s="6" t="s">
        <v>1096</v>
      </c>
      <c r="B1082" s="7">
        <v>3</v>
      </c>
      <c r="C1082" s="7">
        <v>0</v>
      </c>
      <c r="D1082" s="7">
        <v>0</v>
      </c>
      <c r="E1082" s="7">
        <v>0</v>
      </c>
      <c r="F1082" s="8" t="s">
        <v>35</v>
      </c>
      <c r="G1082" s="8" t="s">
        <v>35</v>
      </c>
      <c r="H1082" t="str">
        <f t="shared" si="16"/>
        <v>YES</v>
      </c>
    </row>
    <row r="1083" spans="1:8" x14ac:dyDescent="0.2">
      <c r="A1083" s="6" t="s">
        <v>1097</v>
      </c>
      <c r="B1083" s="7">
        <v>3</v>
      </c>
      <c r="C1083" s="7">
        <v>0</v>
      </c>
      <c r="D1083" s="7">
        <v>0</v>
      </c>
      <c r="E1083" s="7">
        <v>0</v>
      </c>
      <c r="F1083" s="8" t="s">
        <v>35</v>
      </c>
      <c r="G1083" s="8" t="s">
        <v>35</v>
      </c>
      <c r="H1083" t="str">
        <f t="shared" si="16"/>
        <v>YES</v>
      </c>
    </row>
    <row r="1084" spans="1:8" x14ac:dyDescent="0.2">
      <c r="A1084" s="6" t="s">
        <v>1098</v>
      </c>
      <c r="B1084" s="7">
        <v>3</v>
      </c>
      <c r="C1084" s="7">
        <v>0</v>
      </c>
      <c r="D1084" s="7">
        <v>0</v>
      </c>
      <c r="E1084" s="7">
        <v>0</v>
      </c>
      <c r="F1084" s="8" t="s">
        <v>35</v>
      </c>
      <c r="G1084" s="8" t="s">
        <v>35</v>
      </c>
      <c r="H1084" t="str">
        <f t="shared" si="16"/>
        <v>YES</v>
      </c>
    </row>
    <row r="1085" spans="1:8" x14ac:dyDescent="0.2">
      <c r="A1085" s="6" t="s">
        <v>1099</v>
      </c>
      <c r="B1085" s="7">
        <v>3</v>
      </c>
      <c r="C1085" s="7">
        <v>0</v>
      </c>
      <c r="D1085" s="7">
        <v>0</v>
      </c>
      <c r="E1085" s="7">
        <v>0</v>
      </c>
      <c r="F1085" s="8" t="s">
        <v>35</v>
      </c>
      <c r="G1085" s="8" t="s">
        <v>35</v>
      </c>
      <c r="H1085" t="str">
        <f t="shared" si="16"/>
        <v>YES</v>
      </c>
    </row>
    <row r="1086" spans="1:8" x14ac:dyDescent="0.2">
      <c r="A1086" s="6" t="s">
        <v>1100</v>
      </c>
      <c r="B1086" s="7">
        <v>3</v>
      </c>
      <c r="C1086" s="7">
        <v>0</v>
      </c>
      <c r="D1086" s="7">
        <v>0</v>
      </c>
      <c r="E1086" s="7">
        <v>0</v>
      </c>
      <c r="F1086" s="8" t="s">
        <v>35</v>
      </c>
      <c r="G1086" s="8" t="s">
        <v>35</v>
      </c>
      <c r="H1086" t="str">
        <f t="shared" si="16"/>
        <v>YES</v>
      </c>
    </row>
    <row r="1087" spans="1:8" x14ac:dyDescent="0.2">
      <c r="A1087" s="6" t="s">
        <v>1101</v>
      </c>
      <c r="B1087" s="7">
        <v>3</v>
      </c>
      <c r="C1087" s="7">
        <v>0</v>
      </c>
      <c r="D1087" s="7">
        <v>0</v>
      </c>
      <c r="E1087" s="7">
        <v>0</v>
      </c>
      <c r="F1087" s="8" t="s">
        <v>35</v>
      </c>
      <c r="G1087" s="8" t="s">
        <v>35</v>
      </c>
      <c r="H1087" t="str">
        <f t="shared" si="16"/>
        <v>YES</v>
      </c>
    </row>
    <row r="1088" spans="1:8" x14ac:dyDescent="0.2">
      <c r="A1088" s="6" t="s">
        <v>1102</v>
      </c>
      <c r="B1088" s="7">
        <v>3</v>
      </c>
      <c r="C1088" s="7">
        <v>0</v>
      </c>
      <c r="D1088" s="7">
        <v>0</v>
      </c>
      <c r="E1088" s="7">
        <v>0</v>
      </c>
      <c r="F1088" s="8" t="s">
        <v>35</v>
      </c>
      <c r="G1088" s="8" t="s">
        <v>35</v>
      </c>
      <c r="H1088" t="str">
        <f t="shared" si="16"/>
        <v>YES</v>
      </c>
    </row>
    <row r="1089" spans="1:8" x14ac:dyDescent="0.2">
      <c r="A1089" s="6" t="s">
        <v>1103</v>
      </c>
      <c r="B1089" s="7">
        <v>3</v>
      </c>
      <c r="C1089" s="7">
        <v>0</v>
      </c>
      <c r="D1089" s="7">
        <v>0</v>
      </c>
      <c r="E1089" s="7">
        <v>0</v>
      </c>
      <c r="F1089" s="8" t="s">
        <v>35</v>
      </c>
      <c r="G1089" s="8" t="s">
        <v>35</v>
      </c>
      <c r="H1089" t="str">
        <f t="shared" si="16"/>
        <v>YES</v>
      </c>
    </row>
    <row r="1090" spans="1:8" x14ac:dyDescent="0.2">
      <c r="A1090" s="6" t="s">
        <v>1104</v>
      </c>
      <c r="B1090" s="7">
        <v>3</v>
      </c>
      <c r="C1090" s="7">
        <v>0</v>
      </c>
      <c r="D1090" s="7">
        <v>0</v>
      </c>
      <c r="E1090" s="7">
        <v>0</v>
      </c>
      <c r="F1090" s="8" t="s">
        <v>35</v>
      </c>
      <c r="G1090" s="8" t="s">
        <v>35</v>
      </c>
      <c r="H1090" t="str">
        <f t="shared" si="16"/>
        <v>YES</v>
      </c>
    </row>
    <row r="1091" spans="1:8" x14ac:dyDescent="0.2">
      <c r="A1091" s="6" t="s">
        <v>1105</v>
      </c>
      <c r="B1091" s="7">
        <v>3</v>
      </c>
      <c r="C1091" s="7">
        <v>0</v>
      </c>
      <c r="D1091" s="7">
        <v>0</v>
      </c>
      <c r="E1091" s="7">
        <v>0</v>
      </c>
      <c r="F1091" s="8" t="s">
        <v>35</v>
      </c>
      <c r="G1091" s="8" t="s">
        <v>35</v>
      </c>
      <c r="H1091" t="str">
        <f t="shared" si="16"/>
        <v>YES</v>
      </c>
    </row>
    <row r="1092" spans="1:8" x14ac:dyDescent="0.2">
      <c r="A1092" s="6" t="s">
        <v>1106</v>
      </c>
      <c r="B1092" s="7">
        <v>3</v>
      </c>
      <c r="C1092" s="7">
        <v>0</v>
      </c>
      <c r="D1092" s="7">
        <v>0</v>
      </c>
      <c r="E1092" s="7">
        <v>0</v>
      </c>
      <c r="F1092" s="8" t="s">
        <v>35</v>
      </c>
      <c r="G1092" s="8" t="s">
        <v>35</v>
      </c>
      <c r="H1092" t="str">
        <f t="shared" si="16"/>
        <v>YES</v>
      </c>
    </row>
    <row r="1093" spans="1:8" x14ac:dyDescent="0.2">
      <c r="A1093" s="6" t="s">
        <v>1107</v>
      </c>
      <c r="B1093" s="7">
        <v>3</v>
      </c>
      <c r="C1093" s="7">
        <v>0</v>
      </c>
      <c r="D1093" s="7">
        <v>0</v>
      </c>
      <c r="E1093" s="7">
        <v>0</v>
      </c>
      <c r="F1093" s="8" t="s">
        <v>35</v>
      </c>
      <c r="G1093" s="8" t="s">
        <v>35</v>
      </c>
      <c r="H1093" t="str">
        <f t="shared" ref="H1093:H1156" si="17">IF(F1093=G1093,"YES","NO")</f>
        <v>YES</v>
      </c>
    </row>
    <row r="1094" spans="1:8" x14ac:dyDescent="0.2">
      <c r="A1094" s="6" t="s">
        <v>1108</v>
      </c>
      <c r="B1094" s="7">
        <v>3</v>
      </c>
      <c r="C1094" s="7">
        <v>0</v>
      </c>
      <c r="D1094" s="7">
        <v>0</v>
      </c>
      <c r="E1094" s="7">
        <v>0</v>
      </c>
      <c r="F1094" s="8" t="s">
        <v>35</v>
      </c>
      <c r="G1094" s="8" t="s">
        <v>35</v>
      </c>
      <c r="H1094" t="str">
        <f t="shared" si="17"/>
        <v>YES</v>
      </c>
    </row>
    <row r="1095" spans="1:8" x14ac:dyDescent="0.2">
      <c r="A1095" s="6" t="s">
        <v>1109</v>
      </c>
      <c r="B1095" s="7">
        <v>3</v>
      </c>
      <c r="C1095" s="7">
        <v>0</v>
      </c>
      <c r="D1095" s="7">
        <v>0</v>
      </c>
      <c r="E1095" s="7">
        <v>0</v>
      </c>
      <c r="F1095" s="8" t="s">
        <v>35</v>
      </c>
      <c r="G1095" s="8" t="s">
        <v>35</v>
      </c>
      <c r="H1095" t="str">
        <f t="shared" si="17"/>
        <v>YES</v>
      </c>
    </row>
    <row r="1096" spans="1:8" x14ac:dyDescent="0.2">
      <c r="A1096" s="6" t="s">
        <v>1110</v>
      </c>
      <c r="B1096" s="7">
        <v>3</v>
      </c>
      <c r="C1096" s="7">
        <v>0</v>
      </c>
      <c r="D1096" s="7">
        <v>0</v>
      </c>
      <c r="E1096" s="7">
        <v>0</v>
      </c>
      <c r="F1096" s="8" t="s">
        <v>35</v>
      </c>
      <c r="G1096" s="8" t="s">
        <v>35</v>
      </c>
      <c r="H1096" t="str">
        <f t="shared" si="17"/>
        <v>YES</v>
      </c>
    </row>
    <row r="1097" spans="1:8" x14ac:dyDescent="0.2">
      <c r="A1097" s="6" t="s">
        <v>1111</v>
      </c>
      <c r="B1097" s="7">
        <v>3</v>
      </c>
      <c r="C1097" s="7">
        <v>0</v>
      </c>
      <c r="D1097" s="7">
        <v>0</v>
      </c>
      <c r="E1097" s="7">
        <v>0</v>
      </c>
      <c r="F1097" s="8" t="s">
        <v>35</v>
      </c>
      <c r="G1097" s="8" t="s">
        <v>35</v>
      </c>
      <c r="H1097" t="str">
        <f t="shared" si="17"/>
        <v>YES</v>
      </c>
    </row>
    <row r="1098" spans="1:8" x14ac:dyDescent="0.2">
      <c r="A1098" s="6" t="s">
        <v>1112</v>
      </c>
      <c r="B1098" s="7">
        <v>3</v>
      </c>
      <c r="C1098" s="7">
        <v>0</v>
      </c>
      <c r="D1098" s="7">
        <v>0</v>
      </c>
      <c r="E1098" s="7">
        <v>0</v>
      </c>
      <c r="F1098" s="8" t="s">
        <v>35</v>
      </c>
      <c r="G1098" s="8" t="s">
        <v>35</v>
      </c>
      <c r="H1098" t="str">
        <f t="shared" si="17"/>
        <v>YES</v>
      </c>
    </row>
    <row r="1099" spans="1:8" x14ac:dyDescent="0.2">
      <c r="A1099" s="6" t="s">
        <v>1113</v>
      </c>
      <c r="B1099" s="7">
        <v>3</v>
      </c>
      <c r="C1099" s="7">
        <v>0</v>
      </c>
      <c r="D1099" s="7">
        <v>0</v>
      </c>
      <c r="E1099" s="7">
        <v>0</v>
      </c>
      <c r="F1099" s="8" t="s">
        <v>35</v>
      </c>
      <c r="G1099" s="8" t="s">
        <v>35</v>
      </c>
      <c r="H1099" t="str">
        <f t="shared" si="17"/>
        <v>YES</v>
      </c>
    </row>
    <row r="1100" spans="1:8" x14ac:dyDescent="0.2">
      <c r="A1100" s="6" t="s">
        <v>1114</v>
      </c>
      <c r="B1100" s="7">
        <v>3</v>
      </c>
      <c r="C1100" s="7">
        <v>0</v>
      </c>
      <c r="D1100" s="7">
        <v>0</v>
      </c>
      <c r="E1100" s="7">
        <v>0</v>
      </c>
      <c r="F1100" s="8" t="s">
        <v>35</v>
      </c>
      <c r="G1100" s="8" t="s">
        <v>35</v>
      </c>
      <c r="H1100" t="str">
        <f t="shared" si="17"/>
        <v>YES</v>
      </c>
    </row>
    <row r="1101" spans="1:8" x14ac:dyDescent="0.2">
      <c r="A1101" s="6" t="s">
        <v>1115</v>
      </c>
      <c r="B1101" s="7">
        <v>3</v>
      </c>
      <c r="C1101" s="7">
        <v>0</v>
      </c>
      <c r="D1101" s="7">
        <v>0</v>
      </c>
      <c r="E1101" s="7">
        <v>0</v>
      </c>
      <c r="F1101" s="8" t="s">
        <v>35</v>
      </c>
      <c r="G1101" s="8" t="s">
        <v>35</v>
      </c>
      <c r="H1101" t="str">
        <f t="shared" si="17"/>
        <v>YES</v>
      </c>
    </row>
    <row r="1102" spans="1:8" x14ac:dyDescent="0.2">
      <c r="A1102" s="6" t="s">
        <v>1116</v>
      </c>
      <c r="B1102" s="7">
        <v>3</v>
      </c>
      <c r="C1102" s="7">
        <v>0</v>
      </c>
      <c r="D1102" s="7">
        <v>0</v>
      </c>
      <c r="E1102" s="7">
        <v>0</v>
      </c>
      <c r="F1102" s="8" t="s">
        <v>35</v>
      </c>
      <c r="G1102" s="8" t="s">
        <v>35</v>
      </c>
      <c r="H1102" t="str">
        <f t="shared" si="17"/>
        <v>YES</v>
      </c>
    </row>
    <row r="1103" spans="1:8" x14ac:dyDescent="0.2">
      <c r="A1103" s="6" t="s">
        <v>1117</v>
      </c>
      <c r="B1103" s="7">
        <v>3</v>
      </c>
      <c r="C1103" s="7">
        <v>0</v>
      </c>
      <c r="D1103" s="7">
        <v>0</v>
      </c>
      <c r="E1103" s="7">
        <v>0</v>
      </c>
      <c r="F1103" s="8" t="s">
        <v>35</v>
      </c>
      <c r="G1103" s="8" t="s">
        <v>35</v>
      </c>
      <c r="H1103" t="str">
        <f t="shared" si="17"/>
        <v>YES</v>
      </c>
    </row>
    <row r="1104" spans="1:8" x14ac:dyDescent="0.2">
      <c r="A1104" s="6" t="s">
        <v>1118</v>
      </c>
      <c r="B1104" s="7">
        <v>3</v>
      </c>
      <c r="C1104" s="7">
        <v>0</v>
      </c>
      <c r="D1104" s="7">
        <v>0</v>
      </c>
      <c r="E1104" s="7">
        <v>0</v>
      </c>
      <c r="F1104" s="8" t="s">
        <v>35</v>
      </c>
      <c r="G1104" s="8" t="s">
        <v>35</v>
      </c>
      <c r="H1104" t="str">
        <f t="shared" si="17"/>
        <v>YES</v>
      </c>
    </row>
    <row r="1105" spans="1:8" x14ac:dyDescent="0.2">
      <c r="A1105" s="6" t="s">
        <v>1119</v>
      </c>
      <c r="B1105" s="7">
        <v>3</v>
      </c>
      <c r="C1105" s="7">
        <v>0</v>
      </c>
      <c r="D1105" s="7">
        <v>0</v>
      </c>
      <c r="E1105" s="7">
        <v>0</v>
      </c>
      <c r="F1105" s="8" t="s">
        <v>35</v>
      </c>
      <c r="G1105" s="8" t="s">
        <v>35</v>
      </c>
      <c r="H1105" t="str">
        <f t="shared" si="17"/>
        <v>YES</v>
      </c>
    </row>
    <row r="1106" spans="1:8" x14ac:dyDescent="0.2">
      <c r="A1106" s="6" t="s">
        <v>1120</v>
      </c>
      <c r="B1106" s="7">
        <v>3</v>
      </c>
      <c r="C1106" s="7">
        <v>0</v>
      </c>
      <c r="D1106" s="7">
        <v>0</v>
      </c>
      <c r="E1106" s="7">
        <v>0</v>
      </c>
      <c r="F1106" s="8" t="s">
        <v>35</v>
      </c>
      <c r="G1106" s="8" t="s">
        <v>35</v>
      </c>
      <c r="H1106" t="str">
        <f t="shared" si="17"/>
        <v>YES</v>
      </c>
    </row>
    <row r="1107" spans="1:8" x14ac:dyDescent="0.2">
      <c r="A1107" s="6" t="s">
        <v>1121</v>
      </c>
      <c r="B1107" s="7">
        <v>3</v>
      </c>
      <c r="C1107" s="7">
        <v>0</v>
      </c>
      <c r="D1107" s="7">
        <v>0</v>
      </c>
      <c r="E1107" s="7">
        <v>0</v>
      </c>
      <c r="F1107" s="8" t="s">
        <v>35</v>
      </c>
      <c r="G1107" s="8" t="s">
        <v>35</v>
      </c>
      <c r="H1107" t="str">
        <f t="shared" si="17"/>
        <v>YES</v>
      </c>
    </row>
    <row r="1108" spans="1:8" x14ac:dyDescent="0.2">
      <c r="A1108" s="6" t="s">
        <v>1122</v>
      </c>
      <c r="B1108" s="7">
        <v>3</v>
      </c>
      <c r="C1108" s="7">
        <v>0</v>
      </c>
      <c r="D1108" s="7">
        <v>0</v>
      </c>
      <c r="E1108" s="7">
        <v>0</v>
      </c>
      <c r="F1108" s="8" t="s">
        <v>35</v>
      </c>
      <c r="G1108" s="8" t="s">
        <v>35</v>
      </c>
      <c r="H1108" t="str">
        <f t="shared" si="17"/>
        <v>YES</v>
      </c>
    </row>
    <row r="1109" spans="1:8" x14ac:dyDescent="0.2">
      <c r="A1109" s="6" t="s">
        <v>1123</v>
      </c>
      <c r="B1109" s="7">
        <v>3</v>
      </c>
      <c r="C1109" s="7">
        <v>0</v>
      </c>
      <c r="D1109" s="7">
        <v>0</v>
      </c>
      <c r="E1109" s="7">
        <v>0</v>
      </c>
      <c r="F1109" s="8" t="s">
        <v>35</v>
      </c>
      <c r="G1109" s="8" t="s">
        <v>35</v>
      </c>
      <c r="H1109" t="str">
        <f t="shared" si="17"/>
        <v>YES</v>
      </c>
    </row>
    <row r="1110" spans="1:8" x14ac:dyDescent="0.2">
      <c r="A1110" s="6" t="s">
        <v>1124</v>
      </c>
      <c r="B1110" s="7">
        <v>3</v>
      </c>
      <c r="C1110" s="7">
        <v>0</v>
      </c>
      <c r="D1110" s="7">
        <v>0</v>
      </c>
      <c r="E1110" s="7">
        <v>0</v>
      </c>
      <c r="F1110" s="8" t="s">
        <v>35</v>
      </c>
      <c r="G1110" s="8" t="s">
        <v>35</v>
      </c>
      <c r="H1110" t="str">
        <f t="shared" si="17"/>
        <v>YES</v>
      </c>
    </row>
    <row r="1111" spans="1:8" x14ac:dyDescent="0.2">
      <c r="A1111" s="6" t="s">
        <v>1125</v>
      </c>
      <c r="B1111" s="7">
        <v>3</v>
      </c>
      <c r="C1111" s="7">
        <v>0</v>
      </c>
      <c r="D1111" s="7">
        <v>0</v>
      </c>
      <c r="E1111" s="7">
        <v>0</v>
      </c>
      <c r="F1111" s="8" t="s">
        <v>35</v>
      </c>
      <c r="G1111" s="8" t="s">
        <v>35</v>
      </c>
      <c r="H1111" t="str">
        <f t="shared" si="17"/>
        <v>YES</v>
      </c>
    </row>
    <row r="1112" spans="1:8" x14ac:dyDescent="0.2">
      <c r="A1112" s="6" t="s">
        <v>1126</v>
      </c>
      <c r="B1112" s="7">
        <v>3</v>
      </c>
      <c r="C1112" s="7">
        <v>0</v>
      </c>
      <c r="D1112" s="7">
        <v>0</v>
      </c>
      <c r="E1112" s="7">
        <v>0</v>
      </c>
      <c r="F1112" s="8" t="s">
        <v>35</v>
      </c>
      <c r="G1112" s="8" t="s">
        <v>35</v>
      </c>
      <c r="H1112" t="str">
        <f t="shared" si="17"/>
        <v>YES</v>
      </c>
    </row>
    <row r="1113" spans="1:8" x14ac:dyDescent="0.2">
      <c r="A1113" s="6" t="s">
        <v>1127</v>
      </c>
      <c r="B1113" s="7">
        <v>3</v>
      </c>
      <c r="C1113" s="7">
        <v>0</v>
      </c>
      <c r="D1113" s="7">
        <v>0</v>
      </c>
      <c r="E1113" s="7">
        <v>0</v>
      </c>
      <c r="F1113" s="8" t="s">
        <v>35</v>
      </c>
      <c r="G1113" s="8" t="s">
        <v>35</v>
      </c>
      <c r="H1113" t="str">
        <f t="shared" si="17"/>
        <v>YES</v>
      </c>
    </row>
    <row r="1114" spans="1:8" x14ac:dyDescent="0.2">
      <c r="A1114" s="6" t="s">
        <v>1128</v>
      </c>
      <c r="B1114" s="7">
        <v>3</v>
      </c>
      <c r="C1114" s="7">
        <v>0</v>
      </c>
      <c r="D1114" s="7">
        <v>0</v>
      </c>
      <c r="E1114" s="7">
        <v>0</v>
      </c>
      <c r="F1114" s="8" t="s">
        <v>35</v>
      </c>
      <c r="G1114" s="8" t="s">
        <v>35</v>
      </c>
      <c r="H1114" t="str">
        <f t="shared" si="17"/>
        <v>YES</v>
      </c>
    </row>
    <row r="1115" spans="1:8" x14ac:dyDescent="0.2">
      <c r="A1115" s="6" t="s">
        <v>1129</v>
      </c>
      <c r="B1115" s="7">
        <v>3</v>
      </c>
      <c r="C1115" s="7">
        <v>0</v>
      </c>
      <c r="D1115" s="7">
        <v>0</v>
      </c>
      <c r="E1115" s="7">
        <v>0</v>
      </c>
      <c r="F1115" s="8" t="s">
        <v>35</v>
      </c>
      <c r="G1115" s="8" t="s">
        <v>35</v>
      </c>
      <c r="H1115" t="str">
        <f t="shared" si="17"/>
        <v>YES</v>
      </c>
    </row>
    <row r="1116" spans="1:8" x14ac:dyDescent="0.2">
      <c r="A1116" s="6" t="s">
        <v>1130</v>
      </c>
      <c r="B1116" s="7">
        <v>3</v>
      </c>
      <c r="C1116" s="7">
        <v>0</v>
      </c>
      <c r="D1116" s="7">
        <v>0</v>
      </c>
      <c r="E1116" s="7">
        <v>0</v>
      </c>
      <c r="F1116" s="8" t="s">
        <v>35</v>
      </c>
      <c r="G1116" s="8" t="s">
        <v>35</v>
      </c>
      <c r="H1116" t="str">
        <f t="shared" si="17"/>
        <v>YES</v>
      </c>
    </row>
    <row r="1117" spans="1:8" x14ac:dyDescent="0.2">
      <c r="A1117" s="6" t="s">
        <v>1131</v>
      </c>
      <c r="B1117" s="7">
        <v>3</v>
      </c>
      <c r="C1117" s="7">
        <v>0</v>
      </c>
      <c r="D1117" s="7">
        <v>0</v>
      </c>
      <c r="E1117" s="7">
        <v>0</v>
      </c>
      <c r="F1117" s="8" t="s">
        <v>35</v>
      </c>
      <c r="G1117" s="8" t="s">
        <v>35</v>
      </c>
      <c r="H1117" t="str">
        <f t="shared" si="17"/>
        <v>YES</v>
      </c>
    </row>
    <row r="1118" spans="1:8" x14ac:dyDescent="0.2">
      <c r="A1118" s="6" t="s">
        <v>1132</v>
      </c>
      <c r="B1118" s="7">
        <v>3</v>
      </c>
      <c r="C1118" s="7">
        <v>0</v>
      </c>
      <c r="D1118" s="7">
        <v>0</v>
      </c>
      <c r="E1118" s="7">
        <v>0</v>
      </c>
      <c r="F1118" s="8" t="s">
        <v>35</v>
      </c>
      <c r="G1118" s="8" t="s">
        <v>35</v>
      </c>
      <c r="H1118" t="str">
        <f t="shared" si="17"/>
        <v>YES</v>
      </c>
    </row>
    <row r="1119" spans="1:8" x14ac:dyDescent="0.2">
      <c r="A1119" s="6" t="s">
        <v>1133</v>
      </c>
      <c r="B1119" s="7">
        <v>4</v>
      </c>
      <c r="C1119" s="7">
        <v>0</v>
      </c>
      <c r="D1119" s="7">
        <v>0</v>
      </c>
      <c r="E1119" s="7">
        <v>0</v>
      </c>
      <c r="F1119" s="8" t="s">
        <v>35</v>
      </c>
      <c r="G1119" s="8" t="s">
        <v>35</v>
      </c>
      <c r="H1119" t="str">
        <f t="shared" si="17"/>
        <v>YES</v>
      </c>
    </row>
    <row r="1120" spans="1:8" x14ac:dyDescent="0.2">
      <c r="A1120" s="6" t="s">
        <v>1134</v>
      </c>
      <c r="B1120" s="7">
        <v>4</v>
      </c>
      <c r="C1120" s="7">
        <v>0</v>
      </c>
      <c r="D1120" s="7">
        <v>0</v>
      </c>
      <c r="E1120" s="7">
        <v>0</v>
      </c>
      <c r="F1120" s="8" t="s">
        <v>35</v>
      </c>
      <c r="G1120" s="8" t="s">
        <v>35</v>
      </c>
      <c r="H1120" t="str">
        <f t="shared" si="17"/>
        <v>YES</v>
      </c>
    </row>
    <row r="1121" spans="1:8" x14ac:dyDescent="0.2">
      <c r="A1121" s="6" t="s">
        <v>1135</v>
      </c>
      <c r="B1121" s="7">
        <v>4</v>
      </c>
      <c r="C1121" s="7">
        <v>0</v>
      </c>
      <c r="D1121" s="7">
        <v>0</v>
      </c>
      <c r="E1121" s="7">
        <v>0</v>
      </c>
      <c r="F1121" s="8" t="s">
        <v>35</v>
      </c>
      <c r="G1121" s="8" t="s">
        <v>35</v>
      </c>
      <c r="H1121" t="str">
        <f t="shared" si="17"/>
        <v>YES</v>
      </c>
    </row>
    <row r="1122" spans="1:8" x14ac:dyDescent="0.2">
      <c r="A1122" s="6" t="s">
        <v>1136</v>
      </c>
      <c r="B1122" s="7">
        <v>4</v>
      </c>
      <c r="C1122" s="7">
        <v>0</v>
      </c>
      <c r="D1122" s="7">
        <v>0</v>
      </c>
      <c r="E1122" s="7">
        <v>0</v>
      </c>
      <c r="F1122" s="8" t="s">
        <v>35</v>
      </c>
      <c r="G1122" s="8" t="s">
        <v>35</v>
      </c>
      <c r="H1122" t="str">
        <f t="shared" si="17"/>
        <v>YES</v>
      </c>
    </row>
    <row r="1123" spans="1:8" x14ac:dyDescent="0.2">
      <c r="A1123" s="6" t="s">
        <v>1137</v>
      </c>
      <c r="B1123" s="7">
        <v>4</v>
      </c>
      <c r="C1123" s="7">
        <v>0</v>
      </c>
      <c r="D1123" s="7">
        <v>0</v>
      </c>
      <c r="E1123" s="7">
        <v>0</v>
      </c>
      <c r="F1123" s="8" t="s">
        <v>35</v>
      </c>
      <c r="G1123" s="8" t="s">
        <v>35</v>
      </c>
      <c r="H1123" t="str">
        <f t="shared" si="17"/>
        <v>YES</v>
      </c>
    </row>
    <row r="1124" spans="1:8" x14ac:dyDescent="0.2">
      <c r="A1124" s="6" t="s">
        <v>1138</v>
      </c>
      <c r="B1124" s="7">
        <v>4</v>
      </c>
      <c r="C1124" s="7">
        <v>0</v>
      </c>
      <c r="D1124" s="7">
        <v>0</v>
      </c>
      <c r="E1124" s="7">
        <v>0</v>
      </c>
      <c r="F1124" s="8" t="s">
        <v>35</v>
      </c>
      <c r="G1124" s="8" t="s">
        <v>35</v>
      </c>
      <c r="H1124" t="str">
        <f t="shared" si="17"/>
        <v>YES</v>
      </c>
    </row>
    <row r="1125" spans="1:8" x14ac:dyDescent="0.2">
      <c r="A1125" s="6" t="s">
        <v>1139</v>
      </c>
      <c r="B1125" s="7">
        <v>4</v>
      </c>
      <c r="C1125" s="7">
        <v>0</v>
      </c>
      <c r="D1125" s="7">
        <v>0</v>
      </c>
      <c r="E1125" s="7">
        <v>0</v>
      </c>
      <c r="F1125" s="8" t="s">
        <v>35</v>
      </c>
      <c r="G1125" s="8" t="s">
        <v>35</v>
      </c>
      <c r="H1125" t="str">
        <f t="shared" si="17"/>
        <v>YES</v>
      </c>
    </row>
    <row r="1126" spans="1:8" x14ac:dyDescent="0.2">
      <c r="A1126" s="6" t="s">
        <v>1140</v>
      </c>
      <c r="B1126" s="7">
        <v>4</v>
      </c>
      <c r="C1126" s="7">
        <v>0</v>
      </c>
      <c r="D1126" s="7">
        <v>0</v>
      </c>
      <c r="E1126" s="7">
        <v>0</v>
      </c>
      <c r="F1126" s="8" t="s">
        <v>35</v>
      </c>
      <c r="G1126" s="8" t="s">
        <v>35</v>
      </c>
      <c r="H1126" t="str">
        <f t="shared" si="17"/>
        <v>YES</v>
      </c>
    </row>
    <row r="1127" spans="1:8" x14ac:dyDescent="0.2">
      <c r="A1127" s="6" t="s">
        <v>1141</v>
      </c>
      <c r="B1127" s="7">
        <v>4</v>
      </c>
      <c r="C1127" s="7">
        <v>0</v>
      </c>
      <c r="D1127" s="7">
        <v>0</v>
      </c>
      <c r="E1127" s="7">
        <v>0</v>
      </c>
      <c r="F1127" s="8" t="s">
        <v>35</v>
      </c>
      <c r="G1127" s="8" t="s">
        <v>35</v>
      </c>
      <c r="H1127" t="str">
        <f t="shared" si="17"/>
        <v>YES</v>
      </c>
    </row>
    <row r="1128" spans="1:8" x14ac:dyDescent="0.2">
      <c r="A1128" s="6" t="s">
        <v>1142</v>
      </c>
      <c r="B1128" s="7">
        <v>4</v>
      </c>
      <c r="C1128" s="7">
        <v>0</v>
      </c>
      <c r="D1128" s="7">
        <v>0</v>
      </c>
      <c r="E1128" s="7">
        <v>0</v>
      </c>
      <c r="F1128" s="8" t="s">
        <v>35</v>
      </c>
      <c r="G1128" s="8" t="s">
        <v>35</v>
      </c>
      <c r="H1128" t="str">
        <f t="shared" si="17"/>
        <v>YES</v>
      </c>
    </row>
    <row r="1129" spans="1:8" x14ac:dyDescent="0.2">
      <c r="A1129" s="6" t="s">
        <v>1143</v>
      </c>
      <c r="B1129" s="7">
        <v>4</v>
      </c>
      <c r="C1129" s="7">
        <v>0</v>
      </c>
      <c r="D1129" s="7">
        <v>0</v>
      </c>
      <c r="E1129" s="7">
        <v>0</v>
      </c>
      <c r="F1129" s="8" t="s">
        <v>35</v>
      </c>
      <c r="G1129" s="8" t="s">
        <v>35</v>
      </c>
      <c r="H1129" t="str">
        <f t="shared" si="17"/>
        <v>YES</v>
      </c>
    </row>
    <row r="1130" spans="1:8" x14ac:dyDescent="0.2">
      <c r="A1130" s="6" t="s">
        <v>1144</v>
      </c>
      <c r="B1130" s="7">
        <v>4</v>
      </c>
      <c r="C1130" s="7">
        <v>0</v>
      </c>
      <c r="D1130" s="7">
        <v>0</v>
      </c>
      <c r="E1130" s="7">
        <v>0</v>
      </c>
      <c r="F1130" s="8" t="s">
        <v>35</v>
      </c>
      <c r="G1130" s="8" t="s">
        <v>35</v>
      </c>
      <c r="H1130" t="str">
        <f t="shared" si="17"/>
        <v>YES</v>
      </c>
    </row>
    <row r="1131" spans="1:8" x14ac:dyDescent="0.2">
      <c r="A1131" s="6" t="s">
        <v>1145</v>
      </c>
      <c r="B1131" s="7">
        <v>4</v>
      </c>
      <c r="C1131" s="7">
        <v>0</v>
      </c>
      <c r="D1131" s="7">
        <v>0</v>
      </c>
      <c r="E1131" s="7">
        <v>0</v>
      </c>
      <c r="F1131" s="8" t="s">
        <v>35</v>
      </c>
      <c r="G1131" s="8" t="s">
        <v>35</v>
      </c>
      <c r="H1131" t="str">
        <f t="shared" si="17"/>
        <v>YES</v>
      </c>
    </row>
    <row r="1132" spans="1:8" x14ac:dyDescent="0.2">
      <c r="A1132" s="6" t="s">
        <v>1146</v>
      </c>
      <c r="B1132" s="7">
        <v>4</v>
      </c>
      <c r="C1132" s="7">
        <v>0</v>
      </c>
      <c r="D1132" s="7">
        <v>0</v>
      </c>
      <c r="E1132" s="7">
        <v>0</v>
      </c>
      <c r="F1132" s="8" t="s">
        <v>35</v>
      </c>
      <c r="G1132" s="8" t="s">
        <v>35</v>
      </c>
      <c r="H1132" t="str">
        <f t="shared" si="17"/>
        <v>YES</v>
      </c>
    </row>
    <row r="1133" spans="1:8" x14ac:dyDescent="0.2">
      <c r="A1133" s="6" t="s">
        <v>1147</v>
      </c>
      <c r="B1133" s="7">
        <v>4</v>
      </c>
      <c r="C1133" s="7">
        <v>0</v>
      </c>
      <c r="D1133" s="7">
        <v>0</v>
      </c>
      <c r="E1133" s="7">
        <v>0</v>
      </c>
      <c r="F1133" s="8" t="s">
        <v>35</v>
      </c>
      <c r="G1133" s="8" t="s">
        <v>35</v>
      </c>
      <c r="H1133" t="str">
        <f t="shared" si="17"/>
        <v>YES</v>
      </c>
    </row>
    <row r="1134" spans="1:8" x14ac:dyDescent="0.2">
      <c r="A1134" s="6" t="s">
        <v>1148</v>
      </c>
      <c r="B1134" s="7">
        <v>4</v>
      </c>
      <c r="C1134" s="7">
        <v>0</v>
      </c>
      <c r="D1134" s="7">
        <v>0</v>
      </c>
      <c r="E1134" s="7">
        <v>0</v>
      </c>
      <c r="F1134" s="8" t="s">
        <v>35</v>
      </c>
      <c r="G1134" s="8" t="s">
        <v>35</v>
      </c>
      <c r="H1134" t="str">
        <f t="shared" si="17"/>
        <v>YES</v>
      </c>
    </row>
    <row r="1135" spans="1:8" x14ac:dyDescent="0.2">
      <c r="A1135" s="6" t="s">
        <v>1149</v>
      </c>
      <c r="B1135" s="7">
        <v>4</v>
      </c>
      <c r="C1135" s="7">
        <v>0</v>
      </c>
      <c r="D1135" s="7">
        <v>0</v>
      </c>
      <c r="E1135" s="7">
        <v>0</v>
      </c>
      <c r="F1135" s="8" t="s">
        <v>35</v>
      </c>
      <c r="G1135" s="8" t="s">
        <v>35</v>
      </c>
      <c r="H1135" t="str">
        <f t="shared" si="17"/>
        <v>YES</v>
      </c>
    </row>
    <row r="1136" spans="1:8" x14ac:dyDescent="0.2">
      <c r="A1136" s="6" t="s">
        <v>1150</v>
      </c>
      <c r="B1136" s="7">
        <v>4</v>
      </c>
      <c r="C1136" s="7">
        <v>0</v>
      </c>
      <c r="D1136" s="7">
        <v>0</v>
      </c>
      <c r="E1136" s="7">
        <v>0</v>
      </c>
      <c r="F1136" s="8" t="s">
        <v>35</v>
      </c>
      <c r="G1136" s="8" t="s">
        <v>35</v>
      </c>
      <c r="H1136" t="str">
        <f t="shared" si="17"/>
        <v>YES</v>
      </c>
    </row>
    <row r="1137" spans="1:8" x14ac:dyDescent="0.2">
      <c r="A1137" s="6" t="s">
        <v>1151</v>
      </c>
      <c r="B1137" s="7">
        <v>4</v>
      </c>
      <c r="C1137" s="7">
        <v>0</v>
      </c>
      <c r="D1137" s="7">
        <v>0</v>
      </c>
      <c r="E1137" s="7">
        <v>0</v>
      </c>
      <c r="F1137" s="8" t="s">
        <v>35</v>
      </c>
      <c r="G1137" s="8" t="s">
        <v>35</v>
      </c>
      <c r="H1137" t="str">
        <f t="shared" si="17"/>
        <v>YES</v>
      </c>
    </row>
    <row r="1138" spans="1:8" x14ac:dyDescent="0.2">
      <c r="A1138" s="6" t="s">
        <v>1152</v>
      </c>
      <c r="B1138" s="7">
        <v>4</v>
      </c>
      <c r="C1138" s="7">
        <v>0</v>
      </c>
      <c r="D1138" s="7">
        <v>0</v>
      </c>
      <c r="E1138" s="7">
        <v>0</v>
      </c>
      <c r="F1138" s="8" t="s">
        <v>35</v>
      </c>
      <c r="G1138" s="8" t="s">
        <v>35</v>
      </c>
      <c r="H1138" t="str">
        <f t="shared" si="17"/>
        <v>YES</v>
      </c>
    </row>
    <row r="1139" spans="1:8" x14ac:dyDescent="0.2">
      <c r="A1139" s="6" t="s">
        <v>1153</v>
      </c>
      <c r="B1139" s="7">
        <v>4</v>
      </c>
      <c r="C1139" s="7">
        <v>0</v>
      </c>
      <c r="D1139" s="7">
        <v>0</v>
      </c>
      <c r="E1139" s="7">
        <v>0</v>
      </c>
      <c r="F1139" s="8" t="s">
        <v>35</v>
      </c>
      <c r="G1139" s="8" t="s">
        <v>35</v>
      </c>
      <c r="H1139" t="str">
        <f t="shared" si="17"/>
        <v>YES</v>
      </c>
    </row>
    <row r="1140" spans="1:8" x14ac:dyDescent="0.2">
      <c r="A1140" s="6" t="s">
        <v>1154</v>
      </c>
      <c r="B1140" s="7">
        <v>4</v>
      </c>
      <c r="C1140" s="7">
        <v>0</v>
      </c>
      <c r="D1140" s="7">
        <v>0</v>
      </c>
      <c r="E1140" s="7">
        <v>0</v>
      </c>
      <c r="F1140" s="8" t="s">
        <v>35</v>
      </c>
      <c r="G1140" s="8" t="s">
        <v>35</v>
      </c>
      <c r="H1140" t="str">
        <f t="shared" si="17"/>
        <v>YES</v>
      </c>
    </row>
    <row r="1141" spans="1:8" x14ac:dyDescent="0.2">
      <c r="A1141" s="6" t="s">
        <v>1155</v>
      </c>
      <c r="B1141" s="7">
        <v>4</v>
      </c>
      <c r="C1141" s="7">
        <v>0</v>
      </c>
      <c r="D1141" s="7">
        <v>0</v>
      </c>
      <c r="E1141" s="7">
        <v>0</v>
      </c>
      <c r="F1141" s="8" t="s">
        <v>35</v>
      </c>
      <c r="G1141" s="8" t="s">
        <v>35</v>
      </c>
      <c r="H1141" t="str">
        <f t="shared" si="17"/>
        <v>YES</v>
      </c>
    </row>
    <row r="1142" spans="1:8" x14ac:dyDescent="0.2">
      <c r="A1142" s="6" t="s">
        <v>1156</v>
      </c>
      <c r="B1142" s="7">
        <v>4</v>
      </c>
      <c r="C1142" s="7">
        <v>0</v>
      </c>
      <c r="D1142" s="7">
        <v>0</v>
      </c>
      <c r="E1142" s="7">
        <v>0</v>
      </c>
      <c r="F1142" s="8" t="s">
        <v>35</v>
      </c>
      <c r="G1142" s="8" t="s">
        <v>35</v>
      </c>
      <c r="H1142" t="str">
        <f t="shared" si="17"/>
        <v>YES</v>
      </c>
    </row>
    <row r="1143" spans="1:8" x14ac:dyDescent="0.2">
      <c r="A1143" s="6" t="s">
        <v>1157</v>
      </c>
      <c r="B1143" s="7">
        <v>4</v>
      </c>
      <c r="C1143" s="7">
        <v>0</v>
      </c>
      <c r="D1143" s="7">
        <v>0</v>
      </c>
      <c r="E1143" s="7">
        <v>0</v>
      </c>
      <c r="F1143" s="8" t="s">
        <v>35</v>
      </c>
      <c r="G1143" s="8" t="s">
        <v>35</v>
      </c>
      <c r="H1143" t="str">
        <f t="shared" si="17"/>
        <v>YES</v>
      </c>
    </row>
    <row r="1144" spans="1:8" x14ac:dyDescent="0.2">
      <c r="A1144" s="6" t="s">
        <v>1158</v>
      </c>
      <c r="B1144" s="7">
        <v>4</v>
      </c>
      <c r="C1144" s="7">
        <v>0</v>
      </c>
      <c r="D1144" s="7">
        <v>0</v>
      </c>
      <c r="E1144" s="7">
        <v>0</v>
      </c>
      <c r="F1144" s="8" t="s">
        <v>35</v>
      </c>
      <c r="G1144" s="8" t="s">
        <v>35</v>
      </c>
      <c r="H1144" t="str">
        <f t="shared" si="17"/>
        <v>YES</v>
      </c>
    </row>
    <row r="1145" spans="1:8" x14ac:dyDescent="0.2">
      <c r="A1145" s="6" t="s">
        <v>1159</v>
      </c>
      <c r="B1145" s="7">
        <v>4</v>
      </c>
      <c r="C1145" s="7">
        <v>0</v>
      </c>
      <c r="D1145" s="7">
        <v>0</v>
      </c>
      <c r="E1145" s="7">
        <v>0</v>
      </c>
      <c r="F1145" s="8" t="s">
        <v>35</v>
      </c>
      <c r="G1145" s="8" t="s">
        <v>35</v>
      </c>
      <c r="H1145" t="str">
        <f t="shared" si="17"/>
        <v>YES</v>
      </c>
    </row>
    <row r="1146" spans="1:8" x14ac:dyDescent="0.2">
      <c r="A1146" s="6" t="s">
        <v>1160</v>
      </c>
      <c r="B1146" s="7">
        <v>4</v>
      </c>
      <c r="C1146" s="7">
        <v>0</v>
      </c>
      <c r="D1146" s="7">
        <v>0</v>
      </c>
      <c r="E1146" s="7">
        <v>0</v>
      </c>
      <c r="F1146" s="8" t="s">
        <v>35</v>
      </c>
      <c r="G1146" s="8" t="s">
        <v>35</v>
      </c>
      <c r="H1146" t="str">
        <f t="shared" si="17"/>
        <v>YES</v>
      </c>
    </row>
    <row r="1147" spans="1:8" x14ac:dyDescent="0.2">
      <c r="A1147" s="6" t="s">
        <v>1161</v>
      </c>
      <c r="B1147" s="7">
        <v>4</v>
      </c>
      <c r="C1147" s="7">
        <v>0</v>
      </c>
      <c r="D1147" s="7">
        <v>0</v>
      </c>
      <c r="E1147" s="7">
        <v>0</v>
      </c>
      <c r="F1147" s="8" t="s">
        <v>35</v>
      </c>
      <c r="G1147" s="8" t="s">
        <v>35</v>
      </c>
      <c r="H1147" t="str">
        <f t="shared" si="17"/>
        <v>YES</v>
      </c>
    </row>
    <row r="1148" spans="1:8" x14ac:dyDescent="0.2">
      <c r="A1148" s="6" t="s">
        <v>1162</v>
      </c>
      <c r="B1148" s="7">
        <v>4</v>
      </c>
      <c r="C1148" s="7">
        <v>0</v>
      </c>
      <c r="D1148" s="7">
        <v>0</v>
      </c>
      <c r="E1148" s="7">
        <v>0</v>
      </c>
      <c r="F1148" s="8" t="s">
        <v>35</v>
      </c>
      <c r="G1148" s="8" t="s">
        <v>35</v>
      </c>
      <c r="H1148" t="str">
        <f t="shared" si="17"/>
        <v>YES</v>
      </c>
    </row>
    <row r="1149" spans="1:8" x14ac:dyDescent="0.2">
      <c r="A1149" s="6" t="s">
        <v>1163</v>
      </c>
      <c r="B1149" s="7">
        <v>4</v>
      </c>
      <c r="C1149" s="7">
        <v>0</v>
      </c>
      <c r="D1149" s="7">
        <v>0</v>
      </c>
      <c r="E1149" s="7">
        <v>0</v>
      </c>
      <c r="F1149" s="8" t="s">
        <v>35</v>
      </c>
      <c r="G1149" s="8" t="s">
        <v>35</v>
      </c>
      <c r="H1149" t="str">
        <f t="shared" si="17"/>
        <v>YES</v>
      </c>
    </row>
    <row r="1150" spans="1:8" x14ac:dyDescent="0.2">
      <c r="A1150" s="6" t="s">
        <v>1164</v>
      </c>
      <c r="B1150" s="7">
        <v>4</v>
      </c>
      <c r="C1150" s="7">
        <v>0</v>
      </c>
      <c r="D1150" s="7">
        <v>0</v>
      </c>
      <c r="E1150" s="7">
        <v>0</v>
      </c>
      <c r="F1150" s="8" t="s">
        <v>35</v>
      </c>
      <c r="G1150" s="8" t="s">
        <v>35</v>
      </c>
      <c r="H1150" t="str">
        <f t="shared" si="17"/>
        <v>YES</v>
      </c>
    </row>
    <row r="1151" spans="1:8" x14ac:dyDescent="0.2">
      <c r="A1151" s="6" t="s">
        <v>1165</v>
      </c>
      <c r="B1151" s="7">
        <v>4</v>
      </c>
      <c r="C1151" s="7">
        <v>0</v>
      </c>
      <c r="D1151" s="7">
        <v>0</v>
      </c>
      <c r="E1151" s="7">
        <v>0</v>
      </c>
      <c r="F1151" s="8" t="s">
        <v>35</v>
      </c>
      <c r="G1151" s="8" t="s">
        <v>35</v>
      </c>
      <c r="H1151" t="str">
        <f t="shared" si="17"/>
        <v>YES</v>
      </c>
    </row>
    <row r="1152" spans="1:8" x14ac:dyDescent="0.2">
      <c r="A1152" s="6" t="s">
        <v>1166</v>
      </c>
      <c r="B1152" s="7">
        <v>4</v>
      </c>
      <c r="C1152" s="7">
        <v>0</v>
      </c>
      <c r="D1152" s="7">
        <v>0</v>
      </c>
      <c r="E1152" s="7">
        <v>0</v>
      </c>
      <c r="F1152" s="8" t="s">
        <v>35</v>
      </c>
      <c r="G1152" s="8" t="s">
        <v>35</v>
      </c>
      <c r="H1152" t="str">
        <f t="shared" si="17"/>
        <v>YES</v>
      </c>
    </row>
    <row r="1153" spans="1:8" x14ac:dyDescent="0.2">
      <c r="A1153" s="6" t="s">
        <v>1167</v>
      </c>
      <c r="B1153" s="7">
        <v>4</v>
      </c>
      <c r="C1153" s="7">
        <v>0</v>
      </c>
      <c r="D1153" s="7">
        <v>0</v>
      </c>
      <c r="E1153" s="7">
        <v>0</v>
      </c>
      <c r="F1153" s="8" t="s">
        <v>35</v>
      </c>
      <c r="G1153" s="8" t="s">
        <v>35</v>
      </c>
      <c r="H1153" t="str">
        <f t="shared" si="17"/>
        <v>YES</v>
      </c>
    </row>
    <row r="1154" spans="1:8" x14ac:dyDescent="0.2">
      <c r="A1154" s="6" t="s">
        <v>1168</v>
      </c>
      <c r="B1154" s="7">
        <v>4</v>
      </c>
      <c r="C1154" s="7">
        <v>0</v>
      </c>
      <c r="D1154" s="7">
        <v>0</v>
      </c>
      <c r="E1154" s="7">
        <v>0</v>
      </c>
      <c r="F1154" s="8" t="s">
        <v>35</v>
      </c>
      <c r="G1154" s="8" t="s">
        <v>35</v>
      </c>
      <c r="H1154" t="str">
        <f t="shared" si="17"/>
        <v>YES</v>
      </c>
    </row>
    <row r="1155" spans="1:8" x14ac:dyDescent="0.2">
      <c r="A1155" s="6" t="s">
        <v>1169</v>
      </c>
      <c r="B1155" s="7">
        <v>4</v>
      </c>
      <c r="C1155" s="7">
        <v>0</v>
      </c>
      <c r="D1155" s="7">
        <v>0</v>
      </c>
      <c r="E1155" s="7">
        <v>0</v>
      </c>
      <c r="F1155" s="8" t="s">
        <v>35</v>
      </c>
      <c r="G1155" s="8" t="s">
        <v>35</v>
      </c>
      <c r="H1155" t="str">
        <f t="shared" si="17"/>
        <v>YES</v>
      </c>
    </row>
    <row r="1156" spans="1:8" x14ac:dyDescent="0.2">
      <c r="A1156" s="6" t="s">
        <v>1170</v>
      </c>
      <c r="B1156" s="7">
        <v>4</v>
      </c>
      <c r="C1156" s="7">
        <v>0</v>
      </c>
      <c r="D1156" s="7">
        <v>0</v>
      </c>
      <c r="E1156" s="7">
        <v>0</v>
      </c>
      <c r="F1156" s="8" t="s">
        <v>35</v>
      </c>
      <c r="G1156" s="8" t="s">
        <v>35</v>
      </c>
      <c r="H1156" t="str">
        <f t="shared" si="17"/>
        <v>YES</v>
      </c>
    </row>
    <row r="1157" spans="1:8" x14ac:dyDescent="0.2">
      <c r="A1157" s="6" t="s">
        <v>1171</v>
      </c>
      <c r="B1157" s="7">
        <v>4</v>
      </c>
      <c r="C1157" s="7">
        <v>0</v>
      </c>
      <c r="D1157" s="7">
        <v>0</v>
      </c>
      <c r="E1157" s="7">
        <v>0</v>
      </c>
      <c r="F1157" s="8" t="s">
        <v>35</v>
      </c>
      <c r="G1157" s="8" t="s">
        <v>35</v>
      </c>
      <c r="H1157" t="str">
        <f t="shared" ref="H1157:H1220" si="18">IF(F1157=G1157,"YES","NO")</f>
        <v>YES</v>
      </c>
    </row>
    <row r="1158" spans="1:8" x14ac:dyDescent="0.2">
      <c r="A1158" s="6" t="s">
        <v>1172</v>
      </c>
      <c r="B1158" s="7">
        <v>4</v>
      </c>
      <c r="C1158" s="7">
        <v>0</v>
      </c>
      <c r="D1158" s="7">
        <v>0</v>
      </c>
      <c r="E1158" s="7">
        <v>0</v>
      </c>
      <c r="F1158" s="8" t="s">
        <v>35</v>
      </c>
      <c r="G1158" s="8" t="s">
        <v>17</v>
      </c>
      <c r="H1158" t="str">
        <f t="shared" si="18"/>
        <v>NO</v>
      </c>
    </row>
    <row r="1159" spans="1:8" x14ac:dyDescent="0.2">
      <c r="A1159" s="6" t="s">
        <v>1173</v>
      </c>
      <c r="B1159" s="7">
        <v>4</v>
      </c>
      <c r="C1159" s="7">
        <v>0</v>
      </c>
      <c r="D1159" s="7">
        <v>0</v>
      </c>
      <c r="E1159" s="7">
        <v>0</v>
      </c>
      <c r="F1159" s="8" t="s">
        <v>35</v>
      </c>
      <c r="G1159" s="8" t="s">
        <v>35</v>
      </c>
      <c r="H1159" t="str">
        <f t="shared" si="18"/>
        <v>YES</v>
      </c>
    </row>
    <row r="1160" spans="1:8" x14ac:dyDescent="0.2">
      <c r="A1160" s="6" t="s">
        <v>1174</v>
      </c>
      <c r="B1160" s="7">
        <v>4</v>
      </c>
      <c r="C1160" s="7">
        <v>0</v>
      </c>
      <c r="D1160" s="7">
        <v>0</v>
      </c>
      <c r="E1160" s="7">
        <v>0</v>
      </c>
      <c r="F1160" s="8" t="s">
        <v>35</v>
      </c>
      <c r="G1160" s="8" t="s">
        <v>35</v>
      </c>
      <c r="H1160" t="str">
        <f t="shared" si="18"/>
        <v>YES</v>
      </c>
    </row>
    <row r="1161" spans="1:8" x14ac:dyDescent="0.2">
      <c r="A1161" s="6" t="s">
        <v>1175</v>
      </c>
      <c r="B1161" s="7">
        <v>4</v>
      </c>
      <c r="C1161" s="7">
        <v>0</v>
      </c>
      <c r="D1161" s="7">
        <v>0</v>
      </c>
      <c r="E1161" s="7">
        <v>0</v>
      </c>
      <c r="F1161" s="8" t="s">
        <v>35</v>
      </c>
      <c r="G1161" s="8" t="s">
        <v>35</v>
      </c>
      <c r="H1161" t="str">
        <f t="shared" si="18"/>
        <v>YES</v>
      </c>
    </row>
    <row r="1162" spans="1:8" x14ac:dyDescent="0.2">
      <c r="A1162" s="6" t="s">
        <v>1176</v>
      </c>
      <c r="B1162" s="7">
        <v>4</v>
      </c>
      <c r="C1162" s="7">
        <v>0</v>
      </c>
      <c r="D1162" s="7">
        <v>0</v>
      </c>
      <c r="E1162" s="7">
        <v>0</v>
      </c>
      <c r="F1162" s="8" t="s">
        <v>35</v>
      </c>
      <c r="G1162" s="8" t="s">
        <v>35</v>
      </c>
      <c r="H1162" t="str">
        <f t="shared" si="18"/>
        <v>YES</v>
      </c>
    </row>
    <row r="1163" spans="1:8" x14ac:dyDescent="0.2">
      <c r="A1163" s="6" t="s">
        <v>1177</v>
      </c>
      <c r="B1163" s="7">
        <v>4</v>
      </c>
      <c r="C1163" s="7">
        <v>0</v>
      </c>
      <c r="D1163" s="7">
        <v>0</v>
      </c>
      <c r="E1163" s="7">
        <v>0</v>
      </c>
      <c r="F1163" s="8" t="s">
        <v>35</v>
      </c>
      <c r="G1163" s="8" t="s">
        <v>35</v>
      </c>
      <c r="H1163" t="str">
        <f t="shared" si="18"/>
        <v>YES</v>
      </c>
    </row>
    <row r="1164" spans="1:8" x14ac:dyDescent="0.2">
      <c r="A1164" s="6" t="s">
        <v>1178</v>
      </c>
      <c r="B1164" s="7">
        <v>4</v>
      </c>
      <c r="C1164" s="7">
        <v>0</v>
      </c>
      <c r="D1164" s="7">
        <v>0</v>
      </c>
      <c r="E1164" s="7">
        <v>0</v>
      </c>
      <c r="F1164" s="8" t="s">
        <v>35</v>
      </c>
      <c r="G1164" s="8" t="s">
        <v>35</v>
      </c>
      <c r="H1164" t="str">
        <f t="shared" si="18"/>
        <v>YES</v>
      </c>
    </row>
    <row r="1165" spans="1:8" x14ac:dyDescent="0.2">
      <c r="A1165" s="6" t="s">
        <v>1179</v>
      </c>
      <c r="B1165" s="7">
        <v>4</v>
      </c>
      <c r="C1165" s="7">
        <v>0</v>
      </c>
      <c r="D1165" s="7">
        <v>0</v>
      </c>
      <c r="E1165" s="7">
        <v>0</v>
      </c>
      <c r="F1165" s="8" t="s">
        <v>35</v>
      </c>
      <c r="G1165" s="8" t="s">
        <v>35</v>
      </c>
      <c r="H1165" t="str">
        <f t="shared" si="18"/>
        <v>YES</v>
      </c>
    </row>
    <row r="1166" spans="1:8" x14ac:dyDescent="0.2">
      <c r="A1166" s="6" t="s">
        <v>1180</v>
      </c>
      <c r="B1166" s="7">
        <v>4</v>
      </c>
      <c r="C1166" s="7">
        <v>0</v>
      </c>
      <c r="D1166" s="7">
        <v>0</v>
      </c>
      <c r="E1166" s="7">
        <v>0</v>
      </c>
      <c r="F1166" s="8" t="s">
        <v>35</v>
      </c>
      <c r="G1166" s="8" t="s">
        <v>35</v>
      </c>
      <c r="H1166" t="str">
        <f t="shared" si="18"/>
        <v>YES</v>
      </c>
    </row>
    <row r="1167" spans="1:8" x14ac:dyDescent="0.2">
      <c r="A1167" s="6" t="s">
        <v>1181</v>
      </c>
      <c r="B1167" s="7">
        <v>4</v>
      </c>
      <c r="C1167" s="7">
        <v>0</v>
      </c>
      <c r="D1167" s="7">
        <v>0</v>
      </c>
      <c r="E1167" s="7">
        <v>0</v>
      </c>
      <c r="F1167" s="8" t="s">
        <v>35</v>
      </c>
      <c r="G1167" s="8" t="s">
        <v>35</v>
      </c>
      <c r="H1167" t="str">
        <f t="shared" si="18"/>
        <v>YES</v>
      </c>
    </row>
    <row r="1168" spans="1:8" x14ac:dyDescent="0.2">
      <c r="A1168" s="6" t="s">
        <v>1182</v>
      </c>
      <c r="B1168" s="7">
        <v>4</v>
      </c>
      <c r="C1168" s="7">
        <v>0</v>
      </c>
      <c r="D1168" s="7">
        <v>0</v>
      </c>
      <c r="E1168" s="7">
        <v>0</v>
      </c>
      <c r="F1168" s="8" t="s">
        <v>35</v>
      </c>
      <c r="G1168" s="8" t="s">
        <v>35</v>
      </c>
      <c r="H1168" t="str">
        <f t="shared" si="18"/>
        <v>YES</v>
      </c>
    </row>
    <row r="1169" spans="1:8" x14ac:dyDescent="0.2">
      <c r="A1169" s="6" t="s">
        <v>1183</v>
      </c>
      <c r="B1169" s="7">
        <v>4</v>
      </c>
      <c r="C1169" s="7">
        <v>0</v>
      </c>
      <c r="D1169" s="7">
        <v>0</v>
      </c>
      <c r="E1169" s="7">
        <v>0</v>
      </c>
      <c r="F1169" s="8" t="s">
        <v>35</v>
      </c>
      <c r="G1169" s="8" t="s">
        <v>35</v>
      </c>
      <c r="H1169" t="str">
        <f t="shared" si="18"/>
        <v>YES</v>
      </c>
    </row>
    <row r="1170" spans="1:8" x14ac:dyDescent="0.2">
      <c r="A1170" s="6" t="s">
        <v>1184</v>
      </c>
      <c r="B1170" s="7">
        <v>4</v>
      </c>
      <c r="C1170" s="7">
        <v>0</v>
      </c>
      <c r="D1170" s="7">
        <v>0</v>
      </c>
      <c r="E1170" s="7">
        <v>0</v>
      </c>
      <c r="F1170" s="8" t="s">
        <v>35</v>
      </c>
      <c r="G1170" s="8" t="s">
        <v>35</v>
      </c>
      <c r="H1170" t="str">
        <f t="shared" si="18"/>
        <v>YES</v>
      </c>
    </row>
    <row r="1171" spans="1:8" x14ac:dyDescent="0.2">
      <c r="A1171" s="6" t="s">
        <v>1185</v>
      </c>
      <c r="B1171" s="7">
        <v>4</v>
      </c>
      <c r="C1171" s="7">
        <v>0</v>
      </c>
      <c r="D1171" s="7">
        <v>0</v>
      </c>
      <c r="E1171" s="7">
        <v>0</v>
      </c>
      <c r="F1171" s="8" t="s">
        <v>35</v>
      </c>
      <c r="G1171" s="8" t="s">
        <v>35</v>
      </c>
      <c r="H1171" t="str">
        <f t="shared" si="18"/>
        <v>YES</v>
      </c>
    </row>
    <row r="1172" spans="1:8" x14ac:dyDescent="0.2">
      <c r="A1172" s="6" t="s">
        <v>1186</v>
      </c>
      <c r="B1172" s="7">
        <v>4</v>
      </c>
      <c r="C1172" s="7">
        <v>0</v>
      </c>
      <c r="D1172" s="7">
        <v>0</v>
      </c>
      <c r="E1172" s="7">
        <v>0</v>
      </c>
      <c r="F1172" s="8" t="s">
        <v>35</v>
      </c>
      <c r="G1172" s="8" t="s">
        <v>35</v>
      </c>
      <c r="H1172" t="str">
        <f t="shared" si="18"/>
        <v>YES</v>
      </c>
    </row>
    <row r="1173" spans="1:8" x14ac:dyDescent="0.2">
      <c r="A1173" s="6" t="s">
        <v>1187</v>
      </c>
      <c r="B1173" s="7">
        <v>4</v>
      </c>
      <c r="C1173" s="7">
        <v>0</v>
      </c>
      <c r="D1173" s="7">
        <v>0</v>
      </c>
      <c r="E1173" s="7">
        <v>0</v>
      </c>
      <c r="F1173" s="8" t="s">
        <v>35</v>
      </c>
      <c r="G1173" s="8" t="s">
        <v>35</v>
      </c>
      <c r="H1173" t="str">
        <f t="shared" si="18"/>
        <v>YES</v>
      </c>
    </row>
    <row r="1174" spans="1:8" x14ac:dyDescent="0.2">
      <c r="A1174" s="6" t="s">
        <v>1188</v>
      </c>
      <c r="B1174" s="7">
        <v>4</v>
      </c>
      <c r="C1174" s="7">
        <v>0</v>
      </c>
      <c r="D1174" s="7">
        <v>0</v>
      </c>
      <c r="E1174" s="7">
        <v>0</v>
      </c>
      <c r="F1174" s="8" t="s">
        <v>35</v>
      </c>
      <c r="G1174" s="8" t="s">
        <v>35</v>
      </c>
      <c r="H1174" t="str">
        <f t="shared" si="18"/>
        <v>YES</v>
      </c>
    </row>
    <row r="1175" spans="1:8" x14ac:dyDescent="0.2">
      <c r="A1175" s="6" t="s">
        <v>1189</v>
      </c>
      <c r="B1175" s="7">
        <v>4</v>
      </c>
      <c r="C1175" s="7">
        <v>0</v>
      </c>
      <c r="D1175" s="7">
        <v>0</v>
      </c>
      <c r="E1175" s="7">
        <v>0</v>
      </c>
      <c r="F1175" s="8" t="s">
        <v>35</v>
      </c>
      <c r="G1175" s="8" t="s">
        <v>35</v>
      </c>
      <c r="H1175" t="str">
        <f t="shared" si="18"/>
        <v>YES</v>
      </c>
    </row>
    <row r="1176" spans="1:8" x14ac:dyDescent="0.2">
      <c r="A1176" s="6" t="s">
        <v>1190</v>
      </c>
      <c r="B1176" s="7">
        <v>4</v>
      </c>
      <c r="C1176" s="7">
        <v>0</v>
      </c>
      <c r="D1176" s="7">
        <v>0</v>
      </c>
      <c r="E1176" s="7">
        <v>0</v>
      </c>
      <c r="F1176" s="8" t="s">
        <v>35</v>
      </c>
      <c r="G1176" s="8" t="s">
        <v>35</v>
      </c>
      <c r="H1176" t="str">
        <f t="shared" si="18"/>
        <v>YES</v>
      </c>
    </row>
    <row r="1177" spans="1:8" x14ac:dyDescent="0.2">
      <c r="A1177" s="6" t="s">
        <v>1191</v>
      </c>
      <c r="B1177" s="7">
        <v>4</v>
      </c>
      <c r="C1177" s="7">
        <v>0</v>
      </c>
      <c r="D1177" s="7">
        <v>0</v>
      </c>
      <c r="E1177" s="7">
        <v>0</v>
      </c>
      <c r="F1177" s="8" t="s">
        <v>35</v>
      </c>
      <c r="G1177" s="8" t="s">
        <v>35</v>
      </c>
      <c r="H1177" t="str">
        <f t="shared" si="18"/>
        <v>YES</v>
      </c>
    </row>
    <row r="1178" spans="1:8" x14ac:dyDescent="0.2">
      <c r="A1178" s="6" t="s">
        <v>1192</v>
      </c>
      <c r="B1178" s="7">
        <v>4</v>
      </c>
      <c r="C1178" s="7">
        <v>0</v>
      </c>
      <c r="D1178" s="7">
        <v>0</v>
      </c>
      <c r="E1178" s="7">
        <v>0</v>
      </c>
      <c r="F1178" s="8" t="s">
        <v>35</v>
      </c>
      <c r="G1178" s="8" t="s">
        <v>35</v>
      </c>
      <c r="H1178" t="str">
        <f t="shared" si="18"/>
        <v>YES</v>
      </c>
    </row>
    <row r="1179" spans="1:8" x14ac:dyDescent="0.2">
      <c r="A1179" s="6" t="s">
        <v>1193</v>
      </c>
      <c r="B1179" s="7">
        <v>4</v>
      </c>
      <c r="C1179" s="7">
        <v>0</v>
      </c>
      <c r="D1179" s="7">
        <v>0</v>
      </c>
      <c r="E1179" s="7">
        <v>0</v>
      </c>
      <c r="F1179" s="8" t="s">
        <v>35</v>
      </c>
      <c r="G1179" s="8" t="s">
        <v>35</v>
      </c>
      <c r="H1179" t="str">
        <f t="shared" si="18"/>
        <v>YES</v>
      </c>
    </row>
    <row r="1180" spans="1:8" x14ac:dyDescent="0.2">
      <c r="A1180" s="6" t="s">
        <v>1194</v>
      </c>
      <c r="B1180" s="7">
        <v>4</v>
      </c>
      <c r="C1180" s="7">
        <v>0</v>
      </c>
      <c r="D1180" s="7">
        <v>0</v>
      </c>
      <c r="E1180" s="7">
        <v>0</v>
      </c>
      <c r="F1180" s="8" t="s">
        <v>35</v>
      </c>
      <c r="G1180" s="8" t="s">
        <v>35</v>
      </c>
      <c r="H1180" t="str">
        <f t="shared" si="18"/>
        <v>YES</v>
      </c>
    </row>
    <row r="1181" spans="1:8" x14ac:dyDescent="0.2">
      <c r="A1181" s="6" t="s">
        <v>1195</v>
      </c>
      <c r="B1181" s="7">
        <v>4</v>
      </c>
      <c r="C1181" s="7">
        <v>0</v>
      </c>
      <c r="D1181" s="7">
        <v>0</v>
      </c>
      <c r="E1181" s="7">
        <v>0</v>
      </c>
      <c r="F1181" s="8" t="s">
        <v>35</v>
      </c>
      <c r="G1181" s="8" t="s">
        <v>35</v>
      </c>
      <c r="H1181" t="str">
        <f t="shared" si="18"/>
        <v>YES</v>
      </c>
    </row>
    <row r="1182" spans="1:8" x14ac:dyDescent="0.2">
      <c r="A1182" s="6" t="s">
        <v>1196</v>
      </c>
      <c r="B1182" s="7">
        <v>4</v>
      </c>
      <c r="C1182" s="7">
        <v>0</v>
      </c>
      <c r="D1182" s="7">
        <v>0</v>
      </c>
      <c r="E1182" s="7">
        <v>0</v>
      </c>
      <c r="F1182" s="8" t="s">
        <v>35</v>
      </c>
      <c r="G1182" s="8" t="s">
        <v>35</v>
      </c>
      <c r="H1182" t="str">
        <f t="shared" si="18"/>
        <v>YES</v>
      </c>
    </row>
    <row r="1183" spans="1:8" x14ac:dyDescent="0.2">
      <c r="A1183" s="6" t="s">
        <v>1197</v>
      </c>
      <c r="B1183" s="7">
        <v>4</v>
      </c>
      <c r="C1183" s="7">
        <v>0</v>
      </c>
      <c r="D1183" s="7">
        <v>0</v>
      </c>
      <c r="E1183" s="7">
        <v>0</v>
      </c>
      <c r="F1183" s="8" t="s">
        <v>35</v>
      </c>
      <c r="G1183" s="8" t="s">
        <v>35</v>
      </c>
      <c r="H1183" t="str">
        <f t="shared" si="18"/>
        <v>YES</v>
      </c>
    </row>
    <row r="1184" spans="1:8" x14ac:dyDescent="0.2">
      <c r="A1184" s="6" t="s">
        <v>1198</v>
      </c>
      <c r="B1184" s="7">
        <v>4</v>
      </c>
      <c r="C1184" s="7">
        <v>0</v>
      </c>
      <c r="D1184" s="7">
        <v>0</v>
      </c>
      <c r="E1184" s="7">
        <v>0</v>
      </c>
      <c r="F1184" s="8" t="s">
        <v>35</v>
      </c>
      <c r="G1184" s="8" t="s">
        <v>35</v>
      </c>
      <c r="H1184" t="str">
        <f t="shared" si="18"/>
        <v>YES</v>
      </c>
    </row>
    <row r="1185" spans="1:8" x14ac:dyDescent="0.2">
      <c r="A1185" s="6" t="s">
        <v>1199</v>
      </c>
      <c r="B1185" s="7">
        <v>4</v>
      </c>
      <c r="C1185" s="7">
        <v>0</v>
      </c>
      <c r="D1185" s="7">
        <v>0</v>
      </c>
      <c r="E1185" s="7">
        <v>0</v>
      </c>
      <c r="F1185" s="8" t="s">
        <v>35</v>
      </c>
      <c r="G1185" s="8" t="s">
        <v>35</v>
      </c>
      <c r="H1185" t="str">
        <f t="shared" si="18"/>
        <v>YES</v>
      </c>
    </row>
    <row r="1186" spans="1:8" x14ac:dyDescent="0.2">
      <c r="A1186" s="6" t="s">
        <v>1200</v>
      </c>
      <c r="B1186" s="7">
        <v>4</v>
      </c>
      <c r="C1186" s="7">
        <v>0</v>
      </c>
      <c r="D1186" s="7">
        <v>0</v>
      </c>
      <c r="E1186" s="7">
        <v>0</v>
      </c>
      <c r="F1186" s="8" t="s">
        <v>35</v>
      </c>
      <c r="G1186" s="8" t="s">
        <v>35</v>
      </c>
      <c r="H1186" t="str">
        <f t="shared" si="18"/>
        <v>YES</v>
      </c>
    </row>
    <row r="1187" spans="1:8" x14ac:dyDescent="0.2">
      <c r="A1187" s="6" t="s">
        <v>1201</v>
      </c>
      <c r="B1187" s="7">
        <v>4</v>
      </c>
      <c r="C1187" s="7">
        <v>0</v>
      </c>
      <c r="D1187" s="7">
        <v>0</v>
      </c>
      <c r="E1187" s="7">
        <v>0</v>
      </c>
      <c r="F1187" s="8" t="s">
        <v>35</v>
      </c>
      <c r="G1187" s="8" t="s">
        <v>35</v>
      </c>
      <c r="H1187" t="str">
        <f t="shared" si="18"/>
        <v>YES</v>
      </c>
    </row>
    <row r="1188" spans="1:8" x14ac:dyDescent="0.2">
      <c r="A1188" s="6" t="s">
        <v>1202</v>
      </c>
      <c r="B1188" s="7">
        <v>5</v>
      </c>
      <c r="C1188" s="7">
        <v>0</v>
      </c>
      <c r="D1188" s="7">
        <v>0</v>
      </c>
      <c r="E1188" s="7">
        <v>0</v>
      </c>
      <c r="F1188" s="8" t="s">
        <v>35</v>
      </c>
      <c r="G1188" s="8" t="s">
        <v>35</v>
      </c>
      <c r="H1188" t="str">
        <f t="shared" si="18"/>
        <v>YES</v>
      </c>
    </row>
    <row r="1189" spans="1:8" x14ac:dyDescent="0.2">
      <c r="A1189" s="6" t="s">
        <v>1203</v>
      </c>
      <c r="B1189" s="7">
        <v>5</v>
      </c>
      <c r="C1189" s="7">
        <v>0</v>
      </c>
      <c r="D1189" s="7">
        <v>0</v>
      </c>
      <c r="E1189" s="7">
        <v>0</v>
      </c>
      <c r="F1189" s="8" t="s">
        <v>35</v>
      </c>
      <c r="G1189" s="8" t="s">
        <v>35</v>
      </c>
      <c r="H1189" t="str">
        <f t="shared" si="18"/>
        <v>YES</v>
      </c>
    </row>
    <row r="1190" spans="1:8" x14ac:dyDescent="0.2">
      <c r="A1190" s="6" t="s">
        <v>1204</v>
      </c>
      <c r="B1190" s="7">
        <v>5</v>
      </c>
      <c r="C1190" s="7">
        <v>0</v>
      </c>
      <c r="D1190" s="7">
        <v>0</v>
      </c>
      <c r="E1190" s="7">
        <v>0</v>
      </c>
      <c r="F1190" s="8" t="s">
        <v>35</v>
      </c>
      <c r="G1190" s="8" t="s">
        <v>35</v>
      </c>
      <c r="H1190" t="str">
        <f t="shared" si="18"/>
        <v>YES</v>
      </c>
    </row>
    <row r="1191" spans="1:8" x14ac:dyDescent="0.2">
      <c r="A1191" s="6" t="s">
        <v>1205</v>
      </c>
      <c r="B1191" s="7">
        <v>5</v>
      </c>
      <c r="C1191" s="7">
        <v>0</v>
      </c>
      <c r="D1191" s="7">
        <v>0</v>
      </c>
      <c r="E1191" s="7">
        <v>0</v>
      </c>
      <c r="F1191" s="8" t="s">
        <v>35</v>
      </c>
      <c r="G1191" s="8" t="s">
        <v>35</v>
      </c>
      <c r="H1191" t="str">
        <f t="shared" si="18"/>
        <v>YES</v>
      </c>
    </row>
    <row r="1192" spans="1:8" x14ac:dyDescent="0.2">
      <c r="A1192" s="6" t="s">
        <v>1206</v>
      </c>
      <c r="B1192" s="7">
        <v>5</v>
      </c>
      <c r="C1192" s="7">
        <v>0</v>
      </c>
      <c r="D1192" s="7">
        <v>0</v>
      </c>
      <c r="E1192" s="7">
        <v>0</v>
      </c>
      <c r="F1192" s="8" t="s">
        <v>35</v>
      </c>
      <c r="G1192" s="8" t="s">
        <v>35</v>
      </c>
      <c r="H1192" t="str">
        <f t="shared" si="18"/>
        <v>YES</v>
      </c>
    </row>
    <row r="1193" spans="1:8" x14ac:dyDescent="0.2">
      <c r="A1193" s="6" t="s">
        <v>1207</v>
      </c>
      <c r="B1193" s="7">
        <v>5</v>
      </c>
      <c r="C1193" s="7">
        <v>0</v>
      </c>
      <c r="D1193" s="7">
        <v>0</v>
      </c>
      <c r="E1193" s="7">
        <v>0</v>
      </c>
      <c r="F1193" s="8" t="s">
        <v>35</v>
      </c>
      <c r="G1193" s="8" t="s">
        <v>35</v>
      </c>
      <c r="H1193" t="str">
        <f t="shared" si="18"/>
        <v>YES</v>
      </c>
    </row>
    <row r="1194" spans="1:8" x14ac:dyDescent="0.2">
      <c r="A1194" s="6" t="s">
        <v>1208</v>
      </c>
      <c r="B1194" s="7">
        <v>5</v>
      </c>
      <c r="C1194" s="7">
        <v>0</v>
      </c>
      <c r="D1194" s="7">
        <v>0</v>
      </c>
      <c r="E1194" s="7">
        <v>0</v>
      </c>
      <c r="F1194" s="8" t="s">
        <v>35</v>
      </c>
      <c r="G1194" s="8" t="s">
        <v>35</v>
      </c>
      <c r="H1194" t="str">
        <f t="shared" si="18"/>
        <v>YES</v>
      </c>
    </row>
    <row r="1195" spans="1:8" x14ac:dyDescent="0.2">
      <c r="A1195" s="6" t="s">
        <v>1209</v>
      </c>
      <c r="B1195" s="7">
        <v>5</v>
      </c>
      <c r="C1195" s="7">
        <v>0</v>
      </c>
      <c r="D1195" s="7">
        <v>0</v>
      </c>
      <c r="E1195" s="7">
        <v>0</v>
      </c>
      <c r="F1195" s="8" t="s">
        <v>35</v>
      </c>
      <c r="G1195" s="8" t="s">
        <v>35</v>
      </c>
      <c r="H1195" t="str">
        <f t="shared" si="18"/>
        <v>YES</v>
      </c>
    </row>
    <row r="1196" spans="1:8" x14ac:dyDescent="0.2">
      <c r="A1196" s="6" t="s">
        <v>1210</v>
      </c>
      <c r="B1196" s="7">
        <v>5</v>
      </c>
      <c r="C1196" s="7">
        <v>0</v>
      </c>
      <c r="D1196" s="7">
        <v>0</v>
      </c>
      <c r="E1196" s="7">
        <v>0</v>
      </c>
      <c r="F1196" s="8" t="s">
        <v>35</v>
      </c>
      <c r="G1196" s="8" t="s">
        <v>35</v>
      </c>
      <c r="H1196" t="str">
        <f t="shared" si="18"/>
        <v>YES</v>
      </c>
    </row>
    <row r="1197" spans="1:8" x14ac:dyDescent="0.2">
      <c r="A1197" s="6" t="s">
        <v>1211</v>
      </c>
      <c r="B1197" s="7">
        <v>5</v>
      </c>
      <c r="C1197" s="7">
        <v>0</v>
      </c>
      <c r="D1197" s="7">
        <v>0</v>
      </c>
      <c r="E1197" s="7">
        <v>0</v>
      </c>
      <c r="F1197" s="8" t="s">
        <v>35</v>
      </c>
      <c r="G1197" s="8" t="s">
        <v>35</v>
      </c>
      <c r="H1197" t="str">
        <f t="shared" si="18"/>
        <v>YES</v>
      </c>
    </row>
    <row r="1198" spans="1:8" x14ac:dyDescent="0.2">
      <c r="A1198" s="6" t="s">
        <v>1212</v>
      </c>
      <c r="B1198" s="7">
        <v>5</v>
      </c>
      <c r="C1198" s="7">
        <v>0</v>
      </c>
      <c r="D1198" s="7">
        <v>0</v>
      </c>
      <c r="E1198" s="7">
        <v>0</v>
      </c>
      <c r="F1198" s="8" t="s">
        <v>35</v>
      </c>
      <c r="G1198" s="8" t="s">
        <v>35</v>
      </c>
      <c r="H1198" t="str">
        <f t="shared" si="18"/>
        <v>YES</v>
      </c>
    </row>
    <row r="1199" spans="1:8" x14ac:dyDescent="0.2">
      <c r="A1199" s="6" t="s">
        <v>1213</v>
      </c>
      <c r="B1199" s="7">
        <v>5</v>
      </c>
      <c r="C1199" s="7">
        <v>0</v>
      </c>
      <c r="D1199" s="7">
        <v>0</v>
      </c>
      <c r="E1199" s="7">
        <v>0</v>
      </c>
      <c r="F1199" s="8" t="s">
        <v>35</v>
      </c>
      <c r="G1199" s="8" t="s">
        <v>35</v>
      </c>
      <c r="H1199" t="str">
        <f t="shared" si="18"/>
        <v>YES</v>
      </c>
    </row>
    <row r="1200" spans="1:8" x14ac:dyDescent="0.2">
      <c r="A1200" s="6" t="s">
        <v>1214</v>
      </c>
      <c r="B1200" s="7">
        <v>5</v>
      </c>
      <c r="C1200" s="7">
        <v>0</v>
      </c>
      <c r="D1200" s="7">
        <v>0</v>
      </c>
      <c r="E1200" s="7">
        <v>0</v>
      </c>
      <c r="F1200" s="8" t="s">
        <v>35</v>
      </c>
      <c r="G1200" s="8" t="s">
        <v>35</v>
      </c>
      <c r="H1200" t="str">
        <f t="shared" si="18"/>
        <v>YES</v>
      </c>
    </row>
    <row r="1201" spans="1:8" x14ac:dyDescent="0.2">
      <c r="A1201" s="6" t="s">
        <v>1215</v>
      </c>
      <c r="B1201" s="7">
        <v>5</v>
      </c>
      <c r="C1201" s="7">
        <v>0</v>
      </c>
      <c r="D1201" s="7">
        <v>0</v>
      </c>
      <c r="E1201" s="7">
        <v>0</v>
      </c>
      <c r="F1201" s="8" t="s">
        <v>35</v>
      </c>
      <c r="G1201" s="8" t="s">
        <v>35</v>
      </c>
      <c r="H1201" t="str">
        <f t="shared" si="18"/>
        <v>YES</v>
      </c>
    </row>
    <row r="1202" spans="1:8" x14ac:dyDescent="0.2">
      <c r="A1202" s="6" t="s">
        <v>1216</v>
      </c>
      <c r="B1202" s="7">
        <v>5</v>
      </c>
      <c r="C1202" s="7">
        <v>0</v>
      </c>
      <c r="D1202" s="7">
        <v>0</v>
      </c>
      <c r="E1202" s="7">
        <v>0</v>
      </c>
      <c r="F1202" s="8" t="s">
        <v>35</v>
      </c>
      <c r="G1202" s="8" t="s">
        <v>35</v>
      </c>
      <c r="H1202" t="str">
        <f t="shared" si="18"/>
        <v>YES</v>
      </c>
    </row>
    <row r="1203" spans="1:8" x14ac:dyDescent="0.2">
      <c r="A1203" s="6" t="s">
        <v>1217</v>
      </c>
      <c r="B1203" s="7">
        <v>5</v>
      </c>
      <c r="C1203" s="7">
        <v>0</v>
      </c>
      <c r="D1203" s="7">
        <v>0</v>
      </c>
      <c r="E1203" s="7">
        <v>0</v>
      </c>
      <c r="F1203" s="8" t="s">
        <v>35</v>
      </c>
      <c r="G1203" s="8" t="s">
        <v>35</v>
      </c>
      <c r="H1203" t="str">
        <f t="shared" si="18"/>
        <v>YES</v>
      </c>
    </row>
    <row r="1204" spans="1:8" x14ac:dyDescent="0.2">
      <c r="A1204" s="6" t="s">
        <v>1218</v>
      </c>
      <c r="B1204" s="7">
        <v>5</v>
      </c>
      <c r="C1204" s="7">
        <v>0</v>
      </c>
      <c r="D1204" s="7">
        <v>0</v>
      </c>
      <c r="E1204" s="7">
        <v>0</v>
      </c>
      <c r="F1204" s="8" t="s">
        <v>35</v>
      </c>
      <c r="G1204" s="8" t="s">
        <v>35</v>
      </c>
      <c r="H1204" t="str">
        <f t="shared" si="18"/>
        <v>YES</v>
      </c>
    </row>
    <row r="1205" spans="1:8" x14ac:dyDescent="0.2">
      <c r="A1205" s="6" t="s">
        <v>1219</v>
      </c>
      <c r="B1205" s="7">
        <v>5</v>
      </c>
      <c r="C1205" s="7">
        <v>0</v>
      </c>
      <c r="D1205" s="7">
        <v>0</v>
      </c>
      <c r="E1205" s="7">
        <v>0</v>
      </c>
      <c r="F1205" s="8" t="s">
        <v>35</v>
      </c>
      <c r="G1205" s="8" t="s">
        <v>35</v>
      </c>
      <c r="H1205" t="str">
        <f t="shared" si="18"/>
        <v>YES</v>
      </c>
    </row>
    <row r="1206" spans="1:8" x14ac:dyDescent="0.2">
      <c r="A1206" s="6" t="s">
        <v>1220</v>
      </c>
      <c r="B1206" s="7">
        <v>5</v>
      </c>
      <c r="C1206" s="7">
        <v>0</v>
      </c>
      <c r="D1206" s="7">
        <v>0</v>
      </c>
      <c r="E1206" s="7">
        <v>0</v>
      </c>
      <c r="F1206" s="8" t="s">
        <v>35</v>
      </c>
      <c r="G1206" s="8" t="s">
        <v>35</v>
      </c>
      <c r="H1206" t="str">
        <f t="shared" si="18"/>
        <v>YES</v>
      </c>
    </row>
    <row r="1207" spans="1:8" x14ac:dyDescent="0.2">
      <c r="A1207" s="6" t="s">
        <v>1221</v>
      </c>
      <c r="B1207" s="7">
        <v>5</v>
      </c>
      <c r="C1207" s="7">
        <v>0</v>
      </c>
      <c r="D1207" s="7">
        <v>0</v>
      </c>
      <c r="E1207" s="7">
        <v>0</v>
      </c>
      <c r="F1207" s="8" t="s">
        <v>35</v>
      </c>
      <c r="G1207" s="8" t="s">
        <v>94</v>
      </c>
      <c r="H1207" t="str">
        <f t="shared" si="18"/>
        <v>NO</v>
      </c>
    </row>
    <row r="1208" spans="1:8" x14ac:dyDescent="0.2">
      <c r="A1208" s="6" t="s">
        <v>1222</v>
      </c>
      <c r="B1208" s="7">
        <v>5</v>
      </c>
      <c r="C1208" s="7">
        <v>0</v>
      </c>
      <c r="D1208" s="7">
        <v>0</v>
      </c>
      <c r="E1208" s="7">
        <v>0</v>
      </c>
      <c r="F1208" s="8" t="s">
        <v>35</v>
      </c>
      <c r="G1208" s="8" t="s">
        <v>35</v>
      </c>
      <c r="H1208" t="str">
        <f t="shared" si="18"/>
        <v>YES</v>
      </c>
    </row>
    <row r="1209" spans="1:8" x14ac:dyDescent="0.2">
      <c r="A1209" s="6" t="s">
        <v>1223</v>
      </c>
      <c r="B1209" s="7">
        <v>5</v>
      </c>
      <c r="C1209" s="7">
        <v>0</v>
      </c>
      <c r="D1209" s="7">
        <v>0</v>
      </c>
      <c r="E1209" s="7">
        <v>0</v>
      </c>
      <c r="F1209" s="8" t="s">
        <v>35</v>
      </c>
      <c r="G1209" s="8" t="s">
        <v>35</v>
      </c>
      <c r="H1209" t="str">
        <f t="shared" si="18"/>
        <v>YES</v>
      </c>
    </row>
    <row r="1210" spans="1:8" x14ac:dyDescent="0.2">
      <c r="A1210" s="6" t="s">
        <v>1224</v>
      </c>
      <c r="B1210" s="7">
        <v>5</v>
      </c>
      <c r="C1210" s="7">
        <v>0</v>
      </c>
      <c r="D1210" s="7">
        <v>0</v>
      </c>
      <c r="E1210" s="7">
        <v>0</v>
      </c>
      <c r="F1210" s="8" t="s">
        <v>35</v>
      </c>
      <c r="G1210" s="8" t="s">
        <v>35</v>
      </c>
      <c r="H1210" t="str">
        <f t="shared" si="18"/>
        <v>YES</v>
      </c>
    </row>
    <row r="1211" spans="1:8" x14ac:dyDescent="0.2">
      <c r="A1211" s="6" t="s">
        <v>1225</v>
      </c>
      <c r="B1211" s="7">
        <v>5</v>
      </c>
      <c r="C1211" s="7">
        <v>0</v>
      </c>
      <c r="D1211" s="7">
        <v>0</v>
      </c>
      <c r="E1211" s="7">
        <v>0</v>
      </c>
      <c r="F1211" s="8" t="s">
        <v>35</v>
      </c>
      <c r="G1211" s="8" t="s">
        <v>35</v>
      </c>
      <c r="H1211" t="str">
        <f t="shared" si="18"/>
        <v>YES</v>
      </c>
    </row>
    <row r="1212" spans="1:8" x14ac:dyDescent="0.2">
      <c r="A1212" s="6" t="s">
        <v>1226</v>
      </c>
      <c r="B1212" s="7">
        <v>5</v>
      </c>
      <c r="C1212" s="7">
        <v>0</v>
      </c>
      <c r="D1212" s="7">
        <v>0</v>
      </c>
      <c r="E1212" s="7">
        <v>0</v>
      </c>
      <c r="F1212" s="8" t="s">
        <v>35</v>
      </c>
      <c r="G1212" s="8" t="s">
        <v>35</v>
      </c>
      <c r="H1212" t="str">
        <f t="shared" si="18"/>
        <v>YES</v>
      </c>
    </row>
    <row r="1213" spans="1:8" x14ac:dyDescent="0.2">
      <c r="A1213" s="6" t="s">
        <v>1227</v>
      </c>
      <c r="B1213" s="7">
        <v>5</v>
      </c>
      <c r="C1213" s="7">
        <v>0</v>
      </c>
      <c r="D1213" s="7">
        <v>0</v>
      </c>
      <c r="E1213" s="7">
        <v>0</v>
      </c>
      <c r="F1213" s="8" t="s">
        <v>35</v>
      </c>
      <c r="G1213" s="8" t="s">
        <v>35</v>
      </c>
      <c r="H1213" t="str">
        <f t="shared" si="18"/>
        <v>YES</v>
      </c>
    </row>
    <row r="1214" spans="1:8" x14ac:dyDescent="0.2">
      <c r="A1214" s="6" t="s">
        <v>1228</v>
      </c>
      <c r="B1214" s="7">
        <v>5</v>
      </c>
      <c r="C1214" s="7">
        <v>0</v>
      </c>
      <c r="D1214" s="7">
        <v>0</v>
      </c>
      <c r="E1214" s="7">
        <v>0</v>
      </c>
      <c r="F1214" s="8" t="s">
        <v>35</v>
      </c>
      <c r="G1214" s="8" t="s">
        <v>35</v>
      </c>
      <c r="H1214" t="str">
        <f t="shared" si="18"/>
        <v>YES</v>
      </c>
    </row>
    <row r="1215" spans="1:8" x14ac:dyDescent="0.2">
      <c r="A1215" s="6" t="s">
        <v>1229</v>
      </c>
      <c r="B1215" s="7">
        <v>5</v>
      </c>
      <c r="C1215" s="7">
        <v>0</v>
      </c>
      <c r="D1215" s="7">
        <v>0</v>
      </c>
      <c r="E1215" s="7">
        <v>0</v>
      </c>
      <c r="F1215" s="8" t="s">
        <v>35</v>
      </c>
      <c r="G1215" s="8" t="s">
        <v>35</v>
      </c>
      <c r="H1215" t="str">
        <f t="shared" si="18"/>
        <v>YES</v>
      </c>
    </row>
    <row r="1216" spans="1:8" x14ac:dyDescent="0.2">
      <c r="A1216" s="6" t="s">
        <v>1230</v>
      </c>
      <c r="B1216" s="7">
        <v>5</v>
      </c>
      <c r="C1216" s="7">
        <v>0</v>
      </c>
      <c r="D1216" s="7">
        <v>0</v>
      </c>
      <c r="E1216" s="7">
        <v>0</v>
      </c>
      <c r="F1216" s="8" t="s">
        <v>35</v>
      </c>
      <c r="G1216" s="8" t="s">
        <v>35</v>
      </c>
      <c r="H1216" t="str">
        <f t="shared" si="18"/>
        <v>YES</v>
      </c>
    </row>
    <row r="1217" spans="1:8" x14ac:dyDescent="0.2">
      <c r="A1217" s="6" t="s">
        <v>1231</v>
      </c>
      <c r="B1217" s="7">
        <v>5</v>
      </c>
      <c r="C1217" s="7">
        <v>0</v>
      </c>
      <c r="D1217" s="7">
        <v>0</v>
      </c>
      <c r="E1217" s="7">
        <v>0</v>
      </c>
      <c r="F1217" s="8" t="s">
        <v>35</v>
      </c>
      <c r="G1217" s="8" t="s">
        <v>35</v>
      </c>
      <c r="H1217" t="str">
        <f t="shared" si="18"/>
        <v>YES</v>
      </c>
    </row>
    <row r="1218" spans="1:8" x14ac:dyDescent="0.2">
      <c r="A1218" s="6" t="s">
        <v>1232</v>
      </c>
      <c r="B1218" s="7">
        <v>5</v>
      </c>
      <c r="C1218" s="7">
        <v>0</v>
      </c>
      <c r="D1218" s="7">
        <v>0</v>
      </c>
      <c r="E1218" s="7">
        <v>0</v>
      </c>
      <c r="F1218" s="8" t="s">
        <v>35</v>
      </c>
      <c r="G1218" s="8" t="s">
        <v>35</v>
      </c>
      <c r="H1218" t="str">
        <f t="shared" si="18"/>
        <v>YES</v>
      </c>
    </row>
    <row r="1219" spans="1:8" x14ac:dyDescent="0.2">
      <c r="A1219" s="6" t="s">
        <v>1233</v>
      </c>
      <c r="B1219" s="7">
        <v>5</v>
      </c>
      <c r="C1219" s="7">
        <v>0</v>
      </c>
      <c r="D1219" s="7">
        <v>0</v>
      </c>
      <c r="E1219" s="7">
        <v>0</v>
      </c>
      <c r="F1219" s="8" t="s">
        <v>35</v>
      </c>
      <c r="G1219" s="8" t="s">
        <v>35</v>
      </c>
      <c r="H1219" t="str">
        <f t="shared" si="18"/>
        <v>YES</v>
      </c>
    </row>
    <row r="1220" spans="1:8" x14ac:dyDescent="0.2">
      <c r="A1220" s="6" t="s">
        <v>1234</v>
      </c>
      <c r="B1220" s="7">
        <v>5</v>
      </c>
      <c r="C1220" s="7">
        <v>0</v>
      </c>
      <c r="D1220" s="7">
        <v>0</v>
      </c>
      <c r="E1220" s="7">
        <v>0</v>
      </c>
      <c r="F1220" s="8" t="s">
        <v>35</v>
      </c>
      <c r="G1220" s="8" t="s">
        <v>35</v>
      </c>
      <c r="H1220" t="str">
        <f t="shared" si="18"/>
        <v>YES</v>
      </c>
    </row>
    <row r="1221" spans="1:8" x14ac:dyDescent="0.2">
      <c r="A1221" s="6" t="s">
        <v>1235</v>
      </c>
      <c r="B1221" s="7">
        <v>5</v>
      </c>
      <c r="C1221" s="7">
        <v>0</v>
      </c>
      <c r="D1221" s="7">
        <v>0</v>
      </c>
      <c r="E1221" s="7">
        <v>0</v>
      </c>
      <c r="F1221" s="8" t="s">
        <v>35</v>
      </c>
      <c r="G1221" s="8" t="s">
        <v>35</v>
      </c>
      <c r="H1221" t="str">
        <f t="shared" ref="H1221:H1284" si="19">IF(F1221=G1221,"YES","NO")</f>
        <v>YES</v>
      </c>
    </row>
    <row r="1222" spans="1:8" x14ac:dyDescent="0.2">
      <c r="A1222" s="6" t="s">
        <v>1236</v>
      </c>
      <c r="B1222" s="7">
        <v>5</v>
      </c>
      <c r="C1222" s="7">
        <v>0</v>
      </c>
      <c r="D1222" s="7">
        <v>0</v>
      </c>
      <c r="E1222" s="7">
        <v>0</v>
      </c>
      <c r="F1222" s="8" t="s">
        <v>35</v>
      </c>
      <c r="G1222" s="8" t="s">
        <v>35</v>
      </c>
      <c r="H1222" t="str">
        <f t="shared" si="19"/>
        <v>YES</v>
      </c>
    </row>
    <row r="1223" spans="1:8" x14ac:dyDescent="0.2">
      <c r="A1223" s="6" t="s">
        <v>1237</v>
      </c>
      <c r="B1223" s="7">
        <v>5</v>
      </c>
      <c r="C1223" s="7">
        <v>0</v>
      </c>
      <c r="D1223" s="7">
        <v>0</v>
      </c>
      <c r="E1223" s="7">
        <v>0</v>
      </c>
      <c r="F1223" s="8" t="s">
        <v>35</v>
      </c>
      <c r="G1223" s="8" t="s">
        <v>35</v>
      </c>
      <c r="H1223" t="str">
        <f t="shared" si="19"/>
        <v>YES</v>
      </c>
    </row>
    <row r="1224" spans="1:8" x14ac:dyDescent="0.2">
      <c r="A1224" s="6" t="s">
        <v>1238</v>
      </c>
      <c r="B1224" s="7">
        <v>5</v>
      </c>
      <c r="C1224" s="7">
        <v>0</v>
      </c>
      <c r="D1224" s="7">
        <v>0</v>
      </c>
      <c r="E1224" s="7">
        <v>0</v>
      </c>
      <c r="F1224" s="8" t="s">
        <v>35</v>
      </c>
      <c r="G1224" s="8" t="s">
        <v>35</v>
      </c>
      <c r="H1224" t="str">
        <f t="shared" si="19"/>
        <v>YES</v>
      </c>
    </row>
    <row r="1225" spans="1:8" x14ac:dyDescent="0.2">
      <c r="A1225" s="6" t="s">
        <v>1239</v>
      </c>
      <c r="B1225" s="7">
        <v>5</v>
      </c>
      <c r="C1225" s="7">
        <v>0</v>
      </c>
      <c r="D1225" s="7">
        <v>0</v>
      </c>
      <c r="E1225" s="7">
        <v>0</v>
      </c>
      <c r="F1225" s="8" t="s">
        <v>35</v>
      </c>
      <c r="G1225" s="8" t="s">
        <v>35</v>
      </c>
      <c r="H1225" t="str">
        <f t="shared" si="19"/>
        <v>YES</v>
      </c>
    </row>
    <row r="1226" spans="1:8" x14ac:dyDescent="0.2">
      <c r="A1226" s="6" t="s">
        <v>1240</v>
      </c>
      <c r="B1226" s="7">
        <v>5</v>
      </c>
      <c r="C1226" s="7">
        <v>0</v>
      </c>
      <c r="D1226" s="7">
        <v>0</v>
      </c>
      <c r="E1226" s="7">
        <v>0</v>
      </c>
      <c r="F1226" s="8" t="s">
        <v>35</v>
      </c>
      <c r="G1226" s="8" t="s">
        <v>35</v>
      </c>
      <c r="H1226" t="str">
        <f t="shared" si="19"/>
        <v>YES</v>
      </c>
    </row>
    <row r="1227" spans="1:8" x14ac:dyDescent="0.2">
      <c r="A1227" s="6" t="s">
        <v>1241</v>
      </c>
      <c r="B1227" s="7">
        <v>5</v>
      </c>
      <c r="C1227" s="7">
        <v>0</v>
      </c>
      <c r="D1227" s="7">
        <v>0</v>
      </c>
      <c r="E1227" s="7">
        <v>0</v>
      </c>
      <c r="F1227" s="8" t="s">
        <v>35</v>
      </c>
      <c r="G1227" s="8" t="s">
        <v>35</v>
      </c>
      <c r="H1227" t="str">
        <f t="shared" si="19"/>
        <v>YES</v>
      </c>
    </row>
    <row r="1228" spans="1:8" x14ac:dyDescent="0.2">
      <c r="A1228" s="6" t="s">
        <v>1242</v>
      </c>
      <c r="B1228" s="7">
        <v>5</v>
      </c>
      <c r="C1228" s="7">
        <v>0</v>
      </c>
      <c r="D1228" s="7">
        <v>0</v>
      </c>
      <c r="E1228" s="7">
        <v>0</v>
      </c>
      <c r="F1228" s="8" t="s">
        <v>35</v>
      </c>
      <c r="G1228" s="8" t="s">
        <v>35</v>
      </c>
      <c r="H1228" t="str">
        <f t="shared" si="19"/>
        <v>YES</v>
      </c>
    </row>
    <row r="1229" spans="1:8" x14ac:dyDescent="0.2">
      <c r="A1229" s="6" t="s">
        <v>1243</v>
      </c>
      <c r="B1229" s="7">
        <v>5</v>
      </c>
      <c r="C1229" s="7">
        <v>0</v>
      </c>
      <c r="D1229" s="7">
        <v>0</v>
      </c>
      <c r="E1229" s="7">
        <v>0</v>
      </c>
      <c r="F1229" s="8" t="s">
        <v>35</v>
      </c>
      <c r="G1229" s="8" t="s">
        <v>35</v>
      </c>
      <c r="H1229" t="str">
        <f t="shared" si="19"/>
        <v>YES</v>
      </c>
    </row>
    <row r="1230" spans="1:8" x14ac:dyDescent="0.2">
      <c r="A1230" s="6" t="s">
        <v>1244</v>
      </c>
      <c r="B1230" s="7">
        <v>5</v>
      </c>
      <c r="C1230" s="7">
        <v>0</v>
      </c>
      <c r="D1230" s="7">
        <v>0</v>
      </c>
      <c r="E1230" s="7">
        <v>0</v>
      </c>
      <c r="F1230" s="8" t="s">
        <v>35</v>
      </c>
      <c r="G1230" s="8" t="s">
        <v>35</v>
      </c>
      <c r="H1230" t="str">
        <f t="shared" si="19"/>
        <v>YES</v>
      </c>
    </row>
    <row r="1231" spans="1:8" x14ac:dyDescent="0.2">
      <c r="A1231" s="6" t="s">
        <v>1245</v>
      </c>
      <c r="B1231" s="7">
        <v>5</v>
      </c>
      <c r="C1231" s="7">
        <v>0</v>
      </c>
      <c r="D1231" s="7">
        <v>0</v>
      </c>
      <c r="E1231" s="7">
        <v>0</v>
      </c>
      <c r="F1231" s="8" t="s">
        <v>35</v>
      </c>
      <c r="G1231" s="8" t="s">
        <v>35</v>
      </c>
      <c r="H1231" t="str">
        <f t="shared" si="19"/>
        <v>YES</v>
      </c>
    </row>
    <row r="1232" spans="1:8" x14ac:dyDescent="0.2">
      <c r="A1232" s="6" t="s">
        <v>1246</v>
      </c>
      <c r="B1232" s="7">
        <v>5</v>
      </c>
      <c r="C1232" s="7">
        <v>0</v>
      </c>
      <c r="D1232" s="7">
        <v>0</v>
      </c>
      <c r="E1232" s="7">
        <v>0</v>
      </c>
      <c r="F1232" s="8" t="s">
        <v>35</v>
      </c>
      <c r="G1232" s="8" t="s">
        <v>35</v>
      </c>
      <c r="H1232" t="str">
        <f t="shared" si="19"/>
        <v>YES</v>
      </c>
    </row>
    <row r="1233" spans="1:8" x14ac:dyDescent="0.2">
      <c r="A1233" s="6" t="s">
        <v>1247</v>
      </c>
      <c r="B1233" s="7">
        <v>5</v>
      </c>
      <c r="C1233" s="7">
        <v>0</v>
      </c>
      <c r="D1233" s="7">
        <v>0</v>
      </c>
      <c r="E1233" s="7">
        <v>0</v>
      </c>
      <c r="F1233" s="8" t="s">
        <v>35</v>
      </c>
      <c r="G1233" s="8" t="s">
        <v>35</v>
      </c>
      <c r="H1233" t="str">
        <f t="shared" si="19"/>
        <v>YES</v>
      </c>
    </row>
    <row r="1234" spans="1:8" x14ac:dyDescent="0.2">
      <c r="A1234" s="6" t="s">
        <v>1248</v>
      </c>
      <c r="B1234" s="7">
        <v>5</v>
      </c>
      <c r="C1234" s="7">
        <v>0</v>
      </c>
      <c r="D1234" s="7">
        <v>0</v>
      </c>
      <c r="E1234" s="7">
        <v>0</v>
      </c>
      <c r="F1234" s="8" t="s">
        <v>35</v>
      </c>
      <c r="G1234" s="8" t="s">
        <v>35</v>
      </c>
      <c r="H1234" t="str">
        <f t="shared" si="19"/>
        <v>YES</v>
      </c>
    </row>
    <row r="1235" spans="1:8" x14ac:dyDescent="0.2">
      <c r="A1235" s="6" t="s">
        <v>1249</v>
      </c>
      <c r="B1235" s="7">
        <v>5</v>
      </c>
      <c r="C1235" s="7">
        <v>0</v>
      </c>
      <c r="D1235" s="7">
        <v>0</v>
      </c>
      <c r="E1235" s="7">
        <v>0</v>
      </c>
      <c r="F1235" s="8" t="s">
        <v>35</v>
      </c>
      <c r="G1235" s="8" t="s">
        <v>35</v>
      </c>
      <c r="H1235" t="str">
        <f t="shared" si="19"/>
        <v>YES</v>
      </c>
    </row>
    <row r="1236" spans="1:8" x14ac:dyDescent="0.2">
      <c r="A1236" s="6" t="s">
        <v>1250</v>
      </c>
      <c r="B1236" s="7">
        <v>5</v>
      </c>
      <c r="C1236" s="7">
        <v>0</v>
      </c>
      <c r="D1236" s="7">
        <v>0</v>
      </c>
      <c r="E1236" s="7">
        <v>0</v>
      </c>
      <c r="F1236" s="8" t="s">
        <v>35</v>
      </c>
      <c r="G1236" s="8" t="s">
        <v>35</v>
      </c>
      <c r="H1236" t="str">
        <f t="shared" si="19"/>
        <v>YES</v>
      </c>
    </row>
    <row r="1237" spans="1:8" x14ac:dyDescent="0.2">
      <c r="A1237" s="6" t="s">
        <v>1251</v>
      </c>
      <c r="B1237" s="7">
        <v>5</v>
      </c>
      <c r="C1237" s="7">
        <v>0</v>
      </c>
      <c r="D1237" s="7">
        <v>0</v>
      </c>
      <c r="E1237" s="7">
        <v>0</v>
      </c>
      <c r="F1237" s="8" t="s">
        <v>35</v>
      </c>
      <c r="G1237" s="8" t="s">
        <v>35</v>
      </c>
      <c r="H1237" t="str">
        <f t="shared" si="19"/>
        <v>YES</v>
      </c>
    </row>
    <row r="1238" spans="1:8" x14ac:dyDescent="0.2">
      <c r="A1238" s="6" t="s">
        <v>1252</v>
      </c>
      <c r="B1238" s="7">
        <v>5</v>
      </c>
      <c r="C1238" s="7">
        <v>0</v>
      </c>
      <c r="D1238" s="7">
        <v>0</v>
      </c>
      <c r="E1238" s="7">
        <v>0</v>
      </c>
      <c r="F1238" s="8" t="s">
        <v>35</v>
      </c>
      <c r="G1238" s="8" t="s">
        <v>35</v>
      </c>
      <c r="H1238" t="str">
        <f t="shared" si="19"/>
        <v>YES</v>
      </c>
    </row>
    <row r="1239" spans="1:8" x14ac:dyDescent="0.2">
      <c r="A1239" s="6" t="s">
        <v>1253</v>
      </c>
      <c r="B1239" s="7">
        <v>5</v>
      </c>
      <c r="C1239" s="7">
        <v>0</v>
      </c>
      <c r="D1239" s="7">
        <v>0</v>
      </c>
      <c r="E1239" s="7">
        <v>0</v>
      </c>
      <c r="F1239" s="8" t="s">
        <v>35</v>
      </c>
      <c r="G1239" s="8" t="s">
        <v>35</v>
      </c>
      <c r="H1239" t="str">
        <f t="shared" si="19"/>
        <v>YES</v>
      </c>
    </row>
    <row r="1240" spans="1:8" x14ac:dyDescent="0.2">
      <c r="A1240" s="6" t="s">
        <v>1254</v>
      </c>
      <c r="B1240" s="7">
        <v>5</v>
      </c>
      <c r="C1240" s="7">
        <v>0</v>
      </c>
      <c r="D1240" s="7">
        <v>0</v>
      </c>
      <c r="E1240" s="7">
        <v>0</v>
      </c>
      <c r="F1240" s="8" t="s">
        <v>35</v>
      </c>
      <c r="G1240" s="8" t="s">
        <v>35</v>
      </c>
      <c r="H1240" t="str">
        <f t="shared" si="19"/>
        <v>YES</v>
      </c>
    </row>
    <row r="1241" spans="1:8" x14ac:dyDescent="0.2">
      <c r="A1241" s="6" t="s">
        <v>1255</v>
      </c>
      <c r="B1241" s="7">
        <v>5</v>
      </c>
      <c r="C1241" s="7">
        <v>0</v>
      </c>
      <c r="D1241" s="7">
        <v>0</v>
      </c>
      <c r="E1241" s="7">
        <v>0</v>
      </c>
      <c r="F1241" s="8" t="s">
        <v>35</v>
      </c>
      <c r="G1241" s="8" t="s">
        <v>35</v>
      </c>
      <c r="H1241" t="str">
        <f t="shared" si="19"/>
        <v>YES</v>
      </c>
    </row>
    <row r="1242" spans="1:8" x14ac:dyDescent="0.2">
      <c r="A1242" s="6" t="s">
        <v>1256</v>
      </c>
      <c r="B1242" s="7">
        <v>5</v>
      </c>
      <c r="C1242" s="7">
        <v>0</v>
      </c>
      <c r="D1242" s="7">
        <v>0</v>
      </c>
      <c r="E1242" s="7">
        <v>0</v>
      </c>
      <c r="F1242" s="8" t="s">
        <v>35</v>
      </c>
      <c r="G1242" s="8" t="s">
        <v>35</v>
      </c>
      <c r="H1242" t="str">
        <f t="shared" si="19"/>
        <v>YES</v>
      </c>
    </row>
    <row r="1243" spans="1:8" x14ac:dyDescent="0.2">
      <c r="A1243" s="6" t="s">
        <v>1257</v>
      </c>
      <c r="B1243" s="7">
        <v>5</v>
      </c>
      <c r="C1243" s="7">
        <v>0</v>
      </c>
      <c r="D1243" s="7">
        <v>0</v>
      </c>
      <c r="E1243" s="7">
        <v>0</v>
      </c>
      <c r="F1243" s="8" t="s">
        <v>35</v>
      </c>
      <c r="G1243" s="8" t="s">
        <v>35</v>
      </c>
      <c r="H1243" t="str">
        <f t="shared" si="19"/>
        <v>YES</v>
      </c>
    </row>
    <row r="1244" spans="1:8" x14ac:dyDescent="0.2">
      <c r="A1244" s="6" t="s">
        <v>1258</v>
      </c>
      <c r="B1244" s="7">
        <v>5</v>
      </c>
      <c r="C1244" s="7">
        <v>0</v>
      </c>
      <c r="D1244" s="7">
        <v>0</v>
      </c>
      <c r="E1244" s="7">
        <v>0</v>
      </c>
      <c r="F1244" s="8" t="s">
        <v>35</v>
      </c>
      <c r="G1244" s="8" t="s">
        <v>35</v>
      </c>
      <c r="H1244" t="str">
        <f t="shared" si="19"/>
        <v>YES</v>
      </c>
    </row>
    <row r="1245" spans="1:8" x14ac:dyDescent="0.2">
      <c r="A1245" s="6" t="s">
        <v>1259</v>
      </c>
      <c r="B1245" s="7">
        <v>5</v>
      </c>
      <c r="C1245" s="7">
        <v>0</v>
      </c>
      <c r="D1245" s="7">
        <v>0</v>
      </c>
      <c r="E1245" s="7">
        <v>0</v>
      </c>
      <c r="F1245" s="8" t="s">
        <v>35</v>
      </c>
      <c r="G1245" s="8" t="s">
        <v>35</v>
      </c>
      <c r="H1245" t="str">
        <f t="shared" si="19"/>
        <v>YES</v>
      </c>
    </row>
    <row r="1246" spans="1:8" x14ac:dyDescent="0.2">
      <c r="A1246" s="6" t="s">
        <v>1260</v>
      </c>
      <c r="B1246" s="7">
        <v>5</v>
      </c>
      <c r="C1246" s="7">
        <v>0</v>
      </c>
      <c r="D1246" s="7">
        <v>0</v>
      </c>
      <c r="E1246" s="7">
        <v>0</v>
      </c>
      <c r="F1246" s="8" t="s">
        <v>35</v>
      </c>
      <c r="G1246" s="8" t="s">
        <v>35</v>
      </c>
      <c r="H1246" t="str">
        <f t="shared" si="19"/>
        <v>YES</v>
      </c>
    </row>
    <row r="1247" spans="1:8" x14ac:dyDescent="0.2">
      <c r="A1247" s="6" t="s">
        <v>1261</v>
      </c>
      <c r="B1247" s="7">
        <v>5</v>
      </c>
      <c r="C1247" s="7">
        <v>0</v>
      </c>
      <c r="D1247" s="7">
        <v>0</v>
      </c>
      <c r="E1247" s="7">
        <v>0</v>
      </c>
      <c r="F1247" s="8" t="s">
        <v>35</v>
      </c>
      <c r="G1247" s="8" t="s">
        <v>35</v>
      </c>
      <c r="H1247" t="str">
        <f t="shared" si="19"/>
        <v>YES</v>
      </c>
    </row>
    <row r="1248" spans="1:8" x14ac:dyDescent="0.2">
      <c r="A1248" s="6" t="s">
        <v>1262</v>
      </c>
      <c r="B1248" s="7">
        <v>5</v>
      </c>
      <c r="C1248" s="7">
        <v>0</v>
      </c>
      <c r="D1248" s="7">
        <v>0</v>
      </c>
      <c r="E1248" s="7">
        <v>0</v>
      </c>
      <c r="F1248" s="8" t="s">
        <v>35</v>
      </c>
      <c r="G1248" s="8" t="s">
        <v>35</v>
      </c>
      <c r="H1248" t="str">
        <f t="shared" si="19"/>
        <v>YES</v>
      </c>
    </row>
    <row r="1249" spans="1:8" x14ac:dyDescent="0.2">
      <c r="A1249" s="6" t="s">
        <v>1263</v>
      </c>
      <c r="B1249" s="7">
        <v>5</v>
      </c>
      <c r="C1249" s="7">
        <v>0</v>
      </c>
      <c r="D1249" s="7">
        <v>0</v>
      </c>
      <c r="E1249" s="7">
        <v>0</v>
      </c>
      <c r="F1249" s="8" t="s">
        <v>35</v>
      </c>
      <c r="G1249" s="8" t="s">
        <v>35</v>
      </c>
      <c r="H1249" t="str">
        <f t="shared" si="19"/>
        <v>YES</v>
      </c>
    </row>
    <row r="1250" spans="1:8" x14ac:dyDescent="0.2">
      <c r="A1250" s="6" t="s">
        <v>1264</v>
      </c>
      <c r="B1250" s="7">
        <v>5</v>
      </c>
      <c r="C1250" s="7">
        <v>0</v>
      </c>
      <c r="D1250" s="7">
        <v>0</v>
      </c>
      <c r="E1250" s="7">
        <v>0</v>
      </c>
      <c r="F1250" s="8" t="s">
        <v>35</v>
      </c>
      <c r="G1250" s="8" t="s">
        <v>35</v>
      </c>
      <c r="H1250" t="str">
        <f t="shared" si="19"/>
        <v>YES</v>
      </c>
    </row>
    <row r="1251" spans="1:8" x14ac:dyDescent="0.2">
      <c r="A1251" s="6" t="s">
        <v>1265</v>
      </c>
      <c r="B1251" s="7">
        <v>6</v>
      </c>
      <c r="C1251" s="7">
        <v>0</v>
      </c>
      <c r="D1251" s="7">
        <v>0</v>
      </c>
      <c r="E1251" s="7">
        <v>0</v>
      </c>
      <c r="F1251" s="8" t="s">
        <v>35</v>
      </c>
      <c r="G1251" s="8" t="s">
        <v>35</v>
      </c>
      <c r="H1251" t="str">
        <f t="shared" si="19"/>
        <v>YES</v>
      </c>
    </row>
    <row r="1252" spans="1:8" x14ac:dyDescent="0.2">
      <c r="A1252" s="6" t="s">
        <v>1266</v>
      </c>
      <c r="B1252" s="7">
        <v>6</v>
      </c>
      <c r="C1252" s="7">
        <v>0</v>
      </c>
      <c r="D1252" s="7">
        <v>0</v>
      </c>
      <c r="E1252" s="7">
        <v>0</v>
      </c>
      <c r="F1252" s="8" t="s">
        <v>35</v>
      </c>
      <c r="G1252" s="8" t="s">
        <v>35</v>
      </c>
      <c r="H1252" t="str">
        <f t="shared" si="19"/>
        <v>YES</v>
      </c>
    </row>
    <row r="1253" spans="1:8" x14ac:dyDescent="0.2">
      <c r="A1253" s="6" t="s">
        <v>1267</v>
      </c>
      <c r="B1253" s="7">
        <v>6</v>
      </c>
      <c r="C1253" s="7">
        <v>0</v>
      </c>
      <c r="D1253" s="7">
        <v>0</v>
      </c>
      <c r="E1253" s="7">
        <v>0</v>
      </c>
      <c r="F1253" s="8" t="s">
        <v>35</v>
      </c>
      <c r="G1253" s="8" t="s">
        <v>35</v>
      </c>
      <c r="H1253" t="str">
        <f t="shared" si="19"/>
        <v>YES</v>
      </c>
    </row>
    <row r="1254" spans="1:8" x14ac:dyDescent="0.2">
      <c r="A1254" s="6" t="s">
        <v>1268</v>
      </c>
      <c r="B1254" s="7">
        <v>6</v>
      </c>
      <c r="C1254" s="7">
        <v>0</v>
      </c>
      <c r="D1254" s="7">
        <v>0</v>
      </c>
      <c r="E1254" s="7">
        <v>0</v>
      </c>
      <c r="F1254" s="8" t="s">
        <v>35</v>
      </c>
      <c r="G1254" s="8" t="s">
        <v>35</v>
      </c>
      <c r="H1254" t="str">
        <f t="shared" si="19"/>
        <v>YES</v>
      </c>
    </row>
    <row r="1255" spans="1:8" x14ac:dyDescent="0.2">
      <c r="A1255" s="6" t="s">
        <v>1269</v>
      </c>
      <c r="B1255" s="7">
        <v>6</v>
      </c>
      <c r="C1255" s="7">
        <v>0</v>
      </c>
      <c r="D1255" s="7">
        <v>0</v>
      </c>
      <c r="E1255" s="7">
        <v>0</v>
      </c>
      <c r="F1255" s="8" t="s">
        <v>35</v>
      </c>
      <c r="G1255" s="8" t="s">
        <v>35</v>
      </c>
      <c r="H1255" t="str">
        <f t="shared" si="19"/>
        <v>YES</v>
      </c>
    </row>
    <row r="1256" spans="1:8" x14ac:dyDescent="0.2">
      <c r="A1256" s="6" t="s">
        <v>1270</v>
      </c>
      <c r="B1256" s="7">
        <v>6</v>
      </c>
      <c r="C1256" s="7">
        <v>0</v>
      </c>
      <c r="D1256" s="7">
        <v>0</v>
      </c>
      <c r="E1256" s="7">
        <v>0</v>
      </c>
      <c r="F1256" s="8" t="s">
        <v>35</v>
      </c>
      <c r="G1256" s="8" t="s">
        <v>35</v>
      </c>
      <c r="H1256" t="str">
        <f t="shared" si="19"/>
        <v>YES</v>
      </c>
    </row>
    <row r="1257" spans="1:8" x14ac:dyDescent="0.2">
      <c r="A1257" s="6" t="s">
        <v>1271</v>
      </c>
      <c r="B1257" s="7">
        <v>6</v>
      </c>
      <c r="C1257" s="7">
        <v>0</v>
      </c>
      <c r="D1257" s="7">
        <v>0</v>
      </c>
      <c r="E1257" s="7">
        <v>0</v>
      </c>
      <c r="F1257" s="8" t="s">
        <v>35</v>
      </c>
      <c r="G1257" s="8" t="s">
        <v>35</v>
      </c>
      <c r="H1257" t="str">
        <f t="shared" si="19"/>
        <v>YES</v>
      </c>
    </row>
    <row r="1258" spans="1:8" x14ac:dyDescent="0.2">
      <c r="A1258" s="6" t="s">
        <v>1272</v>
      </c>
      <c r="B1258" s="7">
        <v>6</v>
      </c>
      <c r="C1258" s="7">
        <v>0</v>
      </c>
      <c r="D1258" s="7">
        <v>0</v>
      </c>
      <c r="E1258" s="7">
        <v>0</v>
      </c>
      <c r="F1258" s="8" t="s">
        <v>35</v>
      </c>
      <c r="G1258" s="8" t="s">
        <v>35</v>
      </c>
      <c r="H1258" t="str">
        <f t="shared" si="19"/>
        <v>YES</v>
      </c>
    </row>
    <row r="1259" spans="1:8" x14ac:dyDescent="0.2">
      <c r="A1259" s="6" t="s">
        <v>1273</v>
      </c>
      <c r="B1259" s="7">
        <v>6</v>
      </c>
      <c r="C1259" s="7">
        <v>0</v>
      </c>
      <c r="D1259" s="7">
        <v>0</v>
      </c>
      <c r="E1259" s="7">
        <v>0</v>
      </c>
      <c r="F1259" s="8" t="s">
        <v>35</v>
      </c>
      <c r="G1259" s="8" t="s">
        <v>35</v>
      </c>
      <c r="H1259" t="str">
        <f t="shared" si="19"/>
        <v>YES</v>
      </c>
    </row>
    <row r="1260" spans="1:8" x14ac:dyDescent="0.2">
      <c r="A1260" s="6" t="s">
        <v>1274</v>
      </c>
      <c r="B1260" s="7">
        <v>6</v>
      </c>
      <c r="C1260" s="7">
        <v>0</v>
      </c>
      <c r="D1260" s="7">
        <v>0</v>
      </c>
      <c r="E1260" s="7">
        <v>0</v>
      </c>
      <c r="F1260" s="8" t="s">
        <v>35</v>
      </c>
      <c r="G1260" s="8" t="s">
        <v>35</v>
      </c>
      <c r="H1260" t="str">
        <f t="shared" si="19"/>
        <v>YES</v>
      </c>
    </row>
    <row r="1261" spans="1:8" x14ac:dyDescent="0.2">
      <c r="A1261" s="6" t="s">
        <v>1275</v>
      </c>
      <c r="B1261" s="7">
        <v>6</v>
      </c>
      <c r="C1261" s="7">
        <v>0</v>
      </c>
      <c r="D1261" s="7">
        <v>0</v>
      </c>
      <c r="E1261" s="7">
        <v>0</v>
      </c>
      <c r="F1261" s="8" t="s">
        <v>35</v>
      </c>
      <c r="G1261" s="8" t="s">
        <v>35</v>
      </c>
      <c r="H1261" t="str">
        <f t="shared" si="19"/>
        <v>YES</v>
      </c>
    </row>
    <row r="1262" spans="1:8" x14ac:dyDescent="0.2">
      <c r="A1262" s="6" t="s">
        <v>1276</v>
      </c>
      <c r="B1262" s="7">
        <v>6</v>
      </c>
      <c r="C1262" s="7">
        <v>0</v>
      </c>
      <c r="D1262" s="7">
        <v>0</v>
      </c>
      <c r="E1262" s="7">
        <v>0</v>
      </c>
      <c r="F1262" s="8" t="s">
        <v>35</v>
      </c>
      <c r="G1262" s="8" t="s">
        <v>35</v>
      </c>
      <c r="H1262" t="str">
        <f t="shared" si="19"/>
        <v>YES</v>
      </c>
    </row>
    <row r="1263" spans="1:8" x14ac:dyDescent="0.2">
      <c r="A1263" s="6" t="s">
        <v>1277</v>
      </c>
      <c r="B1263" s="7">
        <v>6</v>
      </c>
      <c r="C1263" s="7">
        <v>0</v>
      </c>
      <c r="D1263" s="7">
        <v>0</v>
      </c>
      <c r="E1263" s="7">
        <v>0</v>
      </c>
      <c r="F1263" s="8" t="s">
        <v>35</v>
      </c>
      <c r="G1263" s="8" t="s">
        <v>35</v>
      </c>
      <c r="H1263" t="str">
        <f t="shared" si="19"/>
        <v>YES</v>
      </c>
    </row>
    <row r="1264" spans="1:8" x14ac:dyDescent="0.2">
      <c r="A1264" s="6" t="s">
        <v>1278</v>
      </c>
      <c r="B1264" s="7">
        <v>6</v>
      </c>
      <c r="C1264" s="7">
        <v>0</v>
      </c>
      <c r="D1264" s="7">
        <v>0</v>
      </c>
      <c r="E1264" s="7">
        <v>0</v>
      </c>
      <c r="F1264" s="8" t="s">
        <v>35</v>
      </c>
      <c r="G1264" s="8" t="s">
        <v>35</v>
      </c>
      <c r="H1264" t="str">
        <f t="shared" si="19"/>
        <v>YES</v>
      </c>
    </row>
    <row r="1265" spans="1:8" x14ac:dyDescent="0.2">
      <c r="A1265" s="6" t="s">
        <v>1279</v>
      </c>
      <c r="B1265" s="7">
        <v>6</v>
      </c>
      <c r="C1265" s="7">
        <v>0</v>
      </c>
      <c r="D1265" s="7">
        <v>0</v>
      </c>
      <c r="E1265" s="7">
        <v>0</v>
      </c>
      <c r="F1265" s="8" t="s">
        <v>35</v>
      </c>
      <c r="G1265" s="8" t="s">
        <v>35</v>
      </c>
      <c r="H1265" t="str">
        <f t="shared" si="19"/>
        <v>YES</v>
      </c>
    </row>
    <row r="1266" spans="1:8" x14ac:dyDescent="0.2">
      <c r="A1266" s="6" t="s">
        <v>1280</v>
      </c>
      <c r="B1266" s="7">
        <v>6</v>
      </c>
      <c r="C1266" s="7">
        <v>0</v>
      </c>
      <c r="D1266" s="7">
        <v>0</v>
      </c>
      <c r="E1266" s="7">
        <v>0</v>
      </c>
      <c r="F1266" s="8" t="s">
        <v>35</v>
      </c>
      <c r="G1266" s="8" t="s">
        <v>35</v>
      </c>
      <c r="H1266" t="str">
        <f t="shared" si="19"/>
        <v>YES</v>
      </c>
    </row>
    <row r="1267" spans="1:8" x14ac:dyDescent="0.2">
      <c r="A1267" s="6" t="s">
        <v>1281</v>
      </c>
      <c r="B1267" s="7">
        <v>6</v>
      </c>
      <c r="C1267" s="7">
        <v>0</v>
      </c>
      <c r="D1267" s="7">
        <v>0</v>
      </c>
      <c r="E1267" s="7">
        <v>0</v>
      </c>
      <c r="F1267" s="8" t="s">
        <v>35</v>
      </c>
      <c r="G1267" s="8" t="s">
        <v>35</v>
      </c>
      <c r="H1267" t="str">
        <f t="shared" si="19"/>
        <v>YES</v>
      </c>
    </row>
    <row r="1268" spans="1:8" x14ac:dyDescent="0.2">
      <c r="A1268" s="6" t="s">
        <v>1282</v>
      </c>
      <c r="B1268" s="7">
        <v>6</v>
      </c>
      <c r="C1268" s="7">
        <v>0</v>
      </c>
      <c r="D1268" s="7">
        <v>0</v>
      </c>
      <c r="E1268" s="7">
        <v>0</v>
      </c>
      <c r="F1268" s="8" t="s">
        <v>35</v>
      </c>
      <c r="G1268" s="8" t="s">
        <v>35</v>
      </c>
      <c r="H1268" t="str">
        <f t="shared" si="19"/>
        <v>YES</v>
      </c>
    </row>
    <row r="1269" spans="1:8" x14ac:dyDescent="0.2">
      <c r="A1269" s="6" t="s">
        <v>1283</v>
      </c>
      <c r="B1269" s="7">
        <v>6</v>
      </c>
      <c r="C1269" s="7">
        <v>0</v>
      </c>
      <c r="D1269" s="7">
        <v>0</v>
      </c>
      <c r="E1269" s="7">
        <v>0</v>
      </c>
      <c r="F1269" s="8" t="s">
        <v>35</v>
      </c>
      <c r="G1269" s="8" t="s">
        <v>35</v>
      </c>
      <c r="H1269" t="str">
        <f t="shared" si="19"/>
        <v>YES</v>
      </c>
    </row>
    <row r="1270" spans="1:8" x14ac:dyDescent="0.2">
      <c r="A1270" s="6" t="s">
        <v>1284</v>
      </c>
      <c r="B1270" s="7">
        <v>6</v>
      </c>
      <c r="C1270" s="7">
        <v>0</v>
      </c>
      <c r="D1270" s="7">
        <v>0</v>
      </c>
      <c r="E1270" s="7">
        <v>0</v>
      </c>
      <c r="F1270" s="8" t="s">
        <v>35</v>
      </c>
      <c r="G1270" s="8" t="s">
        <v>35</v>
      </c>
      <c r="H1270" t="str">
        <f t="shared" si="19"/>
        <v>YES</v>
      </c>
    </row>
    <row r="1271" spans="1:8" x14ac:dyDescent="0.2">
      <c r="A1271" s="6" t="s">
        <v>1285</v>
      </c>
      <c r="B1271" s="7">
        <v>6</v>
      </c>
      <c r="C1271" s="7">
        <v>0</v>
      </c>
      <c r="D1271" s="7">
        <v>0</v>
      </c>
      <c r="E1271" s="7">
        <v>0</v>
      </c>
      <c r="F1271" s="8" t="s">
        <v>35</v>
      </c>
      <c r="G1271" s="8" t="s">
        <v>35</v>
      </c>
      <c r="H1271" t="str">
        <f t="shared" si="19"/>
        <v>YES</v>
      </c>
    </row>
    <row r="1272" spans="1:8" x14ac:dyDescent="0.2">
      <c r="A1272" s="6" t="s">
        <v>1286</v>
      </c>
      <c r="B1272" s="7">
        <v>6</v>
      </c>
      <c r="C1272" s="7">
        <v>0</v>
      </c>
      <c r="D1272" s="7">
        <v>0</v>
      </c>
      <c r="E1272" s="7">
        <v>0</v>
      </c>
      <c r="F1272" s="8" t="s">
        <v>35</v>
      </c>
      <c r="G1272" s="8" t="s">
        <v>35</v>
      </c>
      <c r="H1272" t="str">
        <f t="shared" si="19"/>
        <v>YES</v>
      </c>
    </row>
    <row r="1273" spans="1:8" x14ac:dyDescent="0.2">
      <c r="A1273" s="6" t="s">
        <v>1287</v>
      </c>
      <c r="B1273" s="7">
        <v>6</v>
      </c>
      <c r="C1273" s="7">
        <v>0</v>
      </c>
      <c r="D1273" s="7">
        <v>0</v>
      </c>
      <c r="E1273" s="7">
        <v>0</v>
      </c>
      <c r="F1273" s="8" t="s">
        <v>35</v>
      </c>
      <c r="G1273" s="8" t="s">
        <v>35</v>
      </c>
      <c r="H1273" t="str">
        <f t="shared" si="19"/>
        <v>YES</v>
      </c>
    </row>
    <row r="1274" spans="1:8" x14ac:dyDescent="0.2">
      <c r="A1274" s="6" t="s">
        <v>1288</v>
      </c>
      <c r="B1274" s="7">
        <v>6</v>
      </c>
      <c r="C1274" s="7">
        <v>0</v>
      </c>
      <c r="D1274" s="7">
        <v>0</v>
      </c>
      <c r="E1274" s="7">
        <v>0</v>
      </c>
      <c r="F1274" s="8" t="s">
        <v>35</v>
      </c>
      <c r="G1274" s="8" t="s">
        <v>35</v>
      </c>
      <c r="H1274" t="str">
        <f t="shared" si="19"/>
        <v>YES</v>
      </c>
    </row>
    <row r="1275" spans="1:8" x14ac:dyDescent="0.2">
      <c r="A1275" s="6" t="s">
        <v>1289</v>
      </c>
      <c r="B1275" s="7">
        <v>6</v>
      </c>
      <c r="C1275" s="7">
        <v>0</v>
      </c>
      <c r="D1275" s="7">
        <v>0</v>
      </c>
      <c r="E1275" s="7">
        <v>0</v>
      </c>
      <c r="F1275" s="8" t="s">
        <v>35</v>
      </c>
      <c r="G1275" s="8" t="s">
        <v>35</v>
      </c>
      <c r="H1275" t="str">
        <f t="shared" si="19"/>
        <v>YES</v>
      </c>
    </row>
    <row r="1276" spans="1:8" x14ac:dyDescent="0.2">
      <c r="A1276" s="6" t="s">
        <v>1290</v>
      </c>
      <c r="B1276" s="7">
        <v>6</v>
      </c>
      <c r="C1276" s="7">
        <v>0</v>
      </c>
      <c r="D1276" s="7">
        <v>0</v>
      </c>
      <c r="E1276" s="7">
        <v>0</v>
      </c>
      <c r="F1276" s="8" t="s">
        <v>35</v>
      </c>
      <c r="G1276" s="8" t="s">
        <v>35</v>
      </c>
      <c r="H1276" t="str">
        <f t="shared" si="19"/>
        <v>YES</v>
      </c>
    </row>
    <row r="1277" spans="1:8" x14ac:dyDescent="0.2">
      <c r="A1277" s="6" t="s">
        <v>1291</v>
      </c>
      <c r="B1277" s="7">
        <v>6</v>
      </c>
      <c r="C1277" s="7">
        <v>0</v>
      </c>
      <c r="D1277" s="7">
        <v>0</v>
      </c>
      <c r="E1277" s="7">
        <v>0</v>
      </c>
      <c r="F1277" s="8" t="s">
        <v>35</v>
      </c>
      <c r="G1277" s="8" t="s">
        <v>35</v>
      </c>
      <c r="H1277" t="str">
        <f t="shared" si="19"/>
        <v>YES</v>
      </c>
    </row>
    <row r="1278" spans="1:8" x14ac:dyDescent="0.2">
      <c r="A1278" s="6" t="s">
        <v>1292</v>
      </c>
      <c r="B1278" s="7">
        <v>6</v>
      </c>
      <c r="C1278" s="7">
        <v>0</v>
      </c>
      <c r="D1278" s="7">
        <v>0</v>
      </c>
      <c r="E1278" s="7">
        <v>0</v>
      </c>
      <c r="F1278" s="8" t="s">
        <v>35</v>
      </c>
      <c r="G1278" s="8" t="s">
        <v>35</v>
      </c>
      <c r="H1278" t="str">
        <f t="shared" si="19"/>
        <v>YES</v>
      </c>
    </row>
    <row r="1279" spans="1:8" x14ac:dyDescent="0.2">
      <c r="A1279" s="6" t="s">
        <v>1293</v>
      </c>
      <c r="B1279" s="7">
        <v>6</v>
      </c>
      <c r="C1279" s="7">
        <v>0</v>
      </c>
      <c r="D1279" s="7">
        <v>0</v>
      </c>
      <c r="E1279" s="7">
        <v>0</v>
      </c>
      <c r="F1279" s="8" t="s">
        <v>35</v>
      </c>
      <c r="G1279" s="8" t="s">
        <v>35</v>
      </c>
      <c r="H1279" t="str">
        <f t="shared" si="19"/>
        <v>YES</v>
      </c>
    </row>
    <row r="1280" spans="1:8" x14ac:dyDescent="0.2">
      <c r="A1280" s="6" t="s">
        <v>1294</v>
      </c>
      <c r="B1280" s="7">
        <v>6</v>
      </c>
      <c r="C1280" s="7">
        <v>0</v>
      </c>
      <c r="D1280" s="7">
        <v>0</v>
      </c>
      <c r="E1280" s="7">
        <v>0</v>
      </c>
      <c r="F1280" s="8" t="s">
        <v>35</v>
      </c>
      <c r="G1280" s="8" t="s">
        <v>35</v>
      </c>
      <c r="H1280" t="str">
        <f t="shared" si="19"/>
        <v>YES</v>
      </c>
    </row>
    <row r="1281" spans="1:8" x14ac:dyDescent="0.2">
      <c r="A1281" s="6" t="s">
        <v>1295</v>
      </c>
      <c r="B1281" s="7">
        <v>6</v>
      </c>
      <c r="C1281" s="7">
        <v>0</v>
      </c>
      <c r="D1281" s="7">
        <v>0</v>
      </c>
      <c r="E1281" s="7">
        <v>0</v>
      </c>
      <c r="F1281" s="8" t="s">
        <v>35</v>
      </c>
      <c r="G1281" s="8" t="s">
        <v>35</v>
      </c>
      <c r="H1281" t="str">
        <f t="shared" si="19"/>
        <v>YES</v>
      </c>
    </row>
    <row r="1282" spans="1:8" x14ac:dyDescent="0.2">
      <c r="A1282" s="6" t="s">
        <v>1296</v>
      </c>
      <c r="B1282" s="7">
        <v>6</v>
      </c>
      <c r="C1282" s="7">
        <v>0</v>
      </c>
      <c r="D1282" s="7">
        <v>0</v>
      </c>
      <c r="E1282" s="7">
        <v>0</v>
      </c>
      <c r="F1282" s="8" t="s">
        <v>35</v>
      </c>
      <c r="G1282" s="8" t="s">
        <v>35</v>
      </c>
      <c r="H1282" t="str">
        <f t="shared" si="19"/>
        <v>YES</v>
      </c>
    </row>
    <row r="1283" spans="1:8" x14ac:dyDescent="0.2">
      <c r="A1283" s="6" t="s">
        <v>1297</v>
      </c>
      <c r="B1283" s="7">
        <v>6</v>
      </c>
      <c r="C1283" s="7">
        <v>0</v>
      </c>
      <c r="D1283" s="7">
        <v>0</v>
      </c>
      <c r="E1283" s="7">
        <v>0</v>
      </c>
      <c r="F1283" s="8" t="s">
        <v>35</v>
      </c>
      <c r="G1283" s="8" t="s">
        <v>35</v>
      </c>
      <c r="H1283" t="str">
        <f t="shared" si="19"/>
        <v>YES</v>
      </c>
    </row>
    <row r="1284" spans="1:8" x14ac:dyDescent="0.2">
      <c r="A1284" s="6" t="s">
        <v>1298</v>
      </c>
      <c r="B1284" s="7">
        <v>6</v>
      </c>
      <c r="C1284" s="7">
        <v>0</v>
      </c>
      <c r="D1284" s="7">
        <v>0</v>
      </c>
      <c r="E1284" s="7">
        <v>0</v>
      </c>
      <c r="F1284" s="8" t="s">
        <v>35</v>
      </c>
      <c r="G1284" s="8" t="s">
        <v>35</v>
      </c>
      <c r="H1284" t="str">
        <f t="shared" si="19"/>
        <v>YES</v>
      </c>
    </row>
    <row r="1285" spans="1:8" x14ac:dyDescent="0.2">
      <c r="A1285" s="6" t="s">
        <v>1299</v>
      </c>
      <c r="B1285" s="7">
        <v>6</v>
      </c>
      <c r="C1285" s="7">
        <v>0</v>
      </c>
      <c r="D1285" s="7">
        <v>0</v>
      </c>
      <c r="E1285" s="7">
        <v>0</v>
      </c>
      <c r="F1285" s="8" t="s">
        <v>35</v>
      </c>
      <c r="G1285" s="8" t="s">
        <v>35</v>
      </c>
      <c r="H1285" t="str">
        <f t="shared" ref="H1285:H1348" si="20">IF(F1285=G1285,"YES","NO")</f>
        <v>YES</v>
      </c>
    </row>
    <row r="1286" spans="1:8" x14ac:dyDescent="0.2">
      <c r="A1286" s="6" t="s">
        <v>1300</v>
      </c>
      <c r="B1286" s="7">
        <v>6</v>
      </c>
      <c r="C1286" s="7">
        <v>0</v>
      </c>
      <c r="D1286" s="7">
        <v>0</v>
      </c>
      <c r="E1286" s="7">
        <v>0</v>
      </c>
      <c r="F1286" s="8" t="s">
        <v>35</v>
      </c>
      <c r="G1286" s="8" t="s">
        <v>35</v>
      </c>
      <c r="H1286" t="str">
        <f t="shared" si="20"/>
        <v>YES</v>
      </c>
    </row>
    <row r="1287" spans="1:8" x14ac:dyDescent="0.2">
      <c r="A1287" s="6" t="s">
        <v>1301</v>
      </c>
      <c r="B1287" s="7">
        <v>6</v>
      </c>
      <c r="C1287" s="7">
        <v>0</v>
      </c>
      <c r="D1287" s="7">
        <v>0</v>
      </c>
      <c r="E1287" s="7">
        <v>0</v>
      </c>
      <c r="F1287" s="8" t="s">
        <v>35</v>
      </c>
      <c r="G1287" s="8" t="s">
        <v>35</v>
      </c>
      <c r="H1287" t="str">
        <f t="shared" si="20"/>
        <v>YES</v>
      </c>
    </row>
    <row r="1288" spans="1:8" x14ac:dyDescent="0.2">
      <c r="A1288" s="6" t="s">
        <v>1302</v>
      </c>
      <c r="B1288" s="7">
        <v>6</v>
      </c>
      <c r="C1288" s="7">
        <v>0</v>
      </c>
      <c r="D1288" s="7">
        <v>0</v>
      </c>
      <c r="E1288" s="7">
        <v>0</v>
      </c>
      <c r="F1288" s="8" t="s">
        <v>35</v>
      </c>
      <c r="G1288" s="8" t="s">
        <v>35</v>
      </c>
      <c r="H1288" t="str">
        <f t="shared" si="20"/>
        <v>YES</v>
      </c>
    </row>
    <row r="1289" spans="1:8" x14ac:dyDescent="0.2">
      <c r="A1289" s="6" t="s">
        <v>1303</v>
      </c>
      <c r="B1289" s="7">
        <v>6</v>
      </c>
      <c r="C1289" s="7">
        <v>0</v>
      </c>
      <c r="D1289" s="7">
        <v>0</v>
      </c>
      <c r="E1289" s="7">
        <v>0</v>
      </c>
      <c r="F1289" s="8" t="s">
        <v>35</v>
      </c>
      <c r="G1289" s="8" t="s">
        <v>35</v>
      </c>
      <c r="H1289" t="str">
        <f t="shared" si="20"/>
        <v>YES</v>
      </c>
    </row>
    <row r="1290" spans="1:8" x14ac:dyDescent="0.2">
      <c r="A1290" s="6" t="s">
        <v>1304</v>
      </c>
      <c r="B1290" s="7">
        <v>6</v>
      </c>
      <c r="C1290" s="7">
        <v>0</v>
      </c>
      <c r="D1290" s="7">
        <v>0</v>
      </c>
      <c r="E1290" s="7">
        <v>0</v>
      </c>
      <c r="F1290" s="8" t="s">
        <v>35</v>
      </c>
      <c r="G1290" s="8" t="s">
        <v>35</v>
      </c>
      <c r="H1290" t="str">
        <f t="shared" si="20"/>
        <v>YES</v>
      </c>
    </row>
    <row r="1291" spans="1:8" x14ac:dyDescent="0.2">
      <c r="A1291" s="6" t="s">
        <v>1305</v>
      </c>
      <c r="B1291" s="7">
        <v>6</v>
      </c>
      <c r="C1291" s="7">
        <v>0</v>
      </c>
      <c r="D1291" s="7">
        <v>0</v>
      </c>
      <c r="E1291" s="7">
        <v>0</v>
      </c>
      <c r="F1291" s="8" t="s">
        <v>35</v>
      </c>
      <c r="G1291" s="8" t="s">
        <v>35</v>
      </c>
      <c r="H1291" t="str">
        <f t="shared" si="20"/>
        <v>YES</v>
      </c>
    </row>
    <row r="1292" spans="1:8" x14ac:dyDescent="0.2">
      <c r="A1292" s="6" t="s">
        <v>1306</v>
      </c>
      <c r="B1292" s="7">
        <v>6</v>
      </c>
      <c r="C1292" s="7">
        <v>0</v>
      </c>
      <c r="D1292" s="7">
        <v>0</v>
      </c>
      <c r="E1292" s="7">
        <v>0</v>
      </c>
      <c r="F1292" s="8" t="s">
        <v>35</v>
      </c>
      <c r="G1292" s="8" t="s">
        <v>35</v>
      </c>
      <c r="H1292" t="str">
        <f t="shared" si="20"/>
        <v>YES</v>
      </c>
    </row>
    <row r="1293" spans="1:8" x14ac:dyDescent="0.2">
      <c r="A1293" s="6" t="s">
        <v>1307</v>
      </c>
      <c r="B1293" s="7">
        <v>6</v>
      </c>
      <c r="C1293" s="7">
        <v>0</v>
      </c>
      <c r="D1293" s="7">
        <v>0</v>
      </c>
      <c r="E1293" s="7">
        <v>0</v>
      </c>
      <c r="F1293" s="8" t="s">
        <v>35</v>
      </c>
      <c r="G1293" s="8" t="s">
        <v>35</v>
      </c>
      <c r="H1293" t="str">
        <f t="shared" si="20"/>
        <v>YES</v>
      </c>
    </row>
    <row r="1294" spans="1:8" x14ac:dyDescent="0.2">
      <c r="A1294" s="6" t="s">
        <v>1308</v>
      </c>
      <c r="B1294" s="7">
        <v>6</v>
      </c>
      <c r="C1294" s="7">
        <v>0</v>
      </c>
      <c r="D1294" s="7">
        <v>0</v>
      </c>
      <c r="E1294" s="7">
        <v>0</v>
      </c>
      <c r="F1294" s="8" t="s">
        <v>35</v>
      </c>
      <c r="G1294" s="8" t="s">
        <v>35</v>
      </c>
      <c r="H1294" t="str">
        <f t="shared" si="20"/>
        <v>YES</v>
      </c>
    </row>
    <row r="1295" spans="1:8" x14ac:dyDescent="0.2">
      <c r="A1295" s="6" t="s">
        <v>1309</v>
      </c>
      <c r="B1295" s="7">
        <v>6</v>
      </c>
      <c r="C1295" s="7">
        <v>0</v>
      </c>
      <c r="D1295" s="7">
        <v>0</v>
      </c>
      <c r="E1295" s="7">
        <v>0</v>
      </c>
      <c r="F1295" s="8" t="s">
        <v>35</v>
      </c>
      <c r="G1295" s="8" t="s">
        <v>35</v>
      </c>
      <c r="H1295" t="str">
        <f t="shared" si="20"/>
        <v>YES</v>
      </c>
    </row>
    <row r="1296" spans="1:8" x14ac:dyDescent="0.2">
      <c r="A1296" s="6" t="s">
        <v>1310</v>
      </c>
      <c r="B1296" s="7">
        <v>6</v>
      </c>
      <c r="C1296" s="7">
        <v>0</v>
      </c>
      <c r="D1296" s="7">
        <v>0</v>
      </c>
      <c r="E1296" s="7">
        <v>0</v>
      </c>
      <c r="F1296" s="8" t="s">
        <v>35</v>
      </c>
      <c r="G1296" s="8" t="s">
        <v>35</v>
      </c>
      <c r="H1296" t="str">
        <f t="shared" si="20"/>
        <v>YES</v>
      </c>
    </row>
    <row r="1297" spans="1:8" x14ac:dyDescent="0.2">
      <c r="A1297" s="6" t="s">
        <v>1311</v>
      </c>
      <c r="B1297" s="7">
        <v>6</v>
      </c>
      <c r="C1297" s="7">
        <v>0</v>
      </c>
      <c r="D1297" s="7">
        <v>0</v>
      </c>
      <c r="E1297" s="7">
        <v>0</v>
      </c>
      <c r="F1297" s="8" t="s">
        <v>35</v>
      </c>
      <c r="G1297" s="8" t="s">
        <v>35</v>
      </c>
      <c r="H1297" t="str">
        <f t="shared" si="20"/>
        <v>YES</v>
      </c>
    </row>
    <row r="1298" spans="1:8" x14ac:dyDescent="0.2">
      <c r="A1298" s="6" t="s">
        <v>1312</v>
      </c>
      <c r="B1298" s="7">
        <v>6</v>
      </c>
      <c r="C1298" s="7">
        <v>0</v>
      </c>
      <c r="D1298" s="7">
        <v>0</v>
      </c>
      <c r="E1298" s="7">
        <v>0</v>
      </c>
      <c r="F1298" s="8" t="s">
        <v>35</v>
      </c>
      <c r="G1298" s="8" t="s">
        <v>35</v>
      </c>
      <c r="H1298" t="str">
        <f t="shared" si="20"/>
        <v>YES</v>
      </c>
    </row>
    <row r="1299" spans="1:8" x14ac:dyDescent="0.2">
      <c r="A1299" s="6" t="s">
        <v>1313</v>
      </c>
      <c r="B1299" s="7">
        <v>6</v>
      </c>
      <c r="C1299" s="7">
        <v>0</v>
      </c>
      <c r="D1299" s="7">
        <v>0</v>
      </c>
      <c r="E1299" s="7">
        <v>0</v>
      </c>
      <c r="F1299" s="8" t="s">
        <v>35</v>
      </c>
      <c r="G1299" s="8" t="s">
        <v>17</v>
      </c>
      <c r="H1299" t="str">
        <f t="shared" si="20"/>
        <v>NO</v>
      </c>
    </row>
    <row r="1300" spans="1:8" x14ac:dyDescent="0.2">
      <c r="A1300" s="6" t="s">
        <v>1314</v>
      </c>
      <c r="B1300" s="7">
        <v>6</v>
      </c>
      <c r="C1300" s="7">
        <v>0</v>
      </c>
      <c r="D1300" s="7">
        <v>0</v>
      </c>
      <c r="E1300" s="7">
        <v>0</v>
      </c>
      <c r="F1300" s="8" t="s">
        <v>35</v>
      </c>
      <c r="G1300" s="8" t="s">
        <v>35</v>
      </c>
      <c r="H1300" t="str">
        <f t="shared" si="20"/>
        <v>YES</v>
      </c>
    </row>
    <row r="1301" spans="1:8" x14ac:dyDescent="0.2">
      <c r="A1301" s="6" t="s">
        <v>1315</v>
      </c>
      <c r="B1301" s="7">
        <v>7</v>
      </c>
      <c r="C1301" s="7">
        <v>0</v>
      </c>
      <c r="D1301" s="7">
        <v>0</v>
      </c>
      <c r="E1301" s="7">
        <v>0</v>
      </c>
      <c r="F1301" s="8" t="s">
        <v>35</v>
      </c>
      <c r="G1301" s="8" t="s">
        <v>35</v>
      </c>
      <c r="H1301" t="str">
        <f t="shared" si="20"/>
        <v>YES</v>
      </c>
    </row>
    <row r="1302" spans="1:8" x14ac:dyDescent="0.2">
      <c r="A1302" s="6" t="s">
        <v>1316</v>
      </c>
      <c r="B1302" s="7">
        <v>7</v>
      </c>
      <c r="C1302" s="7">
        <v>0</v>
      </c>
      <c r="D1302" s="7">
        <v>0</v>
      </c>
      <c r="E1302" s="7">
        <v>0</v>
      </c>
      <c r="F1302" s="8" t="s">
        <v>35</v>
      </c>
      <c r="G1302" s="8" t="s">
        <v>35</v>
      </c>
      <c r="H1302" t="str">
        <f t="shared" si="20"/>
        <v>YES</v>
      </c>
    </row>
    <row r="1303" spans="1:8" x14ac:dyDescent="0.2">
      <c r="A1303" s="6" t="s">
        <v>1317</v>
      </c>
      <c r="B1303" s="7">
        <v>7</v>
      </c>
      <c r="C1303" s="7">
        <v>0</v>
      </c>
      <c r="D1303" s="7">
        <v>0</v>
      </c>
      <c r="E1303" s="7">
        <v>0</v>
      </c>
      <c r="F1303" s="8" t="s">
        <v>35</v>
      </c>
      <c r="G1303" s="8" t="s">
        <v>35</v>
      </c>
      <c r="H1303" t="str">
        <f t="shared" si="20"/>
        <v>YES</v>
      </c>
    </row>
    <row r="1304" spans="1:8" x14ac:dyDescent="0.2">
      <c r="A1304" s="6" t="s">
        <v>1318</v>
      </c>
      <c r="B1304" s="7">
        <v>7</v>
      </c>
      <c r="C1304" s="7">
        <v>0</v>
      </c>
      <c r="D1304" s="7">
        <v>0</v>
      </c>
      <c r="E1304" s="7">
        <v>0</v>
      </c>
      <c r="F1304" s="8" t="s">
        <v>35</v>
      </c>
      <c r="G1304" s="8" t="s">
        <v>35</v>
      </c>
      <c r="H1304" t="str">
        <f t="shared" si="20"/>
        <v>YES</v>
      </c>
    </row>
    <row r="1305" spans="1:8" x14ac:dyDescent="0.2">
      <c r="A1305" s="6" t="s">
        <v>1319</v>
      </c>
      <c r="B1305" s="7">
        <v>7</v>
      </c>
      <c r="C1305" s="7">
        <v>0</v>
      </c>
      <c r="D1305" s="7">
        <v>0</v>
      </c>
      <c r="E1305" s="7">
        <v>0</v>
      </c>
      <c r="F1305" s="8" t="s">
        <v>35</v>
      </c>
      <c r="G1305" s="8" t="s">
        <v>35</v>
      </c>
      <c r="H1305" t="str">
        <f t="shared" si="20"/>
        <v>YES</v>
      </c>
    </row>
    <row r="1306" spans="1:8" x14ac:dyDescent="0.2">
      <c r="A1306" s="6" t="s">
        <v>1320</v>
      </c>
      <c r="B1306" s="7">
        <v>7</v>
      </c>
      <c r="C1306" s="7">
        <v>0</v>
      </c>
      <c r="D1306" s="7">
        <v>0</v>
      </c>
      <c r="E1306" s="7">
        <v>0</v>
      </c>
      <c r="F1306" s="8" t="s">
        <v>35</v>
      </c>
      <c r="G1306" s="8" t="s">
        <v>35</v>
      </c>
      <c r="H1306" t="str">
        <f t="shared" si="20"/>
        <v>YES</v>
      </c>
    </row>
    <row r="1307" spans="1:8" x14ac:dyDescent="0.2">
      <c r="A1307" s="6" t="s">
        <v>1321</v>
      </c>
      <c r="B1307" s="7">
        <v>7</v>
      </c>
      <c r="C1307" s="7">
        <v>0</v>
      </c>
      <c r="D1307" s="7">
        <v>0</v>
      </c>
      <c r="E1307" s="7">
        <v>0</v>
      </c>
      <c r="F1307" s="8" t="s">
        <v>35</v>
      </c>
      <c r="G1307" s="8" t="s">
        <v>35</v>
      </c>
      <c r="H1307" t="str">
        <f t="shared" si="20"/>
        <v>YES</v>
      </c>
    </row>
    <row r="1308" spans="1:8" x14ac:dyDescent="0.2">
      <c r="A1308" s="6" t="s">
        <v>1322</v>
      </c>
      <c r="B1308" s="7">
        <v>7</v>
      </c>
      <c r="C1308" s="7">
        <v>0</v>
      </c>
      <c r="D1308" s="7">
        <v>0</v>
      </c>
      <c r="E1308" s="7">
        <v>0</v>
      </c>
      <c r="F1308" s="8" t="s">
        <v>35</v>
      </c>
      <c r="G1308" s="8" t="s">
        <v>35</v>
      </c>
      <c r="H1308" t="str">
        <f t="shared" si="20"/>
        <v>YES</v>
      </c>
    </row>
    <row r="1309" spans="1:8" x14ac:dyDescent="0.2">
      <c r="A1309" s="6" t="s">
        <v>1323</v>
      </c>
      <c r="B1309" s="7">
        <v>7</v>
      </c>
      <c r="C1309" s="7">
        <v>0</v>
      </c>
      <c r="D1309" s="7">
        <v>0</v>
      </c>
      <c r="E1309" s="7">
        <v>0</v>
      </c>
      <c r="F1309" s="8" t="s">
        <v>35</v>
      </c>
      <c r="G1309" s="8" t="s">
        <v>35</v>
      </c>
      <c r="H1309" t="str">
        <f t="shared" si="20"/>
        <v>YES</v>
      </c>
    </row>
    <row r="1310" spans="1:8" x14ac:dyDescent="0.2">
      <c r="A1310" s="6" t="s">
        <v>1324</v>
      </c>
      <c r="B1310" s="7">
        <v>7</v>
      </c>
      <c r="C1310" s="7">
        <v>0</v>
      </c>
      <c r="D1310" s="7">
        <v>0</v>
      </c>
      <c r="E1310" s="7">
        <v>0</v>
      </c>
      <c r="F1310" s="8" t="s">
        <v>35</v>
      </c>
      <c r="G1310" s="8" t="s">
        <v>35</v>
      </c>
      <c r="H1310" t="str">
        <f t="shared" si="20"/>
        <v>YES</v>
      </c>
    </row>
    <row r="1311" spans="1:8" x14ac:dyDescent="0.2">
      <c r="A1311" s="6" t="s">
        <v>1325</v>
      </c>
      <c r="B1311" s="7">
        <v>7</v>
      </c>
      <c r="C1311" s="7">
        <v>0</v>
      </c>
      <c r="D1311" s="7">
        <v>0</v>
      </c>
      <c r="E1311" s="7">
        <v>0</v>
      </c>
      <c r="F1311" s="8" t="s">
        <v>35</v>
      </c>
      <c r="G1311" s="8" t="s">
        <v>35</v>
      </c>
      <c r="H1311" t="str">
        <f t="shared" si="20"/>
        <v>YES</v>
      </c>
    </row>
    <row r="1312" spans="1:8" x14ac:dyDescent="0.2">
      <c r="A1312" s="6" t="s">
        <v>1326</v>
      </c>
      <c r="B1312" s="7">
        <v>7</v>
      </c>
      <c r="C1312" s="7">
        <v>0</v>
      </c>
      <c r="D1312" s="7">
        <v>0</v>
      </c>
      <c r="E1312" s="7">
        <v>0</v>
      </c>
      <c r="F1312" s="8" t="s">
        <v>35</v>
      </c>
      <c r="G1312" s="8" t="s">
        <v>35</v>
      </c>
      <c r="H1312" t="str">
        <f t="shared" si="20"/>
        <v>YES</v>
      </c>
    </row>
    <row r="1313" spans="1:8" x14ac:dyDescent="0.2">
      <c r="A1313" s="6" t="s">
        <v>1327</v>
      </c>
      <c r="B1313" s="7">
        <v>7</v>
      </c>
      <c r="C1313" s="7">
        <v>0</v>
      </c>
      <c r="D1313" s="7">
        <v>0</v>
      </c>
      <c r="E1313" s="7">
        <v>0</v>
      </c>
      <c r="F1313" s="8" t="s">
        <v>35</v>
      </c>
      <c r="G1313" s="8" t="s">
        <v>35</v>
      </c>
      <c r="H1313" t="str">
        <f t="shared" si="20"/>
        <v>YES</v>
      </c>
    </row>
    <row r="1314" spans="1:8" x14ac:dyDescent="0.2">
      <c r="A1314" s="6" t="s">
        <v>1328</v>
      </c>
      <c r="B1314" s="7">
        <v>7</v>
      </c>
      <c r="C1314" s="7">
        <v>0</v>
      </c>
      <c r="D1314" s="7">
        <v>0</v>
      </c>
      <c r="E1314" s="7">
        <v>0</v>
      </c>
      <c r="F1314" s="8" t="s">
        <v>35</v>
      </c>
      <c r="G1314" s="8" t="s">
        <v>35</v>
      </c>
      <c r="H1314" t="str">
        <f t="shared" si="20"/>
        <v>YES</v>
      </c>
    </row>
    <row r="1315" spans="1:8" x14ac:dyDescent="0.2">
      <c r="A1315" s="6" t="s">
        <v>1329</v>
      </c>
      <c r="B1315" s="7">
        <v>7</v>
      </c>
      <c r="C1315" s="7">
        <v>0</v>
      </c>
      <c r="D1315" s="7">
        <v>0</v>
      </c>
      <c r="E1315" s="7">
        <v>0</v>
      </c>
      <c r="F1315" s="8" t="s">
        <v>35</v>
      </c>
      <c r="G1315" s="8" t="s">
        <v>35</v>
      </c>
      <c r="H1315" t="str">
        <f t="shared" si="20"/>
        <v>YES</v>
      </c>
    </row>
    <row r="1316" spans="1:8" x14ac:dyDescent="0.2">
      <c r="A1316" s="6" t="s">
        <v>1330</v>
      </c>
      <c r="B1316" s="7">
        <v>7</v>
      </c>
      <c r="C1316" s="7">
        <v>0</v>
      </c>
      <c r="D1316" s="7">
        <v>0</v>
      </c>
      <c r="E1316" s="7">
        <v>0</v>
      </c>
      <c r="F1316" s="8" t="s">
        <v>35</v>
      </c>
      <c r="G1316" s="8" t="s">
        <v>35</v>
      </c>
      <c r="H1316" t="str">
        <f t="shared" si="20"/>
        <v>YES</v>
      </c>
    </row>
    <row r="1317" spans="1:8" x14ac:dyDescent="0.2">
      <c r="A1317" s="6" t="s">
        <v>1331</v>
      </c>
      <c r="B1317" s="7">
        <v>7</v>
      </c>
      <c r="C1317" s="7">
        <v>0</v>
      </c>
      <c r="D1317" s="7">
        <v>0</v>
      </c>
      <c r="E1317" s="7">
        <v>0</v>
      </c>
      <c r="F1317" s="8" t="s">
        <v>35</v>
      </c>
      <c r="G1317" s="8" t="s">
        <v>35</v>
      </c>
      <c r="H1317" t="str">
        <f t="shared" si="20"/>
        <v>YES</v>
      </c>
    </row>
    <row r="1318" spans="1:8" x14ac:dyDescent="0.2">
      <c r="A1318" s="6" t="s">
        <v>1332</v>
      </c>
      <c r="B1318" s="7">
        <v>7</v>
      </c>
      <c r="C1318" s="7">
        <v>0</v>
      </c>
      <c r="D1318" s="7">
        <v>0</v>
      </c>
      <c r="E1318" s="7">
        <v>0</v>
      </c>
      <c r="F1318" s="8" t="s">
        <v>35</v>
      </c>
      <c r="G1318" s="8" t="s">
        <v>35</v>
      </c>
      <c r="H1318" t="str">
        <f t="shared" si="20"/>
        <v>YES</v>
      </c>
    </row>
    <row r="1319" spans="1:8" x14ac:dyDescent="0.2">
      <c r="A1319" s="6" t="s">
        <v>1333</v>
      </c>
      <c r="B1319" s="7">
        <v>7</v>
      </c>
      <c r="C1319" s="7">
        <v>0</v>
      </c>
      <c r="D1319" s="7">
        <v>0</v>
      </c>
      <c r="E1319" s="7">
        <v>0</v>
      </c>
      <c r="F1319" s="8" t="s">
        <v>35</v>
      </c>
      <c r="G1319" s="8" t="s">
        <v>35</v>
      </c>
      <c r="H1319" t="str">
        <f t="shared" si="20"/>
        <v>YES</v>
      </c>
    </row>
    <row r="1320" spans="1:8" x14ac:dyDescent="0.2">
      <c r="A1320" s="6" t="s">
        <v>1334</v>
      </c>
      <c r="B1320" s="7">
        <v>7</v>
      </c>
      <c r="C1320" s="7">
        <v>0</v>
      </c>
      <c r="D1320" s="7">
        <v>0</v>
      </c>
      <c r="E1320" s="7">
        <v>0</v>
      </c>
      <c r="F1320" s="8" t="s">
        <v>35</v>
      </c>
      <c r="G1320" s="8" t="s">
        <v>35</v>
      </c>
      <c r="H1320" t="str">
        <f t="shared" si="20"/>
        <v>YES</v>
      </c>
    </row>
    <row r="1321" spans="1:8" x14ac:dyDescent="0.2">
      <c r="A1321" s="6" t="s">
        <v>1335</v>
      </c>
      <c r="B1321" s="7">
        <v>7</v>
      </c>
      <c r="C1321" s="7">
        <v>0</v>
      </c>
      <c r="D1321" s="7">
        <v>0</v>
      </c>
      <c r="E1321" s="7">
        <v>0</v>
      </c>
      <c r="F1321" s="8" t="s">
        <v>35</v>
      </c>
      <c r="G1321" s="8" t="s">
        <v>35</v>
      </c>
      <c r="H1321" t="str">
        <f t="shared" si="20"/>
        <v>YES</v>
      </c>
    </row>
    <row r="1322" spans="1:8" x14ac:dyDescent="0.2">
      <c r="A1322" s="6" t="s">
        <v>1336</v>
      </c>
      <c r="B1322" s="7">
        <v>7</v>
      </c>
      <c r="C1322" s="7">
        <v>0</v>
      </c>
      <c r="D1322" s="7">
        <v>0</v>
      </c>
      <c r="E1322" s="7">
        <v>0</v>
      </c>
      <c r="F1322" s="8" t="s">
        <v>35</v>
      </c>
      <c r="G1322" s="8" t="s">
        <v>35</v>
      </c>
      <c r="H1322" t="str">
        <f t="shared" si="20"/>
        <v>YES</v>
      </c>
    </row>
    <row r="1323" spans="1:8" x14ac:dyDescent="0.2">
      <c r="A1323" s="6" t="s">
        <v>1337</v>
      </c>
      <c r="B1323" s="7">
        <v>7</v>
      </c>
      <c r="C1323" s="7">
        <v>0</v>
      </c>
      <c r="D1323" s="7">
        <v>0</v>
      </c>
      <c r="E1323" s="7">
        <v>0</v>
      </c>
      <c r="F1323" s="8" t="s">
        <v>35</v>
      </c>
      <c r="G1323" s="8" t="s">
        <v>35</v>
      </c>
      <c r="H1323" t="str">
        <f t="shared" si="20"/>
        <v>YES</v>
      </c>
    </row>
    <row r="1324" spans="1:8" x14ac:dyDescent="0.2">
      <c r="A1324" s="6" t="s">
        <v>1338</v>
      </c>
      <c r="B1324" s="7">
        <v>7</v>
      </c>
      <c r="C1324" s="7">
        <v>0</v>
      </c>
      <c r="D1324" s="7">
        <v>0</v>
      </c>
      <c r="E1324" s="7">
        <v>0</v>
      </c>
      <c r="F1324" s="8" t="s">
        <v>35</v>
      </c>
      <c r="G1324" s="8" t="s">
        <v>35</v>
      </c>
      <c r="H1324" t="str">
        <f t="shared" si="20"/>
        <v>YES</v>
      </c>
    </row>
    <row r="1325" spans="1:8" x14ac:dyDescent="0.2">
      <c r="A1325" s="6" t="s">
        <v>1339</v>
      </c>
      <c r="B1325" s="7">
        <v>7</v>
      </c>
      <c r="C1325" s="7">
        <v>0</v>
      </c>
      <c r="D1325" s="7">
        <v>0</v>
      </c>
      <c r="E1325" s="7">
        <v>0</v>
      </c>
      <c r="F1325" s="8" t="s">
        <v>35</v>
      </c>
      <c r="G1325" s="8" t="s">
        <v>35</v>
      </c>
      <c r="H1325" t="str">
        <f t="shared" si="20"/>
        <v>YES</v>
      </c>
    </row>
    <row r="1326" spans="1:8" x14ac:dyDescent="0.2">
      <c r="A1326" s="6" t="s">
        <v>1340</v>
      </c>
      <c r="B1326" s="7">
        <v>7</v>
      </c>
      <c r="C1326" s="7">
        <v>0</v>
      </c>
      <c r="D1326" s="7">
        <v>0</v>
      </c>
      <c r="E1326" s="7">
        <v>0</v>
      </c>
      <c r="F1326" s="8" t="s">
        <v>35</v>
      </c>
      <c r="G1326" s="8" t="s">
        <v>35</v>
      </c>
      <c r="H1326" t="str">
        <f t="shared" si="20"/>
        <v>YES</v>
      </c>
    </row>
    <row r="1327" spans="1:8" x14ac:dyDescent="0.2">
      <c r="A1327" s="6" t="s">
        <v>1341</v>
      </c>
      <c r="B1327" s="7">
        <v>7</v>
      </c>
      <c r="C1327" s="7">
        <v>0</v>
      </c>
      <c r="D1327" s="7">
        <v>0</v>
      </c>
      <c r="E1327" s="7">
        <v>0</v>
      </c>
      <c r="F1327" s="8" t="s">
        <v>35</v>
      </c>
      <c r="G1327" s="8" t="s">
        <v>35</v>
      </c>
      <c r="H1327" t="str">
        <f t="shared" si="20"/>
        <v>YES</v>
      </c>
    </row>
    <row r="1328" spans="1:8" x14ac:dyDescent="0.2">
      <c r="A1328" s="6" t="s">
        <v>1342</v>
      </c>
      <c r="B1328" s="7">
        <v>7</v>
      </c>
      <c r="C1328" s="7">
        <v>0</v>
      </c>
      <c r="D1328" s="7">
        <v>0</v>
      </c>
      <c r="E1328" s="7">
        <v>0</v>
      </c>
      <c r="F1328" s="8" t="s">
        <v>35</v>
      </c>
      <c r="G1328" s="8" t="s">
        <v>35</v>
      </c>
      <c r="H1328" t="str">
        <f t="shared" si="20"/>
        <v>YES</v>
      </c>
    </row>
    <row r="1329" spans="1:8" x14ac:dyDescent="0.2">
      <c r="A1329" s="6" t="s">
        <v>1343</v>
      </c>
      <c r="B1329" s="7">
        <v>7</v>
      </c>
      <c r="C1329" s="7">
        <v>0</v>
      </c>
      <c r="D1329" s="7">
        <v>0</v>
      </c>
      <c r="E1329" s="7">
        <v>0</v>
      </c>
      <c r="F1329" s="8" t="s">
        <v>35</v>
      </c>
      <c r="G1329" s="8" t="s">
        <v>35</v>
      </c>
      <c r="H1329" t="str">
        <f t="shared" si="20"/>
        <v>YES</v>
      </c>
    </row>
    <row r="1330" spans="1:8" x14ac:dyDescent="0.2">
      <c r="A1330" s="6" t="s">
        <v>1344</v>
      </c>
      <c r="B1330" s="7">
        <v>7</v>
      </c>
      <c r="C1330" s="7">
        <v>0</v>
      </c>
      <c r="D1330" s="7">
        <v>0</v>
      </c>
      <c r="E1330" s="7">
        <v>0</v>
      </c>
      <c r="F1330" s="8" t="s">
        <v>35</v>
      </c>
      <c r="G1330" s="8" t="s">
        <v>35</v>
      </c>
      <c r="H1330" t="str">
        <f t="shared" si="20"/>
        <v>YES</v>
      </c>
    </row>
    <row r="1331" spans="1:8" x14ac:dyDescent="0.2">
      <c r="A1331" s="6" t="s">
        <v>1345</v>
      </c>
      <c r="B1331" s="7">
        <v>7</v>
      </c>
      <c r="C1331" s="7">
        <v>0</v>
      </c>
      <c r="D1331" s="7">
        <v>0</v>
      </c>
      <c r="E1331" s="7">
        <v>0</v>
      </c>
      <c r="F1331" s="8" t="s">
        <v>35</v>
      </c>
      <c r="G1331" s="8" t="s">
        <v>35</v>
      </c>
      <c r="H1331" t="str">
        <f t="shared" si="20"/>
        <v>YES</v>
      </c>
    </row>
    <row r="1332" spans="1:8" x14ac:dyDescent="0.2">
      <c r="A1332" s="6" t="s">
        <v>1346</v>
      </c>
      <c r="B1332" s="7">
        <v>7</v>
      </c>
      <c r="C1332" s="7">
        <v>0</v>
      </c>
      <c r="D1332" s="7">
        <v>0</v>
      </c>
      <c r="E1332" s="7">
        <v>0</v>
      </c>
      <c r="F1332" s="8" t="s">
        <v>35</v>
      </c>
      <c r="G1332" s="8" t="s">
        <v>35</v>
      </c>
      <c r="H1332" t="str">
        <f t="shared" si="20"/>
        <v>YES</v>
      </c>
    </row>
    <row r="1333" spans="1:8" x14ac:dyDescent="0.2">
      <c r="A1333" s="6" t="s">
        <v>1347</v>
      </c>
      <c r="B1333" s="7">
        <v>7</v>
      </c>
      <c r="C1333" s="7">
        <v>0</v>
      </c>
      <c r="D1333" s="7">
        <v>0</v>
      </c>
      <c r="E1333" s="7">
        <v>0</v>
      </c>
      <c r="F1333" s="8" t="s">
        <v>35</v>
      </c>
      <c r="G1333" s="8" t="s">
        <v>35</v>
      </c>
      <c r="H1333" t="str">
        <f t="shared" si="20"/>
        <v>YES</v>
      </c>
    </row>
    <row r="1334" spans="1:8" x14ac:dyDescent="0.2">
      <c r="A1334" s="6" t="s">
        <v>1348</v>
      </c>
      <c r="B1334" s="7">
        <v>7</v>
      </c>
      <c r="C1334" s="7">
        <v>0</v>
      </c>
      <c r="D1334" s="7">
        <v>0</v>
      </c>
      <c r="E1334" s="7">
        <v>0</v>
      </c>
      <c r="F1334" s="8" t="s">
        <v>35</v>
      </c>
      <c r="G1334" s="8" t="s">
        <v>35</v>
      </c>
      <c r="H1334" t="str">
        <f t="shared" si="20"/>
        <v>YES</v>
      </c>
    </row>
    <row r="1335" spans="1:8" x14ac:dyDescent="0.2">
      <c r="A1335" s="6" t="s">
        <v>1349</v>
      </c>
      <c r="B1335" s="7">
        <v>7</v>
      </c>
      <c r="C1335" s="7">
        <v>0</v>
      </c>
      <c r="D1335" s="7">
        <v>0</v>
      </c>
      <c r="E1335" s="7">
        <v>0</v>
      </c>
      <c r="F1335" s="8" t="s">
        <v>35</v>
      </c>
      <c r="G1335" s="8" t="s">
        <v>35</v>
      </c>
      <c r="H1335" t="str">
        <f t="shared" si="20"/>
        <v>YES</v>
      </c>
    </row>
    <row r="1336" spans="1:8" x14ac:dyDescent="0.2">
      <c r="A1336" s="6" t="s">
        <v>1350</v>
      </c>
      <c r="B1336" s="7">
        <v>7</v>
      </c>
      <c r="C1336" s="7">
        <v>0</v>
      </c>
      <c r="D1336" s="7">
        <v>0</v>
      </c>
      <c r="E1336" s="7">
        <v>0</v>
      </c>
      <c r="F1336" s="8" t="s">
        <v>35</v>
      </c>
      <c r="G1336" s="8" t="s">
        <v>35</v>
      </c>
      <c r="H1336" t="str">
        <f t="shared" si="20"/>
        <v>YES</v>
      </c>
    </row>
    <row r="1337" spans="1:8" x14ac:dyDescent="0.2">
      <c r="A1337" s="6" t="s">
        <v>1351</v>
      </c>
      <c r="B1337" s="7">
        <v>7</v>
      </c>
      <c r="C1337" s="7">
        <v>0</v>
      </c>
      <c r="D1337" s="7">
        <v>0</v>
      </c>
      <c r="E1337" s="7">
        <v>0</v>
      </c>
      <c r="F1337" s="8" t="s">
        <v>35</v>
      </c>
      <c r="G1337" s="8" t="s">
        <v>35</v>
      </c>
      <c r="H1337" t="str">
        <f t="shared" si="20"/>
        <v>YES</v>
      </c>
    </row>
    <row r="1338" spans="1:8" x14ac:dyDescent="0.2">
      <c r="A1338" s="6" t="s">
        <v>1352</v>
      </c>
      <c r="B1338" s="7">
        <v>7</v>
      </c>
      <c r="C1338" s="7">
        <v>0</v>
      </c>
      <c r="D1338" s="7">
        <v>0</v>
      </c>
      <c r="E1338" s="7">
        <v>0</v>
      </c>
      <c r="F1338" s="8" t="s">
        <v>35</v>
      </c>
      <c r="G1338" s="8" t="s">
        <v>35</v>
      </c>
      <c r="H1338" t="str">
        <f t="shared" si="20"/>
        <v>YES</v>
      </c>
    </row>
    <row r="1339" spans="1:8" x14ac:dyDescent="0.2">
      <c r="A1339" s="6" t="s">
        <v>1353</v>
      </c>
      <c r="B1339" s="7">
        <v>7</v>
      </c>
      <c r="C1339" s="7">
        <v>0</v>
      </c>
      <c r="D1339" s="7">
        <v>0</v>
      </c>
      <c r="E1339" s="7">
        <v>0</v>
      </c>
      <c r="F1339" s="8" t="s">
        <v>35</v>
      </c>
      <c r="G1339" s="8" t="s">
        <v>35</v>
      </c>
      <c r="H1339" t="str">
        <f t="shared" si="20"/>
        <v>YES</v>
      </c>
    </row>
    <row r="1340" spans="1:8" x14ac:dyDescent="0.2">
      <c r="A1340" s="6" t="s">
        <v>1354</v>
      </c>
      <c r="B1340" s="7">
        <v>7</v>
      </c>
      <c r="C1340" s="7">
        <v>0</v>
      </c>
      <c r="D1340" s="7">
        <v>0</v>
      </c>
      <c r="E1340" s="7">
        <v>0</v>
      </c>
      <c r="F1340" s="8" t="s">
        <v>35</v>
      </c>
      <c r="G1340" s="8" t="s">
        <v>35</v>
      </c>
      <c r="H1340" t="str">
        <f t="shared" si="20"/>
        <v>YES</v>
      </c>
    </row>
    <row r="1341" spans="1:8" x14ac:dyDescent="0.2">
      <c r="A1341" s="6" t="s">
        <v>1355</v>
      </c>
      <c r="B1341" s="7">
        <v>7</v>
      </c>
      <c r="C1341" s="7">
        <v>0</v>
      </c>
      <c r="D1341" s="7">
        <v>0</v>
      </c>
      <c r="E1341" s="7">
        <v>0</v>
      </c>
      <c r="F1341" s="8" t="s">
        <v>35</v>
      </c>
      <c r="G1341" s="8" t="s">
        <v>35</v>
      </c>
      <c r="H1341" t="str">
        <f t="shared" si="20"/>
        <v>YES</v>
      </c>
    </row>
    <row r="1342" spans="1:8" x14ac:dyDescent="0.2">
      <c r="A1342" s="6" t="s">
        <v>1356</v>
      </c>
      <c r="B1342" s="7">
        <v>8</v>
      </c>
      <c r="C1342" s="7">
        <v>0</v>
      </c>
      <c r="D1342" s="7">
        <v>0</v>
      </c>
      <c r="E1342" s="7">
        <v>0</v>
      </c>
      <c r="F1342" s="8" t="s">
        <v>35</v>
      </c>
      <c r="G1342" s="8" t="s">
        <v>35</v>
      </c>
      <c r="H1342" t="str">
        <f t="shared" si="20"/>
        <v>YES</v>
      </c>
    </row>
    <row r="1343" spans="1:8" x14ac:dyDescent="0.2">
      <c r="A1343" s="6" t="s">
        <v>1357</v>
      </c>
      <c r="B1343" s="7">
        <v>8</v>
      </c>
      <c r="C1343" s="7">
        <v>0</v>
      </c>
      <c r="D1343" s="7">
        <v>0</v>
      </c>
      <c r="E1343" s="7">
        <v>0</v>
      </c>
      <c r="F1343" s="8" t="s">
        <v>35</v>
      </c>
      <c r="G1343" s="8" t="s">
        <v>35</v>
      </c>
      <c r="H1343" t="str">
        <f t="shared" si="20"/>
        <v>YES</v>
      </c>
    </row>
    <row r="1344" spans="1:8" x14ac:dyDescent="0.2">
      <c r="A1344" s="6" t="s">
        <v>1358</v>
      </c>
      <c r="B1344" s="7">
        <v>8</v>
      </c>
      <c r="C1344" s="7">
        <v>0</v>
      </c>
      <c r="D1344" s="7">
        <v>0</v>
      </c>
      <c r="E1344" s="7">
        <v>0</v>
      </c>
      <c r="F1344" s="8" t="s">
        <v>35</v>
      </c>
      <c r="G1344" s="8" t="s">
        <v>35</v>
      </c>
      <c r="H1344" t="str">
        <f t="shared" si="20"/>
        <v>YES</v>
      </c>
    </row>
    <row r="1345" spans="1:8" x14ac:dyDescent="0.2">
      <c r="A1345" s="6" t="s">
        <v>1359</v>
      </c>
      <c r="B1345" s="7">
        <v>8</v>
      </c>
      <c r="C1345" s="7">
        <v>0</v>
      </c>
      <c r="D1345" s="7">
        <v>0</v>
      </c>
      <c r="E1345" s="7">
        <v>0</v>
      </c>
      <c r="F1345" s="8" t="s">
        <v>35</v>
      </c>
      <c r="G1345" s="8" t="s">
        <v>35</v>
      </c>
      <c r="H1345" t="str">
        <f t="shared" si="20"/>
        <v>YES</v>
      </c>
    </row>
    <row r="1346" spans="1:8" x14ac:dyDescent="0.2">
      <c r="A1346" s="6" t="s">
        <v>1360</v>
      </c>
      <c r="B1346" s="7">
        <v>8</v>
      </c>
      <c r="C1346" s="7">
        <v>0</v>
      </c>
      <c r="D1346" s="7">
        <v>0</v>
      </c>
      <c r="E1346" s="7">
        <v>0</v>
      </c>
      <c r="F1346" s="8" t="s">
        <v>35</v>
      </c>
      <c r="G1346" s="8" t="s">
        <v>35</v>
      </c>
      <c r="H1346" t="str">
        <f t="shared" si="20"/>
        <v>YES</v>
      </c>
    </row>
    <row r="1347" spans="1:8" x14ac:dyDescent="0.2">
      <c r="A1347" s="6" t="s">
        <v>1361</v>
      </c>
      <c r="B1347" s="7">
        <v>8</v>
      </c>
      <c r="C1347" s="7">
        <v>0</v>
      </c>
      <c r="D1347" s="7">
        <v>0</v>
      </c>
      <c r="E1347" s="7">
        <v>0</v>
      </c>
      <c r="F1347" s="8" t="s">
        <v>35</v>
      </c>
      <c r="G1347" s="8" t="s">
        <v>35</v>
      </c>
      <c r="H1347" t="str">
        <f t="shared" si="20"/>
        <v>YES</v>
      </c>
    </row>
    <row r="1348" spans="1:8" x14ac:dyDescent="0.2">
      <c r="A1348" s="6" t="s">
        <v>1362</v>
      </c>
      <c r="B1348" s="7">
        <v>8</v>
      </c>
      <c r="C1348" s="7">
        <v>0</v>
      </c>
      <c r="D1348" s="7">
        <v>0</v>
      </c>
      <c r="E1348" s="7">
        <v>0</v>
      </c>
      <c r="F1348" s="8" t="s">
        <v>35</v>
      </c>
      <c r="G1348" s="8" t="s">
        <v>35</v>
      </c>
      <c r="H1348" t="str">
        <f t="shared" si="20"/>
        <v>YES</v>
      </c>
    </row>
    <row r="1349" spans="1:8" x14ac:dyDescent="0.2">
      <c r="A1349" s="6" t="s">
        <v>1363</v>
      </c>
      <c r="B1349" s="7">
        <v>8</v>
      </c>
      <c r="C1349" s="7">
        <v>0</v>
      </c>
      <c r="D1349" s="7">
        <v>0</v>
      </c>
      <c r="E1349" s="7">
        <v>0</v>
      </c>
      <c r="F1349" s="8" t="s">
        <v>35</v>
      </c>
      <c r="G1349" s="8" t="s">
        <v>35</v>
      </c>
      <c r="H1349" t="str">
        <f t="shared" ref="H1349:H1412" si="21">IF(F1349=G1349,"YES","NO")</f>
        <v>YES</v>
      </c>
    </row>
    <row r="1350" spans="1:8" x14ac:dyDescent="0.2">
      <c r="A1350" s="6" t="s">
        <v>1364</v>
      </c>
      <c r="B1350" s="7">
        <v>8</v>
      </c>
      <c r="C1350" s="7">
        <v>0</v>
      </c>
      <c r="D1350" s="7">
        <v>0</v>
      </c>
      <c r="E1350" s="7">
        <v>0</v>
      </c>
      <c r="F1350" s="8" t="s">
        <v>35</v>
      </c>
      <c r="G1350" s="8" t="s">
        <v>35</v>
      </c>
      <c r="H1350" t="str">
        <f t="shared" si="21"/>
        <v>YES</v>
      </c>
    </row>
    <row r="1351" spans="1:8" x14ac:dyDescent="0.2">
      <c r="A1351" s="6" t="s">
        <v>1365</v>
      </c>
      <c r="B1351" s="7">
        <v>8</v>
      </c>
      <c r="C1351" s="7">
        <v>0</v>
      </c>
      <c r="D1351" s="7">
        <v>0</v>
      </c>
      <c r="E1351" s="7">
        <v>0</v>
      </c>
      <c r="F1351" s="8" t="s">
        <v>35</v>
      </c>
      <c r="G1351" s="8" t="s">
        <v>35</v>
      </c>
      <c r="H1351" t="str">
        <f t="shared" si="21"/>
        <v>YES</v>
      </c>
    </row>
    <row r="1352" spans="1:8" x14ac:dyDescent="0.2">
      <c r="A1352" s="6" t="s">
        <v>1366</v>
      </c>
      <c r="B1352" s="7">
        <v>8</v>
      </c>
      <c r="C1352" s="7">
        <v>0</v>
      </c>
      <c r="D1352" s="7">
        <v>0</v>
      </c>
      <c r="E1352" s="7">
        <v>0</v>
      </c>
      <c r="F1352" s="8" t="s">
        <v>35</v>
      </c>
      <c r="G1352" s="8" t="s">
        <v>35</v>
      </c>
      <c r="H1352" t="str">
        <f t="shared" si="21"/>
        <v>YES</v>
      </c>
    </row>
    <row r="1353" spans="1:8" x14ac:dyDescent="0.2">
      <c r="A1353" s="6" t="s">
        <v>1367</v>
      </c>
      <c r="B1353" s="7">
        <v>8</v>
      </c>
      <c r="C1353" s="7">
        <v>0</v>
      </c>
      <c r="D1353" s="7">
        <v>0</v>
      </c>
      <c r="E1353" s="7">
        <v>0</v>
      </c>
      <c r="F1353" s="8" t="s">
        <v>35</v>
      </c>
      <c r="G1353" s="8" t="s">
        <v>35</v>
      </c>
      <c r="H1353" t="str">
        <f t="shared" si="21"/>
        <v>YES</v>
      </c>
    </row>
    <row r="1354" spans="1:8" x14ac:dyDescent="0.2">
      <c r="A1354" s="6" t="s">
        <v>1368</v>
      </c>
      <c r="B1354" s="7">
        <v>8</v>
      </c>
      <c r="C1354" s="7">
        <v>0</v>
      </c>
      <c r="D1354" s="7">
        <v>0</v>
      </c>
      <c r="E1354" s="7">
        <v>0</v>
      </c>
      <c r="F1354" s="8" t="s">
        <v>35</v>
      </c>
      <c r="G1354" s="8" t="s">
        <v>35</v>
      </c>
      <c r="H1354" t="str">
        <f t="shared" si="21"/>
        <v>YES</v>
      </c>
    </row>
    <row r="1355" spans="1:8" x14ac:dyDescent="0.2">
      <c r="A1355" s="6" t="s">
        <v>1369</v>
      </c>
      <c r="B1355" s="7">
        <v>8</v>
      </c>
      <c r="C1355" s="7">
        <v>0</v>
      </c>
      <c r="D1355" s="7">
        <v>0</v>
      </c>
      <c r="E1355" s="7">
        <v>0</v>
      </c>
      <c r="F1355" s="8" t="s">
        <v>35</v>
      </c>
      <c r="G1355" s="8" t="s">
        <v>35</v>
      </c>
      <c r="H1355" t="str">
        <f t="shared" si="21"/>
        <v>YES</v>
      </c>
    </row>
    <row r="1356" spans="1:8" x14ac:dyDescent="0.2">
      <c r="A1356" s="6" t="s">
        <v>1370</v>
      </c>
      <c r="B1356" s="7">
        <v>8</v>
      </c>
      <c r="C1356" s="7">
        <v>0</v>
      </c>
      <c r="D1356" s="7">
        <v>0</v>
      </c>
      <c r="E1356" s="7">
        <v>0</v>
      </c>
      <c r="F1356" s="8" t="s">
        <v>35</v>
      </c>
      <c r="G1356" s="8" t="s">
        <v>35</v>
      </c>
      <c r="H1356" t="str">
        <f t="shared" si="21"/>
        <v>YES</v>
      </c>
    </row>
    <row r="1357" spans="1:8" x14ac:dyDescent="0.2">
      <c r="A1357" s="6" t="s">
        <v>1371</v>
      </c>
      <c r="B1357" s="7">
        <v>8</v>
      </c>
      <c r="C1357" s="7">
        <v>0</v>
      </c>
      <c r="D1357" s="7">
        <v>0</v>
      </c>
      <c r="E1357" s="7">
        <v>0</v>
      </c>
      <c r="F1357" s="8" t="s">
        <v>35</v>
      </c>
      <c r="G1357" s="8" t="s">
        <v>35</v>
      </c>
      <c r="H1357" t="str">
        <f t="shared" si="21"/>
        <v>YES</v>
      </c>
    </row>
    <row r="1358" spans="1:8" x14ac:dyDescent="0.2">
      <c r="A1358" s="6" t="s">
        <v>1372</v>
      </c>
      <c r="B1358" s="7">
        <v>8</v>
      </c>
      <c r="C1358" s="7">
        <v>0</v>
      </c>
      <c r="D1358" s="7">
        <v>0</v>
      </c>
      <c r="E1358" s="7">
        <v>0</v>
      </c>
      <c r="F1358" s="8" t="s">
        <v>35</v>
      </c>
      <c r="G1358" s="8" t="s">
        <v>35</v>
      </c>
      <c r="H1358" t="str">
        <f t="shared" si="21"/>
        <v>YES</v>
      </c>
    </row>
    <row r="1359" spans="1:8" x14ac:dyDescent="0.2">
      <c r="A1359" s="6" t="s">
        <v>1373</v>
      </c>
      <c r="B1359" s="7">
        <v>8</v>
      </c>
      <c r="C1359" s="7">
        <v>0</v>
      </c>
      <c r="D1359" s="7">
        <v>0</v>
      </c>
      <c r="E1359" s="7">
        <v>0</v>
      </c>
      <c r="F1359" s="8" t="s">
        <v>35</v>
      </c>
      <c r="G1359" s="8" t="s">
        <v>35</v>
      </c>
      <c r="H1359" t="str">
        <f t="shared" si="21"/>
        <v>YES</v>
      </c>
    </row>
    <row r="1360" spans="1:8" x14ac:dyDescent="0.2">
      <c r="A1360" s="6" t="s">
        <v>1374</v>
      </c>
      <c r="B1360" s="7">
        <v>8</v>
      </c>
      <c r="C1360" s="7">
        <v>0</v>
      </c>
      <c r="D1360" s="7">
        <v>0</v>
      </c>
      <c r="E1360" s="7">
        <v>0</v>
      </c>
      <c r="F1360" s="8" t="s">
        <v>35</v>
      </c>
      <c r="G1360" s="8" t="s">
        <v>35</v>
      </c>
      <c r="H1360" t="str">
        <f t="shared" si="21"/>
        <v>YES</v>
      </c>
    </row>
    <row r="1361" spans="1:8" x14ac:dyDescent="0.2">
      <c r="A1361" s="6" t="s">
        <v>1375</v>
      </c>
      <c r="B1361" s="7">
        <v>8</v>
      </c>
      <c r="C1361" s="7">
        <v>0</v>
      </c>
      <c r="D1361" s="7">
        <v>0</v>
      </c>
      <c r="E1361" s="7">
        <v>0</v>
      </c>
      <c r="F1361" s="8" t="s">
        <v>35</v>
      </c>
      <c r="G1361" s="8" t="s">
        <v>35</v>
      </c>
      <c r="H1361" t="str">
        <f t="shared" si="21"/>
        <v>YES</v>
      </c>
    </row>
    <row r="1362" spans="1:8" x14ac:dyDescent="0.2">
      <c r="A1362" s="6" t="s">
        <v>1376</v>
      </c>
      <c r="B1362" s="7">
        <v>8</v>
      </c>
      <c r="C1362" s="7">
        <v>0</v>
      </c>
      <c r="D1362" s="7">
        <v>0</v>
      </c>
      <c r="E1362" s="7">
        <v>0</v>
      </c>
      <c r="F1362" s="8" t="s">
        <v>35</v>
      </c>
      <c r="G1362" s="8" t="s">
        <v>35</v>
      </c>
      <c r="H1362" t="str">
        <f t="shared" si="21"/>
        <v>YES</v>
      </c>
    </row>
    <row r="1363" spans="1:8" x14ac:dyDescent="0.2">
      <c r="A1363" s="6" t="s">
        <v>1377</v>
      </c>
      <c r="B1363" s="7">
        <v>8</v>
      </c>
      <c r="C1363" s="7">
        <v>0</v>
      </c>
      <c r="D1363" s="7">
        <v>0</v>
      </c>
      <c r="E1363" s="7">
        <v>0</v>
      </c>
      <c r="F1363" s="8" t="s">
        <v>35</v>
      </c>
      <c r="G1363" s="8" t="s">
        <v>35</v>
      </c>
      <c r="H1363" t="str">
        <f t="shared" si="21"/>
        <v>YES</v>
      </c>
    </row>
    <row r="1364" spans="1:8" x14ac:dyDescent="0.2">
      <c r="A1364" s="6" t="s">
        <v>1378</v>
      </c>
      <c r="B1364" s="7">
        <v>8</v>
      </c>
      <c r="C1364" s="7">
        <v>0</v>
      </c>
      <c r="D1364" s="7">
        <v>0</v>
      </c>
      <c r="E1364" s="7">
        <v>0</v>
      </c>
      <c r="F1364" s="8" t="s">
        <v>35</v>
      </c>
      <c r="G1364" s="8" t="s">
        <v>35</v>
      </c>
      <c r="H1364" t="str">
        <f t="shared" si="21"/>
        <v>YES</v>
      </c>
    </row>
    <row r="1365" spans="1:8" x14ac:dyDescent="0.2">
      <c r="A1365" s="6" t="s">
        <v>1379</v>
      </c>
      <c r="B1365" s="7">
        <v>8</v>
      </c>
      <c r="C1365" s="7">
        <v>0</v>
      </c>
      <c r="D1365" s="7">
        <v>0</v>
      </c>
      <c r="E1365" s="7">
        <v>0</v>
      </c>
      <c r="F1365" s="8" t="s">
        <v>35</v>
      </c>
      <c r="G1365" s="8" t="s">
        <v>35</v>
      </c>
      <c r="H1365" t="str">
        <f t="shared" si="21"/>
        <v>YES</v>
      </c>
    </row>
    <row r="1366" spans="1:8" x14ac:dyDescent="0.2">
      <c r="A1366" s="6" t="s">
        <v>1380</v>
      </c>
      <c r="B1366" s="7">
        <v>8</v>
      </c>
      <c r="C1366" s="7">
        <v>0</v>
      </c>
      <c r="D1366" s="7">
        <v>0</v>
      </c>
      <c r="E1366" s="7">
        <v>0</v>
      </c>
      <c r="F1366" s="8" t="s">
        <v>35</v>
      </c>
      <c r="G1366" s="8" t="s">
        <v>35</v>
      </c>
      <c r="H1366" t="str">
        <f t="shared" si="21"/>
        <v>YES</v>
      </c>
    </row>
    <row r="1367" spans="1:8" x14ac:dyDescent="0.2">
      <c r="A1367" s="6" t="s">
        <v>1381</v>
      </c>
      <c r="B1367" s="7">
        <v>8</v>
      </c>
      <c r="C1367" s="7">
        <v>0</v>
      </c>
      <c r="D1367" s="7">
        <v>0</v>
      </c>
      <c r="E1367" s="7">
        <v>0</v>
      </c>
      <c r="F1367" s="8" t="s">
        <v>35</v>
      </c>
      <c r="G1367" s="8" t="s">
        <v>35</v>
      </c>
      <c r="H1367" t="str">
        <f t="shared" si="21"/>
        <v>YES</v>
      </c>
    </row>
    <row r="1368" spans="1:8" x14ac:dyDescent="0.2">
      <c r="A1368" s="6" t="s">
        <v>1382</v>
      </c>
      <c r="B1368" s="7">
        <v>8</v>
      </c>
      <c r="C1368" s="7">
        <v>0</v>
      </c>
      <c r="D1368" s="7">
        <v>0</v>
      </c>
      <c r="E1368" s="7">
        <v>0</v>
      </c>
      <c r="F1368" s="8" t="s">
        <v>35</v>
      </c>
      <c r="G1368" s="8" t="s">
        <v>35</v>
      </c>
      <c r="H1368" t="str">
        <f t="shared" si="21"/>
        <v>YES</v>
      </c>
    </row>
    <row r="1369" spans="1:8" x14ac:dyDescent="0.2">
      <c r="A1369" s="6" t="s">
        <v>1383</v>
      </c>
      <c r="B1369" s="7">
        <v>8</v>
      </c>
      <c r="C1369" s="7">
        <v>0</v>
      </c>
      <c r="D1369" s="7">
        <v>0</v>
      </c>
      <c r="E1369" s="7">
        <v>0</v>
      </c>
      <c r="F1369" s="8" t="s">
        <v>35</v>
      </c>
      <c r="G1369" s="8" t="s">
        <v>35</v>
      </c>
      <c r="H1369" t="str">
        <f t="shared" si="21"/>
        <v>YES</v>
      </c>
    </row>
    <row r="1370" spans="1:8" x14ac:dyDescent="0.2">
      <c r="A1370" s="6" t="s">
        <v>1384</v>
      </c>
      <c r="B1370" s="7">
        <v>8</v>
      </c>
      <c r="C1370" s="7">
        <v>0</v>
      </c>
      <c r="D1370" s="7">
        <v>0</v>
      </c>
      <c r="E1370" s="7">
        <v>0</v>
      </c>
      <c r="F1370" s="8" t="s">
        <v>35</v>
      </c>
      <c r="G1370" s="8" t="s">
        <v>35</v>
      </c>
      <c r="H1370" t="str">
        <f t="shared" si="21"/>
        <v>YES</v>
      </c>
    </row>
    <row r="1371" spans="1:8" x14ac:dyDescent="0.2">
      <c r="A1371" s="6" t="s">
        <v>1385</v>
      </c>
      <c r="B1371" s="7">
        <v>8</v>
      </c>
      <c r="C1371" s="7">
        <v>0</v>
      </c>
      <c r="D1371" s="7">
        <v>0</v>
      </c>
      <c r="E1371" s="7">
        <v>0</v>
      </c>
      <c r="F1371" s="8" t="s">
        <v>35</v>
      </c>
      <c r="G1371" s="8" t="s">
        <v>35</v>
      </c>
      <c r="H1371" t="str">
        <f t="shared" si="21"/>
        <v>YES</v>
      </c>
    </row>
    <row r="1372" spans="1:8" x14ac:dyDescent="0.2">
      <c r="A1372" s="6" t="s">
        <v>1386</v>
      </c>
      <c r="B1372" s="7">
        <v>8</v>
      </c>
      <c r="C1372" s="7">
        <v>0</v>
      </c>
      <c r="D1372" s="7">
        <v>0</v>
      </c>
      <c r="E1372" s="7">
        <v>0</v>
      </c>
      <c r="F1372" s="8" t="s">
        <v>35</v>
      </c>
      <c r="G1372" s="8" t="s">
        <v>35</v>
      </c>
      <c r="H1372" t="str">
        <f t="shared" si="21"/>
        <v>YES</v>
      </c>
    </row>
    <row r="1373" spans="1:8" x14ac:dyDescent="0.2">
      <c r="A1373" s="6" t="s">
        <v>1387</v>
      </c>
      <c r="B1373" s="7">
        <v>8</v>
      </c>
      <c r="C1373" s="7">
        <v>0</v>
      </c>
      <c r="D1373" s="7">
        <v>0</v>
      </c>
      <c r="E1373" s="7">
        <v>0</v>
      </c>
      <c r="F1373" s="8" t="s">
        <v>35</v>
      </c>
      <c r="G1373" s="8" t="s">
        <v>35</v>
      </c>
      <c r="H1373" t="str">
        <f t="shared" si="21"/>
        <v>YES</v>
      </c>
    </row>
    <row r="1374" spans="1:8" x14ac:dyDescent="0.2">
      <c r="A1374" s="6" t="s">
        <v>1388</v>
      </c>
      <c r="B1374" s="7">
        <v>8</v>
      </c>
      <c r="C1374" s="7">
        <v>0</v>
      </c>
      <c r="D1374" s="7">
        <v>0</v>
      </c>
      <c r="E1374" s="7">
        <v>0</v>
      </c>
      <c r="F1374" s="8" t="s">
        <v>35</v>
      </c>
      <c r="G1374" s="8" t="s">
        <v>35</v>
      </c>
      <c r="H1374" t="str">
        <f t="shared" si="21"/>
        <v>YES</v>
      </c>
    </row>
    <row r="1375" spans="1:8" x14ac:dyDescent="0.2">
      <c r="A1375" s="6" t="s">
        <v>1389</v>
      </c>
      <c r="B1375" s="7">
        <v>8</v>
      </c>
      <c r="C1375" s="7">
        <v>0</v>
      </c>
      <c r="D1375" s="7">
        <v>0</v>
      </c>
      <c r="E1375" s="7">
        <v>0</v>
      </c>
      <c r="F1375" s="8" t="s">
        <v>35</v>
      </c>
      <c r="G1375" s="8" t="s">
        <v>35</v>
      </c>
      <c r="H1375" t="str">
        <f t="shared" si="21"/>
        <v>YES</v>
      </c>
    </row>
    <row r="1376" spans="1:8" x14ac:dyDescent="0.2">
      <c r="A1376" s="6" t="s">
        <v>1390</v>
      </c>
      <c r="B1376" s="7">
        <v>8</v>
      </c>
      <c r="C1376" s="7">
        <v>0</v>
      </c>
      <c r="D1376" s="7">
        <v>0</v>
      </c>
      <c r="E1376" s="7">
        <v>0</v>
      </c>
      <c r="F1376" s="8" t="s">
        <v>35</v>
      </c>
      <c r="G1376" s="8" t="s">
        <v>35</v>
      </c>
      <c r="H1376" t="str">
        <f t="shared" si="21"/>
        <v>YES</v>
      </c>
    </row>
    <row r="1377" spans="1:8" x14ac:dyDescent="0.2">
      <c r="A1377" s="6" t="s">
        <v>1391</v>
      </c>
      <c r="B1377" s="7">
        <v>8</v>
      </c>
      <c r="C1377" s="7">
        <v>0</v>
      </c>
      <c r="D1377" s="7">
        <v>0</v>
      </c>
      <c r="E1377" s="7">
        <v>0</v>
      </c>
      <c r="F1377" s="8" t="s">
        <v>35</v>
      </c>
      <c r="G1377" s="8" t="s">
        <v>35</v>
      </c>
      <c r="H1377" t="str">
        <f t="shared" si="21"/>
        <v>YES</v>
      </c>
    </row>
    <row r="1378" spans="1:8" x14ac:dyDescent="0.2">
      <c r="A1378" s="6" t="s">
        <v>1392</v>
      </c>
      <c r="B1378" s="7">
        <v>8</v>
      </c>
      <c r="C1378" s="7">
        <v>0</v>
      </c>
      <c r="D1378" s="7">
        <v>0</v>
      </c>
      <c r="E1378" s="7">
        <v>0</v>
      </c>
      <c r="F1378" s="8" t="s">
        <v>35</v>
      </c>
      <c r="G1378" s="8" t="s">
        <v>35</v>
      </c>
      <c r="H1378" t="str">
        <f t="shared" si="21"/>
        <v>YES</v>
      </c>
    </row>
    <row r="1379" spans="1:8" x14ac:dyDescent="0.2">
      <c r="A1379" s="6" t="s">
        <v>1393</v>
      </c>
      <c r="B1379" s="7">
        <v>8</v>
      </c>
      <c r="C1379" s="7">
        <v>0</v>
      </c>
      <c r="D1379" s="7">
        <v>0</v>
      </c>
      <c r="E1379" s="7">
        <v>0</v>
      </c>
      <c r="F1379" s="8" t="s">
        <v>35</v>
      </c>
      <c r="G1379" s="8" t="s">
        <v>35</v>
      </c>
      <c r="H1379" t="str">
        <f t="shared" si="21"/>
        <v>YES</v>
      </c>
    </row>
    <row r="1380" spans="1:8" x14ac:dyDescent="0.2">
      <c r="A1380" s="6" t="s">
        <v>1394</v>
      </c>
      <c r="B1380" s="7">
        <v>8</v>
      </c>
      <c r="C1380" s="7">
        <v>0</v>
      </c>
      <c r="D1380" s="7">
        <v>0</v>
      </c>
      <c r="E1380" s="7">
        <v>0</v>
      </c>
      <c r="F1380" s="8" t="s">
        <v>35</v>
      </c>
      <c r="G1380" s="8" t="s">
        <v>35</v>
      </c>
      <c r="H1380" t="str">
        <f t="shared" si="21"/>
        <v>YES</v>
      </c>
    </row>
    <row r="1381" spans="1:8" x14ac:dyDescent="0.2">
      <c r="A1381" s="6" t="s">
        <v>1395</v>
      </c>
      <c r="B1381" s="7">
        <v>8</v>
      </c>
      <c r="C1381" s="7">
        <v>0</v>
      </c>
      <c r="D1381" s="7">
        <v>0</v>
      </c>
      <c r="E1381" s="7">
        <v>0</v>
      </c>
      <c r="F1381" s="8" t="s">
        <v>35</v>
      </c>
      <c r="G1381" s="8" t="s">
        <v>35</v>
      </c>
      <c r="H1381" t="str">
        <f t="shared" si="21"/>
        <v>YES</v>
      </c>
    </row>
    <row r="1382" spans="1:8" x14ac:dyDescent="0.2">
      <c r="A1382" s="6" t="s">
        <v>1396</v>
      </c>
      <c r="B1382" s="7">
        <v>8</v>
      </c>
      <c r="C1382" s="7">
        <v>0</v>
      </c>
      <c r="D1382" s="7">
        <v>0</v>
      </c>
      <c r="E1382" s="7">
        <v>0</v>
      </c>
      <c r="F1382" s="8" t="s">
        <v>35</v>
      </c>
      <c r="G1382" s="8" t="s">
        <v>35</v>
      </c>
      <c r="H1382" t="str">
        <f t="shared" si="21"/>
        <v>YES</v>
      </c>
    </row>
    <row r="1383" spans="1:8" x14ac:dyDescent="0.2">
      <c r="A1383" s="6" t="s">
        <v>1397</v>
      </c>
      <c r="B1383" s="7">
        <v>8</v>
      </c>
      <c r="C1383" s="7">
        <v>0</v>
      </c>
      <c r="D1383" s="7">
        <v>0</v>
      </c>
      <c r="E1383" s="7">
        <v>0</v>
      </c>
      <c r="F1383" s="8" t="s">
        <v>35</v>
      </c>
      <c r="G1383" s="8" t="s">
        <v>35</v>
      </c>
      <c r="H1383" t="str">
        <f t="shared" si="21"/>
        <v>YES</v>
      </c>
    </row>
    <row r="1384" spans="1:8" x14ac:dyDescent="0.2">
      <c r="A1384" s="6" t="s">
        <v>1398</v>
      </c>
      <c r="B1384" s="7">
        <v>9</v>
      </c>
      <c r="C1384" s="7">
        <v>0</v>
      </c>
      <c r="D1384" s="7">
        <v>0</v>
      </c>
      <c r="E1384" s="7">
        <v>0</v>
      </c>
      <c r="F1384" s="8" t="s">
        <v>35</v>
      </c>
      <c r="G1384" s="8" t="s">
        <v>35</v>
      </c>
      <c r="H1384" t="str">
        <f t="shared" si="21"/>
        <v>YES</v>
      </c>
    </row>
    <row r="1385" spans="1:8" x14ac:dyDescent="0.2">
      <c r="A1385" s="6" t="s">
        <v>1399</v>
      </c>
      <c r="B1385" s="7">
        <v>9</v>
      </c>
      <c r="C1385" s="7">
        <v>0</v>
      </c>
      <c r="D1385" s="7">
        <v>0</v>
      </c>
      <c r="E1385" s="7">
        <v>0</v>
      </c>
      <c r="F1385" s="8" t="s">
        <v>35</v>
      </c>
      <c r="G1385" s="8" t="s">
        <v>35</v>
      </c>
      <c r="H1385" t="str">
        <f t="shared" si="21"/>
        <v>YES</v>
      </c>
    </row>
    <row r="1386" spans="1:8" x14ac:dyDescent="0.2">
      <c r="A1386" s="6" t="s">
        <v>1400</v>
      </c>
      <c r="B1386" s="7">
        <v>9</v>
      </c>
      <c r="C1386" s="7">
        <v>0</v>
      </c>
      <c r="D1386" s="7">
        <v>0</v>
      </c>
      <c r="E1386" s="7">
        <v>0</v>
      </c>
      <c r="F1386" s="8" t="s">
        <v>35</v>
      </c>
      <c r="G1386" s="8" t="s">
        <v>35</v>
      </c>
      <c r="H1386" t="str">
        <f t="shared" si="21"/>
        <v>YES</v>
      </c>
    </row>
    <row r="1387" spans="1:8" x14ac:dyDescent="0.2">
      <c r="A1387" s="6" t="s">
        <v>1401</v>
      </c>
      <c r="B1387" s="7">
        <v>9</v>
      </c>
      <c r="C1387" s="7">
        <v>0</v>
      </c>
      <c r="D1387" s="7">
        <v>0</v>
      </c>
      <c r="E1387" s="7">
        <v>0</v>
      </c>
      <c r="F1387" s="8" t="s">
        <v>35</v>
      </c>
      <c r="G1387" s="8" t="s">
        <v>35</v>
      </c>
      <c r="H1387" t="str">
        <f t="shared" si="21"/>
        <v>YES</v>
      </c>
    </row>
    <row r="1388" spans="1:8" x14ac:dyDescent="0.2">
      <c r="A1388" s="6" t="s">
        <v>1402</v>
      </c>
      <c r="B1388" s="7">
        <v>9</v>
      </c>
      <c r="C1388" s="7">
        <v>0</v>
      </c>
      <c r="D1388" s="7">
        <v>0</v>
      </c>
      <c r="E1388" s="7">
        <v>0</v>
      </c>
      <c r="F1388" s="8" t="s">
        <v>35</v>
      </c>
      <c r="G1388" s="8" t="s">
        <v>35</v>
      </c>
      <c r="H1388" t="str">
        <f t="shared" si="21"/>
        <v>YES</v>
      </c>
    </row>
    <row r="1389" spans="1:8" x14ac:dyDescent="0.2">
      <c r="A1389" s="6" t="s">
        <v>1403</v>
      </c>
      <c r="B1389" s="7">
        <v>9</v>
      </c>
      <c r="C1389" s="7">
        <v>0</v>
      </c>
      <c r="D1389" s="7">
        <v>0</v>
      </c>
      <c r="E1389" s="7">
        <v>0</v>
      </c>
      <c r="F1389" s="8" t="s">
        <v>35</v>
      </c>
      <c r="G1389" s="8" t="s">
        <v>35</v>
      </c>
      <c r="H1389" t="str">
        <f t="shared" si="21"/>
        <v>YES</v>
      </c>
    </row>
    <row r="1390" spans="1:8" x14ac:dyDescent="0.2">
      <c r="A1390" s="6" t="s">
        <v>1404</v>
      </c>
      <c r="B1390" s="7">
        <v>9</v>
      </c>
      <c r="C1390" s="7">
        <v>0</v>
      </c>
      <c r="D1390" s="7">
        <v>0</v>
      </c>
      <c r="E1390" s="7">
        <v>0</v>
      </c>
      <c r="F1390" s="8" t="s">
        <v>35</v>
      </c>
      <c r="G1390" s="8" t="s">
        <v>35</v>
      </c>
      <c r="H1390" t="str">
        <f t="shared" si="21"/>
        <v>YES</v>
      </c>
    </row>
    <row r="1391" spans="1:8" x14ac:dyDescent="0.2">
      <c r="A1391" s="6" t="s">
        <v>1405</v>
      </c>
      <c r="B1391" s="7">
        <v>9</v>
      </c>
      <c r="C1391" s="7">
        <v>0</v>
      </c>
      <c r="D1391" s="7">
        <v>0</v>
      </c>
      <c r="E1391" s="7">
        <v>0</v>
      </c>
      <c r="F1391" s="8" t="s">
        <v>35</v>
      </c>
      <c r="G1391" s="8" t="s">
        <v>35</v>
      </c>
      <c r="H1391" t="str">
        <f t="shared" si="21"/>
        <v>YES</v>
      </c>
    </row>
    <row r="1392" spans="1:8" x14ac:dyDescent="0.2">
      <c r="A1392" s="6" t="s">
        <v>1406</v>
      </c>
      <c r="B1392" s="7">
        <v>9</v>
      </c>
      <c r="C1392" s="7">
        <v>0</v>
      </c>
      <c r="D1392" s="7">
        <v>0</v>
      </c>
      <c r="E1392" s="7">
        <v>0</v>
      </c>
      <c r="F1392" s="8" t="s">
        <v>35</v>
      </c>
      <c r="G1392" s="8" t="s">
        <v>35</v>
      </c>
      <c r="H1392" t="str">
        <f t="shared" si="21"/>
        <v>YES</v>
      </c>
    </row>
    <row r="1393" spans="1:8" x14ac:dyDescent="0.2">
      <c r="A1393" s="6" t="s">
        <v>1407</v>
      </c>
      <c r="B1393" s="7">
        <v>9</v>
      </c>
      <c r="C1393" s="7">
        <v>0</v>
      </c>
      <c r="D1393" s="7">
        <v>0</v>
      </c>
      <c r="E1393" s="7">
        <v>0</v>
      </c>
      <c r="F1393" s="8" t="s">
        <v>35</v>
      </c>
      <c r="G1393" s="8" t="s">
        <v>35</v>
      </c>
      <c r="H1393" t="str">
        <f t="shared" si="21"/>
        <v>YES</v>
      </c>
    </row>
    <row r="1394" spans="1:8" x14ac:dyDescent="0.2">
      <c r="A1394" s="6" t="s">
        <v>1408</v>
      </c>
      <c r="B1394" s="7">
        <v>9</v>
      </c>
      <c r="C1394" s="7">
        <v>0</v>
      </c>
      <c r="D1394" s="7">
        <v>0</v>
      </c>
      <c r="E1394" s="7">
        <v>0</v>
      </c>
      <c r="F1394" s="8" t="s">
        <v>35</v>
      </c>
      <c r="G1394" s="8" t="s">
        <v>35</v>
      </c>
      <c r="H1394" t="str">
        <f t="shared" si="21"/>
        <v>YES</v>
      </c>
    </row>
    <row r="1395" spans="1:8" x14ac:dyDescent="0.2">
      <c r="A1395" s="6" t="s">
        <v>1409</v>
      </c>
      <c r="B1395" s="7">
        <v>9</v>
      </c>
      <c r="C1395" s="7">
        <v>0</v>
      </c>
      <c r="D1395" s="7">
        <v>0</v>
      </c>
      <c r="E1395" s="7">
        <v>0</v>
      </c>
      <c r="F1395" s="8" t="s">
        <v>35</v>
      </c>
      <c r="G1395" s="8" t="s">
        <v>35</v>
      </c>
      <c r="H1395" t="str">
        <f t="shared" si="21"/>
        <v>YES</v>
      </c>
    </row>
    <row r="1396" spans="1:8" x14ac:dyDescent="0.2">
      <c r="A1396" s="6" t="s">
        <v>1410</v>
      </c>
      <c r="B1396" s="7">
        <v>9</v>
      </c>
      <c r="C1396" s="7">
        <v>0</v>
      </c>
      <c r="D1396" s="7">
        <v>0</v>
      </c>
      <c r="E1396" s="7">
        <v>0</v>
      </c>
      <c r="F1396" s="8" t="s">
        <v>35</v>
      </c>
      <c r="G1396" s="8" t="s">
        <v>35</v>
      </c>
      <c r="H1396" t="str">
        <f t="shared" si="21"/>
        <v>YES</v>
      </c>
    </row>
    <row r="1397" spans="1:8" x14ac:dyDescent="0.2">
      <c r="A1397" s="6" t="s">
        <v>1411</v>
      </c>
      <c r="B1397" s="7">
        <v>9</v>
      </c>
      <c r="C1397" s="7">
        <v>0</v>
      </c>
      <c r="D1397" s="7">
        <v>0</v>
      </c>
      <c r="E1397" s="7">
        <v>0</v>
      </c>
      <c r="F1397" s="8" t="s">
        <v>35</v>
      </c>
      <c r="G1397" s="8" t="s">
        <v>35</v>
      </c>
      <c r="H1397" t="str">
        <f t="shared" si="21"/>
        <v>YES</v>
      </c>
    </row>
    <row r="1398" spans="1:8" x14ac:dyDescent="0.2">
      <c r="A1398" s="6" t="s">
        <v>1412</v>
      </c>
      <c r="B1398" s="7">
        <v>9</v>
      </c>
      <c r="C1398" s="7">
        <v>0</v>
      </c>
      <c r="D1398" s="7">
        <v>0</v>
      </c>
      <c r="E1398" s="7">
        <v>0</v>
      </c>
      <c r="F1398" s="8" t="s">
        <v>35</v>
      </c>
      <c r="G1398" s="8" t="s">
        <v>35</v>
      </c>
      <c r="H1398" t="str">
        <f t="shared" si="21"/>
        <v>YES</v>
      </c>
    </row>
    <row r="1399" spans="1:8" x14ac:dyDescent="0.2">
      <c r="A1399" s="6" t="s">
        <v>1413</v>
      </c>
      <c r="B1399" s="7">
        <v>9</v>
      </c>
      <c r="C1399" s="7">
        <v>0</v>
      </c>
      <c r="D1399" s="7">
        <v>0</v>
      </c>
      <c r="E1399" s="7">
        <v>0</v>
      </c>
      <c r="F1399" s="8" t="s">
        <v>35</v>
      </c>
      <c r="G1399" s="8" t="s">
        <v>35</v>
      </c>
      <c r="H1399" t="str">
        <f t="shared" si="21"/>
        <v>YES</v>
      </c>
    </row>
    <row r="1400" spans="1:8" x14ac:dyDescent="0.2">
      <c r="A1400" s="6" t="s">
        <v>1414</v>
      </c>
      <c r="B1400" s="7">
        <v>9</v>
      </c>
      <c r="C1400" s="7">
        <v>0</v>
      </c>
      <c r="D1400" s="7">
        <v>0</v>
      </c>
      <c r="E1400" s="7">
        <v>0</v>
      </c>
      <c r="F1400" s="8" t="s">
        <v>35</v>
      </c>
      <c r="G1400" s="8" t="s">
        <v>35</v>
      </c>
      <c r="H1400" t="str">
        <f t="shared" si="21"/>
        <v>YES</v>
      </c>
    </row>
    <row r="1401" spans="1:8" x14ac:dyDescent="0.2">
      <c r="A1401" s="6" t="s">
        <v>1415</v>
      </c>
      <c r="B1401" s="7">
        <v>9</v>
      </c>
      <c r="C1401" s="7">
        <v>0</v>
      </c>
      <c r="D1401" s="7">
        <v>0</v>
      </c>
      <c r="E1401" s="7">
        <v>0</v>
      </c>
      <c r="F1401" s="8" t="s">
        <v>35</v>
      </c>
      <c r="G1401" s="8" t="s">
        <v>35</v>
      </c>
      <c r="H1401" t="str">
        <f t="shared" si="21"/>
        <v>YES</v>
      </c>
    </row>
    <row r="1402" spans="1:8" x14ac:dyDescent="0.2">
      <c r="A1402" s="6" t="s">
        <v>1416</v>
      </c>
      <c r="B1402" s="7">
        <v>9</v>
      </c>
      <c r="C1402" s="7">
        <v>0</v>
      </c>
      <c r="D1402" s="7">
        <v>0</v>
      </c>
      <c r="E1402" s="7">
        <v>0</v>
      </c>
      <c r="F1402" s="8" t="s">
        <v>35</v>
      </c>
      <c r="G1402" s="8" t="s">
        <v>35</v>
      </c>
      <c r="H1402" t="str">
        <f t="shared" si="21"/>
        <v>YES</v>
      </c>
    </row>
    <row r="1403" spans="1:8" x14ac:dyDescent="0.2">
      <c r="A1403" s="6" t="s">
        <v>1417</v>
      </c>
      <c r="B1403" s="7">
        <v>9</v>
      </c>
      <c r="C1403" s="7">
        <v>0</v>
      </c>
      <c r="D1403" s="7">
        <v>0</v>
      </c>
      <c r="E1403" s="7">
        <v>0</v>
      </c>
      <c r="F1403" s="8" t="s">
        <v>35</v>
      </c>
      <c r="G1403" s="8" t="s">
        <v>35</v>
      </c>
      <c r="H1403" t="str">
        <f t="shared" si="21"/>
        <v>YES</v>
      </c>
    </row>
    <row r="1404" spans="1:8" x14ac:dyDescent="0.2">
      <c r="A1404" s="6" t="s">
        <v>1418</v>
      </c>
      <c r="B1404" s="7">
        <v>9</v>
      </c>
      <c r="C1404" s="7">
        <v>0</v>
      </c>
      <c r="D1404" s="7">
        <v>0</v>
      </c>
      <c r="E1404" s="7">
        <v>0</v>
      </c>
      <c r="F1404" s="8" t="s">
        <v>35</v>
      </c>
      <c r="G1404" s="8" t="s">
        <v>35</v>
      </c>
      <c r="H1404" t="str">
        <f t="shared" si="21"/>
        <v>YES</v>
      </c>
    </row>
    <row r="1405" spans="1:8" x14ac:dyDescent="0.2">
      <c r="A1405" s="6" t="s">
        <v>1419</v>
      </c>
      <c r="B1405" s="7">
        <v>9</v>
      </c>
      <c r="C1405" s="7">
        <v>0</v>
      </c>
      <c r="D1405" s="7">
        <v>0</v>
      </c>
      <c r="E1405" s="7">
        <v>0</v>
      </c>
      <c r="F1405" s="8" t="s">
        <v>35</v>
      </c>
      <c r="G1405" s="8" t="s">
        <v>35</v>
      </c>
      <c r="H1405" t="str">
        <f t="shared" si="21"/>
        <v>YES</v>
      </c>
    </row>
    <row r="1406" spans="1:8" x14ac:dyDescent="0.2">
      <c r="A1406" s="6" t="s">
        <v>1420</v>
      </c>
      <c r="B1406" s="7">
        <v>9</v>
      </c>
      <c r="C1406" s="7">
        <v>0</v>
      </c>
      <c r="D1406" s="7">
        <v>0</v>
      </c>
      <c r="E1406" s="7">
        <v>0</v>
      </c>
      <c r="F1406" s="8" t="s">
        <v>35</v>
      </c>
      <c r="G1406" s="8" t="s">
        <v>35</v>
      </c>
      <c r="H1406" t="str">
        <f t="shared" si="21"/>
        <v>YES</v>
      </c>
    </row>
    <row r="1407" spans="1:8" x14ac:dyDescent="0.2">
      <c r="A1407" s="6" t="s">
        <v>1421</v>
      </c>
      <c r="B1407" s="7">
        <v>9</v>
      </c>
      <c r="C1407" s="7">
        <v>0</v>
      </c>
      <c r="D1407" s="7">
        <v>0</v>
      </c>
      <c r="E1407" s="7">
        <v>0</v>
      </c>
      <c r="F1407" s="8" t="s">
        <v>35</v>
      </c>
      <c r="G1407" s="8" t="s">
        <v>35</v>
      </c>
      <c r="H1407" t="str">
        <f t="shared" si="21"/>
        <v>YES</v>
      </c>
    </row>
    <row r="1408" spans="1:8" x14ac:dyDescent="0.2">
      <c r="A1408" s="6" t="s">
        <v>1422</v>
      </c>
      <c r="B1408" s="7">
        <v>9</v>
      </c>
      <c r="C1408" s="7">
        <v>0</v>
      </c>
      <c r="D1408" s="7">
        <v>0</v>
      </c>
      <c r="E1408" s="7">
        <v>0</v>
      </c>
      <c r="F1408" s="8" t="s">
        <v>35</v>
      </c>
      <c r="G1408" s="8" t="s">
        <v>35</v>
      </c>
      <c r="H1408" t="str">
        <f t="shared" si="21"/>
        <v>YES</v>
      </c>
    </row>
    <row r="1409" spans="1:8" x14ac:dyDescent="0.2">
      <c r="A1409" s="6" t="s">
        <v>1423</v>
      </c>
      <c r="B1409" s="7">
        <v>9</v>
      </c>
      <c r="C1409" s="7">
        <v>0</v>
      </c>
      <c r="D1409" s="7">
        <v>0</v>
      </c>
      <c r="E1409" s="7">
        <v>0</v>
      </c>
      <c r="F1409" s="8" t="s">
        <v>35</v>
      </c>
      <c r="G1409" s="8" t="s">
        <v>35</v>
      </c>
      <c r="H1409" t="str">
        <f t="shared" si="21"/>
        <v>YES</v>
      </c>
    </row>
    <row r="1410" spans="1:8" x14ac:dyDescent="0.2">
      <c r="A1410" s="6" t="s">
        <v>1424</v>
      </c>
      <c r="B1410" s="7">
        <v>9</v>
      </c>
      <c r="C1410" s="7">
        <v>0</v>
      </c>
      <c r="D1410" s="7">
        <v>0</v>
      </c>
      <c r="E1410" s="7">
        <v>0</v>
      </c>
      <c r="F1410" s="8" t="s">
        <v>35</v>
      </c>
      <c r="G1410" s="8" t="s">
        <v>35</v>
      </c>
      <c r="H1410" t="str">
        <f t="shared" si="21"/>
        <v>YES</v>
      </c>
    </row>
    <row r="1411" spans="1:8" x14ac:dyDescent="0.2">
      <c r="A1411" s="6" t="s">
        <v>1425</v>
      </c>
      <c r="B1411" s="7">
        <v>9</v>
      </c>
      <c r="C1411" s="7">
        <v>0</v>
      </c>
      <c r="D1411" s="7">
        <v>0</v>
      </c>
      <c r="E1411" s="7">
        <v>0</v>
      </c>
      <c r="F1411" s="8" t="s">
        <v>35</v>
      </c>
      <c r="G1411" s="8" t="s">
        <v>35</v>
      </c>
      <c r="H1411" t="str">
        <f t="shared" si="21"/>
        <v>YES</v>
      </c>
    </row>
    <row r="1412" spans="1:8" x14ac:dyDescent="0.2">
      <c r="A1412" s="6" t="s">
        <v>1426</v>
      </c>
      <c r="B1412" s="7">
        <v>9</v>
      </c>
      <c r="C1412" s="7">
        <v>0</v>
      </c>
      <c r="D1412" s="7">
        <v>0</v>
      </c>
      <c r="E1412" s="7">
        <v>0</v>
      </c>
      <c r="F1412" s="8" t="s">
        <v>35</v>
      </c>
      <c r="G1412" s="8" t="s">
        <v>35</v>
      </c>
      <c r="H1412" t="str">
        <f t="shared" si="21"/>
        <v>YES</v>
      </c>
    </row>
    <row r="1413" spans="1:8" x14ac:dyDescent="0.2">
      <c r="A1413" s="6" t="s">
        <v>1427</v>
      </c>
      <c r="B1413" s="7">
        <v>9</v>
      </c>
      <c r="C1413" s="7">
        <v>0</v>
      </c>
      <c r="D1413" s="7">
        <v>0</v>
      </c>
      <c r="E1413" s="7">
        <v>0</v>
      </c>
      <c r="F1413" s="8" t="s">
        <v>35</v>
      </c>
      <c r="G1413" s="8" t="s">
        <v>35</v>
      </c>
      <c r="H1413" t="str">
        <f t="shared" ref="H1413:H1476" si="22">IF(F1413=G1413,"YES","NO")</f>
        <v>YES</v>
      </c>
    </row>
    <row r="1414" spans="1:8" x14ac:dyDescent="0.2">
      <c r="A1414" s="6" t="s">
        <v>1428</v>
      </c>
      <c r="B1414" s="7">
        <v>9</v>
      </c>
      <c r="C1414" s="7">
        <v>0</v>
      </c>
      <c r="D1414" s="7">
        <v>0</v>
      </c>
      <c r="E1414" s="7">
        <v>0</v>
      </c>
      <c r="F1414" s="8" t="s">
        <v>35</v>
      </c>
      <c r="G1414" s="8" t="s">
        <v>35</v>
      </c>
      <c r="H1414" t="str">
        <f t="shared" si="22"/>
        <v>YES</v>
      </c>
    </row>
    <row r="1415" spans="1:8" x14ac:dyDescent="0.2">
      <c r="A1415" s="6" t="s">
        <v>1429</v>
      </c>
      <c r="B1415" s="7">
        <v>9</v>
      </c>
      <c r="C1415" s="7">
        <v>0</v>
      </c>
      <c r="D1415" s="7">
        <v>0</v>
      </c>
      <c r="E1415" s="7">
        <v>0</v>
      </c>
      <c r="F1415" s="8" t="s">
        <v>35</v>
      </c>
      <c r="G1415" s="8" t="s">
        <v>35</v>
      </c>
      <c r="H1415" t="str">
        <f t="shared" si="22"/>
        <v>YES</v>
      </c>
    </row>
    <row r="1416" spans="1:8" x14ac:dyDescent="0.2">
      <c r="A1416" s="6" t="s">
        <v>1430</v>
      </c>
      <c r="B1416" s="7">
        <v>9</v>
      </c>
      <c r="C1416" s="7">
        <v>0</v>
      </c>
      <c r="D1416" s="7">
        <v>0</v>
      </c>
      <c r="E1416" s="7">
        <v>0</v>
      </c>
      <c r="F1416" s="8" t="s">
        <v>35</v>
      </c>
      <c r="G1416" s="8" t="s">
        <v>35</v>
      </c>
      <c r="H1416" t="str">
        <f t="shared" si="22"/>
        <v>YES</v>
      </c>
    </row>
    <row r="1417" spans="1:8" x14ac:dyDescent="0.2">
      <c r="A1417" s="6" t="s">
        <v>1431</v>
      </c>
      <c r="B1417" s="7">
        <v>9</v>
      </c>
      <c r="C1417" s="7">
        <v>0</v>
      </c>
      <c r="D1417" s="7">
        <v>0</v>
      </c>
      <c r="E1417" s="7">
        <v>0</v>
      </c>
      <c r="F1417" s="8" t="s">
        <v>35</v>
      </c>
      <c r="G1417" s="8" t="s">
        <v>35</v>
      </c>
      <c r="H1417" t="str">
        <f t="shared" si="22"/>
        <v>YES</v>
      </c>
    </row>
    <row r="1418" spans="1:8" x14ac:dyDescent="0.2">
      <c r="A1418" s="6" t="s">
        <v>1432</v>
      </c>
      <c r="B1418" s="7">
        <v>9</v>
      </c>
      <c r="C1418" s="7">
        <v>0</v>
      </c>
      <c r="D1418" s="7">
        <v>0</v>
      </c>
      <c r="E1418" s="7">
        <v>0</v>
      </c>
      <c r="F1418" s="8" t="s">
        <v>35</v>
      </c>
      <c r="G1418" s="8" t="s">
        <v>35</v>
      </c>
      <c r="H1418" t="str">
        <f t="shared" si="22"/>
        <v>YES</v>
      </c>
    </row>
    <row r="1419" spans="1:8" x14ac:dyDescent="0.2">
      <c r="A1419" s="6" t="s">
        <v>1433</v>
      </c>
      <c r="B1419" s="7">
        <v>9</v>
      </c>
      <c r="C1419" s="7">
        <v>0</v>
      </c>
      <c r="D1419" s="7">
        <v>0</v>
      </c>
      <c r="E1419" s="7">
        <v>0</v>
      </c>
      <c r="F1419" s="8" t="s">
        <v>35</v>
      </c>
      <c r="G1419" s="8" t="s">
        <v>35</v>
      </c>
      <c r="H1419" t="str">
        <f t="shared" si="22"/>
        <v>YES</v>
      </c>
    </row>
    <row r="1420" spans="1:8" x14ac:dyDescent="0.2">
      <c r="A1420" s="6" t="s">
        <v>1434</v>
      </c>
      <c r="B1420" s="7">
        <v>9</v>
      </c>
      <c r="C1420" s="7">
        <v>0</v>
      </c>
      <c r="D1420" s="7">
        <v>0</v>
      </c>
      <c r="E1420" s="7">
        <v>0</v>
      </c>
      <c r="F1420" s="8" t="s">
        <v>35</v>
      </c>
      <c r="G1420" s="8" t="s">
        <v>35</v>
      </c>
      <c r="H1420" t="str">
        <f t="shared" si="22"/>
        <v>YES</v>
      </c>
    </row>
    <row r="1421" spans="1:8" x14ac:dyDescent="0.2">
      <c r="A1421" s="6" t="s">
        <v>1435</v>
      </c>
      <c r="B1421" s="7">
        <v>10</v>
      </c>
      <c r="C1421" s="7">
        <v>0</v>
      </c>
      <c r="D1421" s="7">
        <v>0</v>
      </c>
      <c r="E1421" s="7">
        <v>0</v>
      </c>
      <c r="F1421" s="8" t="s">
        <v>35</v>
      </c>
      <c r="G1421" s="8" t="s">
        <v>35</v>
      </c>
      <c r="H1421" t="str">
        <f t="shared" si="22"/>
        <v>YES</v>
      </c>
    </row>
    <row r="1422" spans="1:8" x14ac:dyDescent="0.2">
      <c r="A1422" s="6" t="s">
        <v>1436</v>
      </c>
      <c r="B1422" s="7">
        <v>10</v>
      </c>
      <c r="C1422" s="7">
        <v>0</v>
      </c>
      <c r="D1422" s="7">
        <v>0</v>
      </c>
      <c r="E1422" s="7">
        <v>0</v>
      </c>
      <c r="F1422" s="8" t="s">
        <v>35</v>
      </c>
      <c r="G1422" s="8" t="s">
        <v>17</v>
      </c>
      <c r="H1422" t="str">
        <f t="shared" si="22"/>
        <v>NO</v>
      </c>
    </row>
    <row r="1423" spans="1:8" x14ac:dyDescent="0.2">
      <c r="A1423" s="6" t="s">
        <v>1437</v>
      </c>
      <c r="B1423" s="7">
        <v>10</v>
      </c>
      <c r="C1423" s="7">
        <v>0</v>
      </c>
      <c r="D1423" s="7">
        <v>0</v>
      </c>
      <c r="E1423" s="7">
        <v>0</v>
      </c>
      <c r="F1423" s="8" t="s">
        <v>35</v>
      </c>
      <c r="G1423" s="8" t="s">
        <v>35</v>
      </c>
      <c r="H1423" t="str">
        <f t="shared" si="22"/>
        <v>YES</v>
      </c>
    </row>
    <row r="1424" spans="1:8" x14ac:dyDescent="0.2">
      <c r="A1424" s="6" t="s">
        <v>1438</v>
      </c>
      <c r="B1424" s="7">
        <v>10</v>
      </c>
      <c r="C1424" s="7">
        <v>0</v>
      </c>
      <c r="D1424" s="7">
        <v>0</v>
      </c>
      <c r="E1424" s="7">
        <v>0</v>
      </c>
      <c r="F1424" s="8" t="s">
        <v>35</v>
      </c>
      <c r="G1424" s="8" t="s">
        <v>35</v>
      </c>
      <c r="H1424" t="str">
        <f t="shared" si="22"/>
        <v>YES</v>
      </c>
    </row>
    <row r="1425" spans="1:8" x14ac:dyDescent="0.2">
      <c r="A1425" s="6" t="s">
        <v>1439</v>
      </c>
      <c r="B1425" s="7">
        <v>10</v>
      </c>
      <c r="C1425" s="7">
        <v>0</v>
      </c>
      <c r="D1425" s="7">
        <v>0</v>
      </c>
      <c r="E1425" s="7">
        <v>0</v>
      </c>
      <c r="F1425" s="8" t="s">
        <v>35</v>
      </c>
      <c r="G1425" s="8" t="s">
        <v>35</v>
      </c>
      <c r="H1425" t="str">
        <f t="shared" si="22"/>
        <v>YES</v>
      </c>
    </row>
    <row r="1426" spans="1:8" x14ac:dyDescent="0.2">
      <c r="A1426" s="6" t="s">
        <v>1440</v>
      </c>
      <c r="B1426" s="7">
        <v>10</v>
      </c>
      <c r="C1426" s="7">
        <v>0</v>
      </c>
      <c r="D1426" s="7">
        <v>0</v>
      </c>
      <c r="E1426" s="7">
        <v>0</v>
      </c>
      <c r="F1426" s="8" t="s">
        <v>35</v>
      </c>
      <c r="G1426" s="8" t="s">
        <v>35</v>
      </c>
      <c r="H1426" t="str">
        <f t="shared" si="22"/>
        <v>YES</v>
      </c>
    </row>
    <row r="1427" spans="1:8" x14ac:dyDescent="0.2">
      <c r="A1427" s="6" t="s">
        <v>1441</v>
      </c>
      <c r="B1427" s="7">
        <v>10</v>
      </c>
      <c r="C1427" s="7">
        <v>0</v>
      </c>
      <c r="D1427" s="7">
        <v>0</v>
      </c>
      <c r="E1427" s="7">
        <v>0</v>
      </c>
      <c r="F1427" s="8" t="s">
        <v>35</v>
      </c>
      <c r="G1427" s="8" t="s">
        <v>35</v>
      </c>
      <c r="H1427" t="str">
        <f t="shared" si="22"/>
        <v>YES</v>
      </c>
    </row>
    <row r="1428" spans="1:8" x14ac:dyDescent="0.2">
      <c r="A1428" s="6" t="s">
        <v>1442</v>
      </c>
      <c r="B1428" s="7">
        <v>10</v>
      </c>
      <c r="C1428" s="7">
        <v>0</v>
      </c>
      <c r="D1428" s="7">
        <v>0</v>
      </c>
      <c r="E1428" s="7">
        <v>0</v>
      </c>
      <c r="F1428" s="8" t="s">
        <v>35</v>
      </c>
      <c r="G1428" s="8" t="s">
        <v>35</v>
      </c>
      <c r="H1428" t="str">
        <f t="shared" si="22"/>
        <v>YES</v>
      </c>
    </row>
    <row r="1429" spans="1:8" x14ac:dyDescent="0.2">
      <c r="A1429" s="6" t="s">
        <v>1443</v>
      </c>
      <c r="B1429" s="7">
        <v>10</v>
      </c>
      <c r="C1429" s="7">
        <v>0</v>
      </c>
      <c r="D1429" s="7">
        <v>0</v>
      </c>
      <c r="E1429" s="7">
        <v>0</v>
      </c>
      <c r="F1429" s="8" t="s">
        <v>35</v>
      </c>
      <c r="G1429" s="8" t="s">
        <v>35</v>
      </c>
      <c r="H1429" t="str">
        <f t="shared" si="22"/>
        <v>YES</v>
      </c>
    </row>
    <row r="1430" spans="1:8" x14ac:dyDescent="0.2">
      <c r="A1430" s="6" t="s">
        <v>1444</v>
      </c>
      <c r="B1430" s="7">
        <v>10</v>
      </c>
      <c r="C1430" s="7">
        <v>0</v>
      </c>
      <c r="D1430" s="7">
        <v>0</v>
      </c>
      <c r="E1430" s="7">
        <v>0</v>
      </c>
      <c r="F1430" s="8" t="s">
        <v>35</v>
      </c>
      <c r="G1430" s="8" t="s">
        <v>35</v>
      </c>
      <c r="H1430" t="str">
        <f t="shared" si="22"/>
        <v>YES</v>
      </c>
    </row>
    <row r="1431" spans="1:8" x14ac:dyDescent="0.2">
      <c r="A1431" s="6" t="s">
        <v>1445</v>
      </c>
      <c r="B1431" s="7">
        <v>10</v>
      </c>
      <c r="C1431" s="7">
        <v>0</v>
      </c>
      <c r="D1431" s="7">
        <v>0</v>
      </c>
      <c r="E1431" s="7">
        <v>0</v>
      </c>
      <c r="F1431" s="8" t="s">
        <v>35</v>
      </c>
      <c r="G1431" s="8" t="s">
        <v>35</v>
      </c>
      <c r="H1431" t="str">
        <f t="shared" si="22"/>
        <v>YES</v>
      </c>
    </row>
    <row r="1432" spans="1:8" x14ac:dyDescent="0.2">
      <c r="A1432" s="6" t="s">
        <v>1446</v>
      </c>
      <c r="B1432" s="7">
        <v>10</v>
      </c>
      <c r="C1432" s="7">
        <v>0</v>
      </c>
      <c r="D1432" s="7">
        <v>0</v>
      </c>
      <c r="E1432" s="7">
        <v>0</v>
      </c>
      <c r="F1432" s="8" t="s">
        <v>35</v>
      </c>
      <c r="G1432" s="8" t="s">
        <v>35</v>
      </c>
      <c r="H1432" t="str">
        <f t="shared" si="22"/>
        <v>YES</v>
      </c>
    </row>
    <row r="1433" spans="1:8" x14ac:dyDescent="0.2">
      <c r="A1433" s="6" t="s">
        <v>1447</v>
      </c>
      <c r="B1433" s="7">
        <v>10</v>
      </c>
      <c r="C1433" s="7">
        <v>0</v>
      </c>
      <c r="D1433" s="7">
        <v>0</v>
      </c>
      <c r="E1433" s="7">
        <v>0</v>
      </c>
      <c r="F1433" s="8" t="s">
        <v>35</v>
      </c>
      <c r="G1433" s="8" t="s">
        <v>35</v>
      </c>
      <c r="H1433" t="str">
        <f t="shared" si="22"/>
        <v>YES</v>
      </c>
    </row>
    <row r="1434" spans="1:8" x14ac:dyDescent="0.2">
      <c r="A1434" s="6" t="s">
        <v>1448</v>
      </c>
      <c r="B1434" s="7">
        <v>10</v>
      </c>
      <c r="C1434" s="7">
        <v>0</v>
      </c>
      <c r="D1434" s="7">
        <v>0</v>
      </c>
      <c r="E1434" s="7">
        <v>0</v>
      </c>
      <c r="F1434" s="8" t="s">
        <v>35</v>
      </c>
      <c r="G1434" s="8" t="s">
        <v>35</v>
      </c>
      <c r="H1434" t="str">
        <f t="shared" si="22"/>
        <v>YES</v>
      </c>
    </row>
    <row r="1435" spans="1:8" x14ac:dyDescent="0.2">
      <c r="A1435" s="6" t="s">
        <v>1449</v>
      </c>
      <c r="B1435" s="7">
        <v>10</v>
      </c>
      <c r="C1435" s="7">
        <v>0</v>
      </c>
      <c r="D1435" s="7">
        <v>0</v>
      </c>
      <c r="E1435" s="7">
        <v>0</v>
      </c>
      <c r="F1435" s="8" t="s">
        <v>35</v>
      </c>
      <c r="G1435" s="8" t="s">
        <v>35</v>
      </c>
      <c r="H1435" t="str">
        <f t="shared" si="22"/>
        <v>YES</v>
      </c>
    </row>
    <row r="1436" spans="1:8" x14ac:dyDescent="0.2">
      <c r="A1436" s="6" t="s">
        <v>1450</v>
      </c>
      <c r="B1436" s="7">
        <v>10</v>
      </c>
      <c r="C1436" s="7">
        <v>0</v>
      </c>
      <c r="D1436" s="7">
        <v>0</v>
      </c>
      <c r="E1436" s="7">
        <v>0</v>
      </c>
      <c r="F1436" s="8" t="s">
        <v>35</v>
      </c>
      <c r="G1436" s="8" t="s">
        <v>35</v>
      </c>
      <c r="H1436" t="str">
        <f t="shared" si="22"/>
        <v>YES</v>
      </c>
    </row>
    <row r="1437" spans="1:8" x14ac:dyDescent="0.2">
      <c r="A1437" s="6" t="s">
        <v>1451</v>
      </c>
      <c r="B1437" s="7">
        <v>10</v>
      </c>
      <c r="C1437" s="7">
        <v>0</v>
      </c>
      <c r="D1437" s="7">
        <v>0</v>
      </c>
      <c r="E1437" s="7">
        <v>0</v>
      </c>
      <c r="F1437" s="8" t="s">
        <v>35</v>
      </c>
      <c r="G1437" s="8" t="s">
        <v>35</v>
      </c>
      <c r="H1437" t="str">
        <f t="shared" si="22"/>
        <v>YES</v>
      </c>
    </row>
    <row r="1438" spans="1:8" x14ac:dyDescent="0.2">
      <c r="A1438" s="6" t="s">
        <v>1452</v>
      </c>
      <c r="B1438" s="7">
        <v>10</v>
      </c>
      <c r="C1438" s="7">
        <v>0</v>
      </c>
      <c r="D1438" s="7">
        <v>0</v>
      </c>
      <c r="E1438" s="7">
        <v>0</v>
      </c>
      <c r="F1438" s="8" t="s">
        <v>35</v>
      </c>
      <c r="G1438" s="8" t="s">
        <v>35</v>
      </c>
      <c r="H1438" t="str">
        <f t="shared" si="22"/>
        <v>YES</v>
      </c>
    </row>
    <row r="1439" spans="1:8" x14ac:dyDescent="0.2">
      <c r="A1439" s="6" t="s">
        <v>1453</v>
      </c>
      <c r="B1439" s="7">
        <v>10</v>
      </c>
      <c r="C1439" s="7">
        <v>0</v>
      </c>
      <c r="D1439" s="7">
        <v>0</v>
      </c>
      <c r="E1439" s="7">
        <v>0</v>
      </c>
      <c r="F1439" s="8" t="s">
        <v>35</v>
      </c>
      <c r="G1439" s="8" t="s">
        <v>35</v>
      </c>
      <c r="H1439" t="str">
        <f t="shared" si="22"/>
        <v>YES</v>
      </c>
    </row>
    <row r="1440" spans="1:8" x14ac:dyDescent="0.2">
      <c r="A1440" s="6" t="s">
        <v>1454</v>
      </c>
      <c r="B1440" s="7">
        <v>10</v>
      </c>
      <c r="C1440" s="7">
        <v>0</v>
      </c>
      <c r="D1440" s="7">
        <v>0</v>
      </c>
      <c r="E1440" s="7">
        <v>0</v>
      </c>
      <c r="F1440" s="8" t="s">
        <v>35</v>
      </c>
      <c r="G1440" s="8" t="s">
        <v>35</v>
      </c>
      <c r="H1440" t="str">
        <f t="shared" si="22"/>
        <v>YES</v>
      </c>
    </row>
    <row r="1441" spans="1:8" x14ac:dyDescent="0.2">
      <c r="A1441" s="6" t="s">
        <v>1455</v>
      </c>
      <c r="B1441" s="7">
        <v>10</v>
      </c>
      <c r="C1441" s="7">
        <v>0</v>
      </c>
      <c r="D1441" s="7">
        <v>0</v>
      </c>
      <c r="E1441" s="7">
        <v>0</v>
      </c>
      <c r="F1441" s="8" t="s">
        <v>35</v>
      </c>
      <c r="G1441" s="8" t="s">
        <v>35</v>
      </c>
      <c r="H1441" t="str">
        <f t="shared" si="22"/>
        <v>YES</v>
      </c>
    </row>
    <row r="1442" spans="1:8" x14ac:dyDescent="0.2">
      <c r="A1442" s="6" t="s">
        <v>1456</v>
      </c>
      <c r="B1442" s="7">
        <v>10</v>
      </c>
      <c r="C1442" s="7">
        <v>0</v>
      </c>
      <c r="D1442" s="7">
        <v>0</v>
      </c>
      <c r="E1442" s="7">
        <v>0</v>
      </c>
      <c r="F1442" s="8" t="s">
        <v>35</v>
      </c>
      <c r="G1442" s="8" t="s">
        <v>35</v>
      </c>
      <c r="H1442" t="str">
        <f t="shared" si="22"/>
        <v>YES</v>
      </c>
    </row>
    <row r="1443" spans="1:8" x14ac:dyDescent="0.2">
      <c r="A1443" s="6" t="s">
        <v>1457</v>
      </c>
      <c r="B1443" s="7">
        <v>10</v>
      </c>
      <c r="C1443" s="7">
        <v>0</v>
      </c>
      <c r="D1443" s="7">
        <v>0</v>
      </c>
      <c r="E1443" s="7">
        <v>0</v>
      </c>
      <c r="F1443" s="8" t="s">
        <v>35</v>
      </c>
      <c r="G1443" s="8" t="s">
        <v>35</v>
      </c>
      <c r="H1443" t="str">
        <f t="shared" si="22"/>
        <v>YES</v>
      </c>
    </row>
    <row r="1444" spans="1:8" x14ac:dyDescent="0.2">
      <c r="A1444" s="6" t="s">
        <v>1458</v>
      </c>
      <c r="B1444" s="7">
        <v>10</v>
      </c>
      <c r="C1444" s="7">
        <v>0</v>
      </c>
      <c r="D1444" s="7">
        <v>0</v>
      </c>
      <c r="E1444" s="7">
        <v>0</v>
      </c>
      <c r="F1444" s="8" t="s">
        <v>35</v>
      </c>
      <c r="G1444" s="8" t="s">
        <v>35</v>
      </c>
      <c r="H1444" t="str">
        <f t="shared" si="22"/>
        <v>YES</v>
      </c>
    </row>
    <row r="1445" spans="1:8" x14ac:dyDescent="0.2">
      <c r="A1445" s="6" t="s">
        <v>1459</v>
      </c>
      <c r="B1445" s="7">
        <v>10</v>
      </c>
      <c r="C1445" s="7">
        <v>0</v>
      </c>
      <c r="D1445" s="7">
        <v>0</v>
      </c>
      <c r="E1445" s="7">
        <v>0</v>
      </c>
      <c r="F1445" s="8" t="s">
        <v>35</v>
      </c>
      <c r="G1445" s="8" t="s">
        <v>35</v>
      </c>
      <c r="H1445" t="str">
        <f t="shared" si="22"/>
        <v>YES</v>
      </c>
    </row>
    <row r="1446" spans="1:8" x14ac:dyDescent="0.2">
      <c r="A1446" s="6" t="s">
        <v>1460</v>
      </c>
      <c r="B1446" s="7">
        <v>10</v>
      </c>
      <c r="C1446" s="7">
        <v>0</v>
      </c>
      <c r="D1446" s="7">
        <v>0</v>
      </c>
      <c r="E1446" s="7">
        <v>0</v>
      </c>
      <c r="F1446" s="8" t="s">
        <v>35</v>
      </c>
      <c r="G1446" s="8" t="s">
        <v>35</v>
      </c>
      <c r="H1446" t="str">
        <f t="shared" si="22"/>
        <v>YES</v>
      </c>
    </row>
    <row r="1447" spans="1:8" x14ac:dyDescent="0.2">
      <c r="A1447" s="6" t="s">
        <v>1461</v>
      </c>
      <c r="B1447" s="7">
        <v>10</v>
      </c>
      <c r="C1447" s="7">
        <v>0</v>
      </c>
      <c r="D1447" s="7">
        <v>0</v>
      </c>
      <c r="E1447" s="7">
        <v>0</v>
      </c>
      <c r="F1447" s="8" t="s">
        <v>35</v>
      </c>
      <c r="G1447" s="8" t="s">
        <v>35</v>
      </c>
      <c r="H1447" t="str">
        <f t="shared" si="22"/>
        <v>YES</v>
      </c>
    </row>
    <row r="1448" spans="1:8" x14ac:dyDescent="0.2">
      <c r="A1448" s="6" t="s">
        <v>1462</v>
      </c>
      <c r="B1448" s="7">
        <v>10</v>
      </c>
      <c r="C1448" s="7">
        <v>0</v>
      </c>
      <c r="D1448" s="7">
        <v>0</v>
      </c>
      <c r="E1448" s="7">
        <v>0</v>
      </c>
      <c r="F1448" s="8" t="s">
        <v>35</v>
      </c>
      <c r="G1448" s="8" t="s">
        <v>35</v>
      </c>
      <c r="H1448" t="str">
        <f t="shared" si="22"/>
        <v>YES</v>
      </c>
    </row>
    <row r="1449" spans="1:8" x14ac:dyDescent="0.2">
      <c r="A1449" s="6" t="s">
        <v>1463</v>
      </c>
      <c r="B1449" s="7">
        <v>10</v>
      </c>
      <c r="C1449" s="7">
        <v>0</v>
      </c>
      <c r="D1449" s="7">
        <v>0</v>
      </c>
      <c r="E1449" s="7">
        <v>0</v>
      </c>
      <c r="F1449" s="8" t="s">
        <v>35</v>
      </c>
      <c r="G1449" s="8" t="s">
        <v>35</v>
      </c>
      <c r="H1449" t="str">
        <f t="shared" si="22"/>
        <v>YES</v>
      </c>
    </row>
    <row r="1450" spans="1:8" x14ac:dyDescent="0.2">
      <c r="A1450" s="6" t="s">
        <v>1464</v>
      </c>
      <c r="B1450" s="7">
        <v>10</v>
      </c>
      <c r="C1450" s="7">
        <v>0</v>
      </c>
      <c r="D1450" s="7">
        <v>0</v>
      </c>
      <c r="E1450" s="7">
        <v>0</v>
      </c>
      <c r="F1450" s="8" t="s">
        <v>35</v>
      </c>
      <c r="G1450" s="8" t="s">
        <v>35</v>
      </c>
      <c r="H1450" t="str">
        <f t="shared" si="22"/>
        <v>YES</v>
      </c>
    </row>
    <row r="1451" spans="1:8" x14ac:dyDescent="0.2">
      <c r="A1451" s="6" t="s">
        <v>1465</v>
      </c>
      <c r="B1451" s="7">
        <v>10</v>
      </c>
      <c r="C1451" s="7">
        <v>0</v>
      </c>
      <c r="D1451" s="7">
        <v>0</v>
      </c>
      <c r="E1451" s="7">
        <v>0</v>
      </c>
      <c r="F1451" s="8" t="s">
        <v>35</v>
      </c>
      <c r="G1451" s="8" t="s">
        <v>35</v>
      </c>
      <c r="H1451" t="str">
        <f t="shared" si="22"/>
        <v>YES</v>
      </c>
    </row>
    <row r="1452" spans="1:8" x14ac:dyDescent="0.2">
      <c r="A1452" s="6" t="s">
        <v>1466</v>
      </c>
      <c r="B1452" s="7">
        <v>10</v>
      </c>
      <c r="C1452" s="7">
        <v>0</v>
      </c>
      <c r="D1452" s="7">
        <v>0</v>
      </c>
      <c r="E1452" s="7">
        <v>0</v>
      </c>
      <c r="F1452" s="8" t="s">
        <v>35</v>
      </c>
      <c r="G1452" s="8" t="s">
        <v>35</v>
      </c>
      <c r="H1452" t="str">
        <f t="shared" si="22"/>
        <v>YES</v>
      </c>
    </row>
    <row r="1453" spans="1:8" x14ac:dyDescent="0.2">
      <c r="A1453" s="6" t="s">
        <v>1467</v>
      </c>
      <c r="B1453" s="7">
        <v>10</v>
      </c>
      <c r="C1453" s="7">
        <v>0</v>
      </c>
      <c r="D1453" s="7">
        <v>0</v>
      </c>
      <c r="E1453" s="7">
        <v>0</v>
      </c>
      <c r="F1453" s="8" t="s">
        <v>35</v>
      </c>
      <c r="G1453" s="8" t="s">
        <v>35</v>
      </c>
      <c r="H1453" t="str">
        <f t="shared" si="22"/>
        <v>YES</v>
      </c>
    </row>
    <row r="1454" spans="1:8" x14ac:dyDescent="0.2">
      <c r="A1454" s="6" t="s">
        <v>1468</v>
      </c>
      <c r="B1454" s="7">
        <v>10</v>
      </c>
      <c r="C1454" s="7">
        <v>0</v>
      </c>
      <c r="D1454" s="7">
        <v>0</v>
      </c>
      <c r="E1454" s="7">
        <v>0</v>
      </c>
      <c r="F1454" s="8" t="s">
        <v>35</v>
      </c>
      <c r="G1454" s="8" t="s">
        <v>35</v>
      </c>
      <c r="H1454" t="str">
        <f t="shared" si="22"/>
        <v>YES</v>
      </c>
    </row>
    <row r="1455" spans="1:8" x14ac:dyDescent="0.2">
      <c r="A1455" s="6" t="s">
        <v>1469</v>
      </c>
      <c r="B1455" s="7">
        <v>10</v>
      </c>
      <c r="C1455" s="7">
        <v>0</v>
      </c>
      <c r="D1455" s="7">
        <v>0</v>
      </c>
      <c r="E1455" s="7">
        <v>0</v>
      </c>
      <c r="F1455" s="8" t="s">
        <v>35</v>
      </c>
      <c r="G1455" s="8" t="s">
        <v>35</v>
      </c>
      <c r="H1455" t="str">
        <f t="shared" si="22"/>
        <v>YES</v>
      </c>
    </row>
    <row r="1456" spans="1:8" x14ac:dyDescent="0.2">
      <c r="A1456" s="6" t="s">
        <v>1470</v>
      </c>
      <c r="B1456" s="7">
        <v>10</v>
      </c>
      <c r="C1456" s="7">
        <v>0</v>
      </c>
      <c r="D1456" s="7">
        <v>0</v>
      </c>
      <c r="E1456" s="7">
        <v>0</v>
      </c>
      <c r="F1456" s="8" t="s">
        <v>35</v>
      </c>
      <c r="G1456" s="8" t="s">
        <v>35</v>
      </c>
      <c r="H1456" t="str">
        <f t="shared" si="22"/>
        <v>YES</v>
      </c>
    </row>
    <row r="1457" spans="1:8" x14ac:dyDescent="0.2">
      <c r="A1457" s="6" t="s">
        <v>1471</v>
      </c>
      <c r="B1457" s="7">
        <v>10</v>
      </c>
      <c r="C1457" s="7">
        <v>0</v>
      </c>
      <c r="D1457" s="7">
        <v>0</v>
      </c>
      <c r="E1457" s="7">
        <v>0</v>
      </c>
      <c r="F1457" s="8" t="s">
        <v>35</v>
      </c>
      <c r="G1457" s="8" t="s">
        <v>35</v>
      </c>
      <c r="H1457" t="str">
        <f t="shared" si="22"/>
        <v>YES</v>
      </c>
    </row>
    <row r="1458" spans="1:8" x14ac:dyDescent="0.2">
      <c r="A1458" s="6" t="s">
        <v>1472</v>
      </c>
      <c r="B1458" s="7">
        <v>10</v>
      </c>
      <c r="C1458" s="7">
        <v>0</v>
      </c>
      <c r="D1458" s="7">
        <v>0</v>
      </c>
      <c r="E1458" s="7">
        <v>0</v>
      </c>
      <c r="F1458" s="8" t="s">
        <v>35</v>
      </c>
      <c r="G1458" s="8" t="s">
        <v>35</v>
      </c>
      <c r="H1458" t="str">
        <f t="shared" si="22"/>
        <v>YES</v>
      </c>
    </row>
    <row r="1459" spans="1:8" x14ac:dyDescent="0.2">
      <c r="A1459" s="6" t="s">
        <v>1473</v>
      </c>
      <c r="B1459" s="7">
        <v>10</v>
      </c>
      <c r="C1459" s="7">
        <v>0</v>
      </c>
      <c r="D1459" s="7">
        <v>0</v>
      </c>
      <c r="E1459" s="7">
        <v>0</v>
      </c>
      <c r="F1459" s="8" t="s">
        <v>35</v>
      </c>
      <c r="G1459" s="8" t="s">
        <v>35</v>
      </c>
      <c r="H1459" t="str">
        <f t="shared" si="22"/>
        <v>YES</v>
      </c>
    </row>
    <row r="1460" spans="1:8" x14ac:dyDescent="0.2">
      <c r="A1460" s="6" t="s">
        <v>1474</v>
      </c>
      <c r="B1460" s="7">
        <v>10</v>
      </c>
      <c r="C1460" s="7">
        <v>0</v>
      </c>
      <c r="D1460" s="7">
        <v>0</v>
      </c>
      <c r="E1460" s="7">
        <v>0</v>
      </c>
      <c r="F1460" s="8" t="s">
        <v>35</v>
      </c>
      <c r="G1460" s="8" t="s">
        <v>35</v>
      </c>
      <c r="H1460" t="str">
        <f t="shared" si="22"/>
        <v>YES</v>
      </c>
    </row>
    <row r="1461" spans="1:8" x14ac:dyDescent="0.2">
      <c r="A1461" s="6" t="s">
        <v>1475</v>
      </c>
      <c r="B1461" s="7">
        <v>10</v>
      </c>
      <c r="C1461" s="7">
        <v>0</v>
      </c>
      <c r="D1461" s="7">
        <v>0</v>
      </c>
      <c r="E1461" s="7">
        <v>0</v>
      </c>
      <c r="F1461" s="8" t="s">
        <v>35</v>
      </c>
      <c r="G1461" s="8" t="s">
        <v>35</v>
      </c>
      <c r="H1461" t="str">
        <f t="shared" si="22"/>
        <v>YES</v>
      </c>
    </row>
    <row r="1462" spans="1:8" x14ac:dyDescent="0.2">
      <c r="A1462" s="6" t="s">
        <v>1476</v>
      </c>
      <c r="B1462" s="7">
        <v>10</v>
      </c>
      <c r="C1462" s="7">
        <v>0</v>
      </c>
      <c r="D1462" s="7">
        <v>0</v>
      </c>
      <c r="E1462" s="7">
        <v>0</v>
      </c>
      <c r="F1462" s="8" t="s">
        <v>35</v>
      </c>
      <c r="G1462" s="8" t="s">
        <v>35</v>
      </c>
      <c r="H1462" t="str">
        <f t="shared" si="22"/>
        <v>YES</v>
      </c>
    </row>
    <row r="1463" spans="1:8" x14ac:dyDescent="0.2">
      <c r="A1463" s="6" t="s">
        <v>1477</v>
      </c>
      <c r="B1463" s="7">
        <v>12</v>
      </c>
      <c r="C1463" s="7">
        <v>0</v>
      </c>
      <c r="D1463" s="7">
        <v>0</v>
      </c>
      <c r="E1463" s="7">
        <v>0</v>
      </c>
      <c r="F1463" s="8" t="s">
        <v>35</v>
      </c>
      <c r="G1463" s="8" t="s">
        <v>35</v>
      </c>
      <c r="H1463" t="str">
        <f t="shared" si="22"/>
        <v>YES</v>
      </c>
    </row>
    <row r="1464" spans="1:8" x14ac:dyDescent="0.2">
      <c r="A1464" s="6" t="s">
        <v>1478</v>
      </c>
      <c r="B1464" s="7">
        <v>12</v>
      </c>
      <c r="C1464" s="7">
        <v>0</v>
      </c>
      <c r="D1464" s="7">
        <v>0</v>
      </c>
      <c r="E1464" s="7">
        <v>0</v>
      </c>
      <c r="F1464" s="8" t="s">
        <v>35</v>
      </c>
      <c r="G1464" s="8" t="s">
        <v>35</v>
      </c>
      <c r="H1464" t="str">
        <f t="shared" si="22"/>
        <v>YES</v>
      </c>
    </row>
    <row r="1465" spans="1:8" x14ac:dyDescent="0.2">
      <c r="A1465" s="6" t="s">
        <v>1479</v>
      </c>
      <c r="B1465" s="7">
        <v>12</v>
      </c>
      <c r="C1465" s="7">
        <v>0</v>
      </c>
      <c r="D1465" s="7">
        <v>0</v>
      </c>
      <c r="E1465" s="7">
        <v>0</v>
      </c>
      <c r="F1465" s="8" t="s">
        <v>35</v>
      </c>
      <c r="G1465" s="8" t="s">
        <v>35</v>
      </c>
      <c r="H1465" t="str">
        <f t="shared" si="22"/>
        <v>YES</v>
      </c>
    </row>
    <row r="1466" spans="1:8" x14ac:dyDescent="0.2">
      <c r="A1466" s="6" t="s">
        <v>1480</v>
      </c>
      <c r="B1466" s="7">
        <v>12</v>
      </c>
      <c r="C1466" s="7">
        <v>0</v>
      </c>
      <c r="D1466" s="7">
        <v>0</v>
      </c>
      <c r="E1466" s="7">
        <v>0</v>
      </c>
      <c r="F1466" s="8" t="s">
        <v>35</v>
      </c>
      <c r="G1466" s="8" t="s">
        <v>94</v>
      </c>
      <c r="H1466" t="str">
        <f t="shared" si="22"/>
        <v>NO</v>
      </c>
    </row>
    <row r="1467" spans="1:8" x14ac:dyDescent="0.2">
      <c r="A1467" s="6" t="s">
        <v>1481</v>
      </c>
      <c r="B1467" s="7">
        <v>12</v>
      </c>
      <c r="C1467" s="7">
        <v>0</v>
      </c>
      <c r="D1467" s="7">
        <v>0</v>
      </c>
      <c r="E1467" s="7">
        <v>0</v>
      </c>
      <c r="F1467" s="8" t="s">
        <v>35</v>
      </c>
      <c r="G1467" s="8" t="s">
        <v>35</v>
      </c>
      <c r="H1467" t="str">
        <f t="shared" si="22"/>
        <v>YES</v>
      </c>
    </row>
    <row r="1468" spans="1:8" x14ac:dyDescent="0.2">
      <c r="A1468" s="6" t="s">
        <v>1482</v>
      </c>
      <c r="B1468" s="7">
        <v>12</v>
      </c>
      <c r="C1468" s="7">
        <v>0</v>
      </c>
      <c r="D1468" s="7">
        <v>0</v>
      </c>
      <c r="E1468" s="7">
        <v>0</v>
      </c>
      <c r="F1468" s="8" t="s">
        <v>35</v>
      </c>
      <c r="G1468" s="8" t="s">
        <v>35</v>
      </c>
      <c r="H1468" t="str">
        <f t="shared" si="22"/>
        <v>YES</v>
      </c>
    </row>
    <row r="1469" spans="1:8" x14ac:dyDescent="0.2">
      <c r="A1469" s="6" t="s">
        <v>1483</v>
      </c>
      <c r="B1469" s="7">
        <v>12</v>
      </c>
      <c r="C1469" s="7">
        <v>0</v>
      </c>
      <c r="D1469" s="7">
        <v>0</v>
      </c>
      <c r="E1469" s="7">
        <v>0</v>
      </c>
      <c r="F1469" s="8" t="s">
        <v>35</v>
      </c>
      <c r="G1469" s="8" t="s">
        <v>35</v>
      </c>
      <c r="H1469" t="str">
        <f t="shared" si="22"/>
        <v>YES</v>
      </c>
    </row>
    <row r="1470" spans="1:8" x14ac:dyDescent="0.2">
      <c r="A1470" s="6" t="s">
        <v>1484</v>
      </c>
      <c r="B1470" s="7">
        <v>12</v>
      </c>
      <c r="C1470" s="7">
        <v>0</v>
      </c>
      <c r="D1470" s="7">
        <v>0</v>
      </c>
      <c r="E1470" s="7">
        <v>0</v>
      </c>
      <c r="F1470" s="8" t="s">
        <v>35</v>
      </c>
      <c r="G1470" s="8" t="s">
        <v>35</v>
      </c>
      <c r="H1470" t="str">
        <f t="shared" si="22"/>
        <v>YES</v>
      </c>
    </row>
    <row r="1471" spans="1:8" x14ac:dyDescent="0.2">
      <c r="A1471" s="6" t="s">
        <v>1485</v>
      </c>
      <c r="B1471" s="7">
        <v>12</v>
      </c>
      <c r="C1471" s="7">
        <v>0</v>
      </c>
      <c r="D1471" s="7">
        <v>0</v>
      </c>
      <c r="E1471" s="7">
        <v>0</v>
      </c>
      <c r="F1471" s="8" t="s">
        <v>35</v>
      </c>
      <c r="G1471" s="8" t="s">
        <v>35</v>
      </c>
      <c r="H1471" t="str">
        <f t="shared" si="22"/>
        <v>YES</v>
      </c>
    </row>
    <row r="1472" spans="1:8" x14ac:dyDescent="0.2">
      <c r="A1472" s="6" t="s">
        <v>1486</v>
      </c>
      <c r="B1472" s="7">
        <v>12</v>
      </c>
      <c r="C1472" s="7">
        <v>0</v>
      </c>
      <c r="D1472" s="7">
        <v>0</v>
      </c>
      <c r="E1472" s="7">
        <v>0</v>
      </c>
      <c r="F1472" s="8" t="s">
        <v>35</v>
      </c>
      <c r="G1472" s="8" t="s">
        <v>35</v>
      </c>
      <c r="H1472" t="str">
        <f t="shared" si="22"/>
        <v>YES</v>
      </c>
    </row>
    <row r="1473" spans="1:8" x14ac:dyDescent="0.2">
      <c r="A1473" s="6" t="s">
        <v>1487</v>
      </c>
      <c r="B1473" s="7">
        <v>12</v>
      </c>
      <c r="C1473" s="7">
        <v>0</v>
      </c>
      <c r="D1473" s="7">
        <v>0</v>
      </c>
      <c r="E1473" s="7">
        <v>0</v>
      </c>
      <c r="F1473" s="8" t="s">
        <v>35</v>
      </c>
      <c r="G1473" s="8" t="s">
        <v>35</v>
      </c>
      <c r="H1473" t="str">
        <f t="shared" si="22"/>
        <v>YES</v>
      </c>
    </row>
    <row r="1474" spans="1:8" x14ac:dyDescent="0.2">
      <c r="A1474" s="6" t="s">
        <v>1488</v>
      </c>
      <c r="B1474" s="7">
        <v>12</v>
      </c>
      <c r="C1474" s="7">
        <v>0</v>
      </c>
      <c r="D1474" s="7">
        <v>0</v>
      </c>
      <c r="E1474" s="7">
        <v>0</v>
      </c>
      <c r="F1474" s="8" t="s">
        <v>35</v>
      </c>
      <c r="G1474" s="8" t="s">
        <v>35</v>
      </c>
      <c r="H1474" t="str">
        <f t="shared" si="22"/>
        <v>YES</v>
      </c>
    </row>
    <row r="1475" spans="1:8" x14ac:dyDescent="0.2">
      <c r="A1475" s="6" t="s">
        <v>1489</v>
      </c>
      <c r="B1475" s="7">
        <v>12</v>
      </c>
      <c r="C1475" s="7">
        <v>0</v>
      </c>
      <c r="D1475" s="7">
        <v>0</v>
      </c>
      <c r="E1475" s="7">
        <v>0</v>
      </c>
      <c r="F1475" s="8" t="s">
        <v>35</v>
      </c>
      <c r="G1475" s="8" t="s">
        <v>35</v>
      </c>
      <c r="H1475" t="str">
        <f t="shared" si="22"/>
        <v>YES</v>
      </c>
    </row>
    <row r="1476" spans="1:8" x14ac:dyDescent="0.2">
      <c r="A1476" s="6" t="s">
        <v>1490</v>
      </c>
      <c r="B1476" s="7">
        <v>12</v>
      </c>
      <c r="C1476" s="7">
        <v>0</v>
      </c>
      <c r="D1476" s="7">
        <v>0</v>
      </c>
      <c r="E1476" s="7">
        <v>0</v>
      </c>
      <c r="F1476" s="8" t="s">
        <v>35</v>
      </c>
      <c r="G1476" s="8" t="s">
        <v>35</v>
      </c>
      <c r="H1476" t="str">
        <f t="shared" si="22"/>
        <v>YES</v>
      </c>
    </row>
    <row r="1477" spans="1:8" x14ac:dyDescent="0.2">
      <c r="A1477" s="6" t="s">
        <v>1491</v>
      </c>
      <c r="B1477" s="7">
        <v>12</v>
      </c>
      <c r="C1477" s="7">
        <v>0</v>
      </c>
      <c r="D1477" s="7">
        <v>0</v>
      </c>
      <c r="E1477" s="7">
        <v>0</v>
      </c>
      <c r="F1477" s="8" t="s">
        <v>35</v>
      </c>
      <c r="G1477" s="8" t="s">
        <v>35</v>
      </c>
      <c r="H1477" t="str">
        <f t="shared" ref="H1477:H1540" si="23">IF(F1477=G1477,"YES","NO")</f>
        <v>YES</v>
      </c>
    </row>
    <row r="1478" spans="1:8" x14ac:dyDescent="0.2">
      <c r="A1478" s="6" t="s">
        <v>1492</v>
      </c>
      <c r="B1478" s="7">
        <v>12</v>
      </c>
      <c r="C1478" s="7">
        <v>0</v>
      </c>
      <c r="D1478" s="7">
        <v>0</v>
      </c>
      <c r="E1478" s="7">
        <v>0</v>
      </c>
      <c r="F1478" s="8" t="s">
        <v>35</v>
      </c>
      <c r="G1478" s="8" t="s">
        <v>35</v>
      </c>
      <c r="H1478" t="str">
        <f t="shared" si="23"/>
        <v>YES</v>
      </c>
    </row>
    <row r="1479" spans="1:8" x14ac:dyDescent="0.2">
      <c r="A1479" s="6" t="s">
        <v>1493</v>
      </c>
      <c r="B1479" s="7">
        <v>12</v>
      </c>
      <c r="C1479" s="7">
        <v>0</v>
      </c>
      <c r="D1479" s="7">
        <v>0</v>
      </c>
      <c r="E1479" s="7">
        <v>0</v>
      </c>
      <c r="F1479" s="8" t="s">
        <v>35</v>
      </c>
      <c r="G1479" s="8" t="s">
        <v>35</v>
      </c>
      <c r="H1479" t="str">
        <f t="shared" si="23"/>
        <v>YES</v>
      </c>
    </row>
    <row r="1480" spans="1:8" x14ac:dyDescent="0.2">
      <c r="A1480" s="6" t="s">
        <v>1494</v>
      </c>
      <c r="B1480" s="7">
        <v>12</v>
      </c>
      <c r="C1480" s="7">
        <v>0</v>
      </c>
      <c r="D1480" s="7">
        <v>0</v>
      </c>
      <c r="E1480" s="7">
        <v>0</v>
      </c>
      <c r="F1480" s="8" t="s">
        <v>35</v>
      </c>
      <c r="G1480" s="8" t="s">
        <v>35</v>
      </c>
      <c r="H1480" t="str">
        <f t="shared" si="23"/>
        <v>YES</v>
      </c>
    </row>
    <row r="1481" spans="1:8" x14ac:dyDescent="0.2">
      <c r="A1481" s="6" t="s">
        <v>1495</v>
      </c>
      <c r="B1481" s="7">
        <v>12</v>
      </c>
      <c r="C1481" s="7">
        <v>0</v>
      </c>
      <c r="D1481" s="7">
        <v>0</v>
      </c>
      <c r="E1481" s="7">
        <v>0</v>
      </c>
      <c r="F1481" s="8" t="s">
        <v>35</v>
      </c>
      <c r="G1481" s="8" t="s">
        <v>35</v>
      </c>
      <c r="H1481" t="str">
        <f t="shared" si="23"/>
        <v>YES</v>
      </c>
    </row>
    <row r="1482" spans="1:8" x14ac:dyDescent="0.2">
      <c r="A1482" s="6" t="s">
        <v>1496</v>
      </c>
      <c r="B1482" s="7">
        <v>12</v>
      </c>
      <c r="C1482" s="7">
        <v>0</v>
      </c>
      <c r="D1482" s="7">
        <v>0</v>
      </c>
      <c r="E1482" s="7">
        <v>0</v>
      </c>
      <c r="F1482" s="8" t="s">
        <v>35</v>
      </c>
      <c r="G1482" s="8" t="s">
        <v>35</v>
      </c>
      <c r="H1482" t="str">
        <f t="shared" si="23"/>
        <v>YES</v>
      </c>
    </row>
    <row r="1483" spans="1:8" x14ac:dyDescent="0.2">
      <c r="A1483" s="6" t="s">
        <v>1497</v>
      </c>
      <c r="B1483" s="7">
        <v>12</v>
      </c>
      <c r="C1483" s="7">
        <v>0</v>
      </c>
      <c r="D1483" s="7">
        <v>0</v>
      </c>
      <c r="E1483" s="7">
        <v>0</v>
      </c>
      <c r="F1483" s="8" t="s">
        <v>35</v>
      </c>
      <c r="G1483" s="8" t="s">
        <v>35</v>
      </c>
      <c r="H1483" t="str">
        <f t="shared" si="23"/>
        <v>YES</v>
      </c>
    </row>
    <row r="1484" spans="1:8" x14ac:dyDescent="0.2">
      <c r="A1484" s="6" t="s">
        <v>1498</v>
      </c>
      <c r="B1484" s="7">
        <v>12</v>
      </c>
      <c r="C1484" s="7">
        <v>0</v>
      </c>
      <c r="D1484" s="7">
        <v>0</v>
      </c>
      <c r="E1484" s="7">
        <v>0</v>
      </c>
      <c r="F1484" s="8" t="s">
        <v>35</v>
      </c>
      <c r="G1484" s="8" t="s">
        <v>35</v>
      </c>
      <c r="H1484" t="str">
        <f t="shared" si="23"/>
        <v>YES</v>
      </c>
    </row>
    <row r="1485" spans="1:8" x14ac:dyDescent="0.2">
      <c r="A1485" s="6" t="s">
        <v>1499</v>
      </c>
      <c r="B1485" s="7">
        <v>12</v>
      </c>
      <c r="C1485" s="7">
        <v>0</v>
      </c>
      <c r="D1485" s="7">
        <v>0</v>
      </c>
      <c r="E1485" s="7">
        <v>0</v>
      </c>
      <c r="F1485" s="8" t="s">
        <v>35</v>
      </c>
      <c r="G1485" s="8" t="s">
        <v>35</v>
      </c>
      <c r="H1485" t="str">
        <f t="shared" si="23"/>
        <v>YES</v>
      </c>
    </row>
    <row r="1486" spans="1:8" x14ac:dyDescent="0.2">
      <c r="A1486" s="6" t="s">
        <v>1500</v>
      </c>
      <c r="B1486" s="7">
        <v>12</v>
      </c>
      <c r="C1486" s="7">
        <v>0</v>
      </c>
      <c r="D1486" s="7">
        <v>0</v>
      </c>
      <c r="E1486" s="7">
        <v>0</v>
      </c>
      <c r="F1486" s="8" t="s">
        <v>35</v>
      </c>
      <c r="G1486" s="8" t="s">
        <v>35</v>
      </c>
      <c r="H1486" t="str">
        <f t="shared" si="23"/>
        <v>YES</v>
      </c>
    </row>
    <row r="1487" spans="1:8" x14ac:dyDescent="0.2">
      <c r="A1487" s="6" t="s">
        <v>1501</v>
      </c>
      <c r="B1487" s="7">
        <v>12</v>
      </c>
      <c r="C1487" s="7">
        <v>0</v>
      </c>
      <c r="D1487" s="7">
        <v>0</v>
      </c>
      <c r="E1487" s="7">
        <v>0</v>
      </c>
      <c r="F1487" s="8" t="s">
        <v>35</v>
      </c>
      <c r="G1487" s="8" t="s">
        <v>35</v>
      </c>
      <c r="H1487" t="str">
        <f t="shared" si="23"/>
        <v>YES</v>
      </c>
    </row>
    <row r="1488" spans="1:8" x14ac:dyDescent="0.2">
      <c r="A1488" s="6" t="s">
        <v>1502</v>
      </c>
      <c r="B1488" s="7">
        <v>12</v>
      </c>
      <c r="C1488" s="7">
        <v>0</v>
      </c>
      <c r="D1488" s="7">
        <v>0</v>
      </c>
      <c r="E1488" s="7">
        <v>0</v>
      </c>
      <c r="F1488" s="8" t="s">
        <v>35</v>
      </c>
      <c r="G1488" s="8" t="s">
        <v>35</v>
      </c>
      <c r="H1488" t="str">
        <f t="shared" si="23"/>
        <v>YES</v>
      </c>
    </row>
    <row r="1489" spans="1:8" x14ac:dyDescent="0.2">
      <c r="A1489" s="6" t="s">
        <v>1503</v>
      </c>
      <c r="B1489" s="7">
        <v>12</v>
      </c>
      <c r="C1489" s="7">
        <v>0</v>
      </c>
      <c r="D1489" s="7">
        <v>0</v>
      </c>
      <c r="E1489" s="7">
        <v>0</v>
      </c>
      <c r="F1489" s="8" t="s">
        <v>35</v>
      </c>
      <c r="G1489" s="8" t="s">
        <v>35</v>
      </c>
      <c r="H1489" t="str">
        <f t="shared" si="23"/>
        <v>YES</v>
      </c>
    </row>
    <row r="1490" spans="1:8" x14ac:dyDescent="0.2">
      <c r="A1490" s="6" t="s">
        <v>1504</v>
      </c>
      <c r="B1490" s="7">
        <v>12</v>
      </c>
      <c r="C1490" s="7">
        <v>0</v>
      </c>
      <c r="D1490" s="7">
        <v>0</v>
      </c>
      <c r="E1490" s="7">
        <v>0</v>
      </c>
      <c r="F1490" s="8" t="s">
        <v>35</v>
      </c>
      <c r="G1490" s="8" t="s">
        <v>35</v>
      </c>
      <c r="H1490" t="str">
        <f t="shared" si="23"/>
        <v>YES</v>
      </c>
    </row>
    <row r="1491" spans="1:8" x14ac:dyDescent="0.2">
      <c r="A1491" s="6" t="s">
        <v>1505</v>
      </c>
      <c r="B1491" s="7">
        <v>12</v>
      </c>
      <c r="C1491" s="7">
        <v>0</v>
      </c>
      <c r="D1491" s="7">
        <v>0</v>
      </c>
      <c r="E1491" s="7">
        <v>0</v>
      </c>
      <c r="F1491" s="8" t="s">
        <v>35</v>
      </c>
      <c r="G1491" s="8" t="s">
        <v>35</v>
      </c>
      <c r="H1491" t="str">
        <f t="shared" si="23"/>
        <v>YES</v>
      </c>
    </row>
    <row r="1492" spans="1:8" x14ac:dyDescent="0.2">
      <c r="A1492" s="6" t="s">
        <v>1506</v>
      </c>
      <c r="B1492" s="7">
        <v>12</v>
      </c>
      <c r="C1492" s="7">
        <v>0</v>
      </c>
      <c r="D1492" s="7">
        <v>0</v>
      </c>
      <c r="E1492" s="7">
        <v>0</v>
      </c>
      <c r="F1492" s="8" t="s">
        <v>35</v>
      </c>
      <c r="G1492" s="8" t="s">
        <v>35</v>
      </c>
      <c r="H1492" t="str">
        <f t="shared" si="23"/>
        <v>YES</v>
      </c>
    </row>
    <row r="1493" spans="1:8" x14ac:dyDescent="0.2">
      <c r="A1493" s="6" t="s">
        <v>1507</v>
      </c>
      <c r="B1493" s="7">
        <v>13</v>
      </c>
      <c r="C1493" s="7">
        <v>0</v>
      </c>
      <c r="D1493" s="7">
        <v>0</v>
      </c>
      <c r="E1493" s="7">
        <v>0</v>
      </c>
      <c r="F1493" s="8" t="s">
        <v>35</v>
      </c>
      <c r="G1493" s="8" t="s">
        <v>35</v>
      </c>
      <c r="H1493" t="str">
        <f t="shared" si="23"/>
        <v>YES</v>
      </c>
    </row>
    <row r="1494" spans="1:8" x14ac:dyDescent="0.2">
      <c r="A1494" s="6" t="s">
        <v>1508</v>
      </c>
      <c r="B1494" s="7">
        <v>13</v>
      </c>
      <c r="C1494" s="7">
        <v>0</v>
      </c>
      <c r="D1494" s="7">
        <v>0</v>
      </c>
      <c r="E1494" s="7">
        <v>0</v>
      </c>
      <c r="F1494" s="8" t="s">
        <v>35</v>
      </c>
      <c r="G1494" s="8" t="s">
        <v>35</v>
      </c>
      <c r="H1494" t="str">
        <f t="shared" si="23"/>
        <v>YES</v>
      </c>
    </row>
    <row r="1495" spans="1:8" x14ac:dyDescent="0.2">
      <c r="A1495" s="6" t="s">
        <v>1509</v>
      </c>
      <c r="B1495" s="7">
        <v>13</v>
      </c>
      <c r="C1495" s="7">
        <v>0</v>
      </c>
      <c r="D1495" s="7">
        <v>0</v>
      </c>
      <c r="E1495" s="7">
        <v>0</v>
      </c>
      <c r="F1495" s="8" t="s">
        <v>35</v>
      </c>
      <c r="G1495" s="8" t="s">
        <v>35</v>
      </c>
      <c r="H1495" t="str">
        <f t="shared" si="23"/>
        <v>YES</v>
      </c>
    </row>
    <row r="1496" spans="1:8" x14ac:dyDescent="0.2">
      <c r="A1496" s="6" t="s">
        <v>1510</v>
      </c>
      <c r="B1496" s="7">
        <v>13</v>
      </c>
      <c r="C1496" s="7">
        <v>0</v>
      </c>
      <c r="D1496" s="7">
        <v>0</v>
      </c>
      <c r="E1496" s="7">
        <v>0</v>
      </c>
      <c r="F1496" s="8" t="s">
        <v>35</v>
      </c>
      <c r="G1496" s="8" t="s">
        <v>35</v>
      </c>
      <c r="H1496" t="str">
        <f t="shared" si="23"/>
        <v>YES</v>
      </c>
    </row>
    <row r="1497" spans="1:8" x14ac:dyDescent="0.2">
      <c r="A1497" s="6" t="s">
        <v>1511</v>
      </c>
      <c r="B1497" s="7">
        <v>13</v>
      </c>
      <c r="C1497" s="7">
        <v>0</v>
      </c>
      <c r="D1497" s="7">
        <v>0</v>
      </c>
      <c r="E1497" s="7">
        <v>0</v>
      </c>
      <c r="F1497" s="8" t="s">
        <v>35</v>
      </c>
      <c r="G1497" s="8" t="s">
        <v>35</v>
      </c>
      <c r="H1497" t="str">
        <f t="shared" si="23"/>
        <v>YES</v>
      </c>
    </row>
    <row r="1498" spans="1:8" x14ac:dyDescent="0.2">
      <c r="A1498" s="6" t="s">
        <v>1512</v>
      </c>
      <c r="B1498" s="7">
        <v>13</v>
      </c>
      <c r="C1498" s="7">
        <v>0</v>
      </c>
      <c r="D1498" s="7">
        <v>0</v>
      </c>
      <c r="E1498" s="7">
        <v>0</v>
      </c>
      <c r="F1498" s="8" t="s">
        <v>35</v>
      </c>
      <c r="G1498" s="8" t="s">
        <v>35</v>
      </c>
      <c r="H1498" t="str">
        <f t="shared" si="23"/>
        <v>YES</v>
      </c>
    </row>
    <row r="1499" spans="1:8" x14ac:dyDescent="0.2">
      <c r="A1499" s="6" t="s">
        <v>1513</v>
      </c>
      <c r="B1499" s="7">
        <v>13</v>
      </c>
      <c r="C1499" s="7">
        <v>0</v>
      </c>
      <c r="D1499" s="7">
        <v>0</v>
      </c>
      <c r="E1499" s="7">
        <v>0</v>
      </c>
      <c r="F1499" s="8" t="s">
        <v>35</v>
      </c>
      <c r="G1499" s="8" t="s">
        <v>35</v>
      </c>
      <c r="H1499" t="str">
        <f t="shared" si="23"/>
        <v>YES</v>
      </c>
    </row>
    <row r="1500" spans="1:8" x14ac:dyDescent="0.2">
      <c r="A1500" s="6" t="s">
        <v>1514</v>
      </c>
      <c r="B1500" s="7">
        <v>13</v>
      </c>
      <c r="C1500" s="7">
        <v>0</v>
      </c>
      <c r="D1500" s="7">
        <v>0</v>
      </c>
      <c r="E1500" s="7">
        <v>0</v>
      </c>
      <c r="F1500" s="8" t="s">
        <v>35</v>
      </c>
      <c r="G1500" s="8" t="s">
        <v>35</v>
      </c>
      <c r="H1500" t="str">
        <f t="shared" si="23"/>
        <v>YES</v>
      </c>
    </row>
    <row r="1501" spans="1:8" x14ac:dyDescent="0.2">
      <c r="A1501" s="6" t="s">
        <v>1515</v>
      </c>
      <c r="B1501" s="7">
        <v>13</v>
      </c>
      <c r="C1501" s="7">
        <v>0</v>
      </c>
      <c r="D1501" s="7">
        <v>0</v>
      </c>
      <c r="E1501" s="7">
        <v>0</v>
      </c>
      <c r="F1501" s="8" t="s">
        <v>35</v>
      </c>
      <c r="G1501" s="8" t="s">
        <v>35</v>
      </c>
      <c r="H1501" t="str">
        <f t="shared" si="23"/>
        <v>YES</v>
      </c>
    </row>
    <row r="1502" spans="1:8" x14ac:dyDescent="0.2">
      <c r="A1502" s="6" t="s">
        <v>1516</v>
      </c>
      <c r="B1502" s="7">
        <v>13</v>
      </c>
      <c r="C1502" s="7">
        <v>0</v>
      </c>
      <c r="D1502" s="7">
        <v>0</v>
      </c>
      <c r="E1502" s="7">
        <v>0</v>
      </c>
      <c r="F1502" s="8" t="s">
        <v>35</v>
      </c>
      <c r="G1502" s="8" t="s">
        <v>35</v>
      </c>
      <c r="H1502" t="str">
        <f t="shared" si="23"/>
        <v>YES</v>
      </c>
    </row>
    <row r="1503" spans="1:8" x14ac:dyDescent="0.2">
      <c r="A1503" s="6" t="s">
        <v>1517</v>
      </c>
      <c r="B1503" s="7">
        <v>13</v>
      </c>
      <c r="C1503" s="7">
        <v>0</v>
      </c>
      <c r="D1503" s="7">
        <v>0</v>
      </c>
      <c r="E1503" s="7">
        <v>0</v>
      </c>
      <c r="F1503" s="8" t="s">
        <v>35</v>
      </c>
      <c r="G1503" s="8" t="s">
        <v>35</v>
      </c>
      <c r="H1503" t="str">
        <f t="shared" si="23"/>
        <v>YES</v>
      </c>
    </row>
    <row r="1504" spans="1:8" x14ac:dyDescent="0.2">
      <c r="A1504" s="6" t="s">
        <v>1518</v>
      </c>
      <c r="B1504" s="7">
        <v>13</v>
      </c>
      <c r="C1504" s="7">
        <v>0</v>
      </c>
      <c r="D1504" s="7">
        <v>0</v>
      </c>
      <c r="E1504" s="7">
        <v>0</v>
      </c>
      <c r="F1504" s="8" t="s">
        <v>35</v>
      </c>
      <c r="G1504" s="8" t="s">
        <v>35</v>
      </c>
      <c r="H1504" t="str">
        <f t="shared" si="23"/>
        <v>YES</v>
      </c>
    </row>
    <row r="1505" spans="1:8" x14ac:dyDescent="0.2">
      <c r="A1505" s="6" t="s">
        <v>1519</v>
      </c>
      <c r="B1505" s="7">
        <v>13</v>
      </c>
      <c r="C1505" s="7">
        <v>0</v>
      </c>
      <c r="D1505" s="7">
        <v>0</v>
      </c>
      <c r="E1505" s="7">
        <v>0</v>
      </c>
      <c r="F1505" s="8" t="s">
        <v>35</v>
      </c>
      <c r="G1505" s="8" t="s">
        <v>35</v>
      </c>
      <c r="H1505" t="str">
        <f t="shared" si="23"/>
        <v>YES</v>
      </c>
    </row>
    <row r="1506" spans="1:8" x14ac:dyDescent="0.2">
      <c r="A1506" s="6" t="s">
        <v>1520</v>
      </c>
      <c r="B1506" s="7">
        <v>13</v>
      </c>
      <c r="C1506" s="7">
        <v>0</v>
      </c>
      <c r="D1506" s="7">
        <v>0</v>
      </c>
      <c r="E1506" s="7">
        <v>0</v>
      </c>
      <c r="F1506" s="8" t="s">
        <v>35</v>
      </c>
      <c r="G1506" s="8" t="s">
        <v>35</v>
      </c>
      <c r="H1506" t="str">
        <f t="shared" si="23"/>
        <v>YES</v>
      </c>
    </row>
    <row r="1507" spans="1:8" x14ac:dyDescent="0.2">
      <c r="A1507" s="6" t="s">
        <v>1521</v>
      </c>
      <c r="B1507" s="7">
        <v>13</v>
      </c>
      <c r="C1507" s="7">
        <v>0</v>
      </c>
      <c r="D1507" s="7">
        <v>0</v>
      </c>
      <c r="E1507" s="7">
        <v>0</v>
      </c>
      <c r="F1507" s="8" t="s">
        <v>35</v>
      </c>
      <c r="G1507" s="8" t="s">
        <v>35</v>
      </c>
      <c r="H1507" t="str">
        <f t="shared" si="23"/>
        <v>YES</v>
      </c>
    </row>
    <row r="1508" spans="1:8" x14ac:dyDescent="0.2">
      <c r="A1508" s="6" t="s">
        <v>1522</v>
      </c>
      <c r="B1508" s="7">
        <v>13</v>
      </c>
      <c r="C1508" s="7">
        <v>0</v>
      </c>
      <c r="D1508" s="7">
        <v>0</v>
      </c>
      <c r="E1508" s="7">
        <v>0</v>
      </c>
      <c r="F1508" s="8" t="s">
        <v>35</v>
      </c>
      <c r="G1508" s="8" t="s">
        <v>35</v>
      </c>
      <c r="H1508" t="str">
        <f t="shared" si="23"/>
        <v>YES</v>
      </c>
    </row>
    <row r="1509" spans="1:8" x14ac:dyDescent="0.2">
      <c r="A1509" s="6" t="s">
        <v>1523</v>
      </c>
      <c r="B1509" s="7">
        <v>13</v>
      </c>
      <c r="C1509" s="7">
        <v>0</v>
      </c>
      <c r="D1509" s="7">
        <v>0</v>
      </c>
      <c r="E1509" s="7">
        <v>0</v>
      </c>
      <c r="F1509" s="8" t="s">
        <v>35</v>
      </c>
      <c r="G1509" s="8" t="s">
        <v>35</v>
      </c>
      <c r="H1509" t="str">
        <f t="shared" si="23"/>
        <v>YES</v>
      </c>
    </row>
    <row r="1510" spans="1:8" x14ac:dyDescent="0.2">
      <c r="A1510" s="6" t="s">
        <v>1524</v>
      </c>
      <c r="B1510" s="7">
        <v>13</v>
      </c>
      <c r="C1510" s="7">
        <v>0</v>
      </c>
      <c r="D1510" s="7">
        <v>0</v>
      </c>
      <c r="E1510" s="7">
        <v>0</v>
      </c>
      <c r="F1510" s="8" t="s">
        <v>35</v>
      </c>
      <c r="G1510" s="8" t="s">
        <v>35</v>
      </c>
      <c r="H1510" t="str">
        <f t="shared" si="23"/>
        <v>YES</v>
      </c>
    </row>
    <row r="1511" spans="1:8" x14ac:dyDescent="0.2">
      <c r="A1511" s="6" t="s">
        <v>1525</v>
      </c>
      <c r="B1511" s="7">
        <v>13</v>
      </c>
      <c r="C1511" s="7">
        <v>0</v>
      </c>
      <c r="D1511" s="7">
        <v>0</v>
      </c>
      <c r="E1511" s="7">
        <v>0</v>
      </c>
      <c r="F1511" s="8" t="s">
        <v>35</v>
      </c>
      <c r="G1511" s="8" t="s">
        <v>35</v>
      </c>
      <c r="H1511" t="str">
        <f t="shared" si="23"/>
        <v>YES</v>
      </c>
    </row>
    <row r="1512" spans="1:8" x14ac:dyDescent="0.2">
      <c r="A1512" s="6" t="s">
        <v>1526</v>
      </c>
      <c r="B1512" s="7">
        <v>13</v>
      </c>
      <c r="C1512" s="7">
        <v>0</v>
      </c>
      <c r="D1512" s="7">
        <v>0</v>
      </c>
      <c r="E1512" s="7">
        <v>0</v>
      </c>
      <c r="F1512" s="8" t="s">
        <v>35</v>
      </c>
      <c r="G1512" s="8" t="s">
        <v>35</v>
      </c>
      <c r="H1512" t="str">
        <f t="shared" si="23"/>
        <v>YES</v>
      </c>
    </row>
    <row r="1513" spans="1:8" x14ac:dyDescent="0.2">
      <c r="A1513" s="6" t="s">
        <v>1527</v>
      </c>
      <c r="B1513" s="7">
        <v>13</v>
      </c>
      <c r="C1513" s="7">
        <v>0</v>
      </c>
      <c r="D1513" s="7">
        <v>0</v>
      </c>
      <c r="E1513" s="7">
        <v>0</v>
      </c>
      <c r="F1513" s="8" t="s">
        <v>35</v>
      </c>
      <c r="G1513" s="8" t="s">
        <v>35</v>
      </c>
      <c r="H1513" t="str">
        <f t="shared" si="23"/>
        <v>YES</v>
      </c>
    </row>
    <row r="1514" spans="1:8" x14ac:dyDescent="0.2">
      <c r="A1514" s="6" t="s">
        <v>1528</v>
      </c>
      <c r="B1514" s="7">
        <v>14</v>
      </c>
      <c r="C1514" s="7">
        <v>0</v>
      </c>
      <c r="D1514" s="7">
        <v>0</v>
      </c>
      <c r="E1514" s="7">
        <v>0</v>
      </c>
      <c r="F1514" s="8" t="s">
        <v>35</v>
      </c>
      <c r="G1514" s="8" t="s">
        <v>35</v>
      </c>
      <c r="H1514" t="str">
        <f t="shared" si="23"/>
        <v>YES</v>
      </c>
    </row>
    <row r="1515" spans="1:8" x14ac:dyDescent="0.2">
      <c r="A1515" s="6" t="s">
        <v>1529</v>
      </c>
      <c r="B1515" s="7">
        <v>14</v>
      </c>
      <c r="C1515" s="7">
        <v>0</v>
      </c>
      <c r="D1515" s="7">
        <v>0</v>
      </c>
      <c r="E1515" s="7">
        <v>0</v>
      </c>
      <c r="F1515" s="8" t="s">
        <v>35</v>
      </c>
      <c r="G1515" s="8" t="s">
        <v>35</v>
      </c>
      <c r="H1515" t="str">
        <f t="shared" si="23"/>
        <v>YES</v>
      </c>
    </row>
    <row r="1516" spans="1:8" x14ac:dyDescent="0.2">
      <c r="A1516" s="6" t="s">
        <v>1530</v>
      </c>
      <c r="B1516" s="7">
        <v>14</v>
      </c>
      <c r="C1516" s="7">
        <v>0</v>
      </c>
      <c r="D1516" s="7">
        <v>0</v>
      </c>
      <c r="E1516" s="7">
        <v>0</v>
      </c>
      <c r="F1516" s="8" t="s">
        <v>35</v>
      </c>
      <c r="G1516" s="8" t="s">
        <v>35</v>
      </c>
      <c r="H1516" t="str">
        <f t="shared" si="23"/>
        <v>YES</v>
      </c>
    </row>
    <row r="1517" spans="1:8" x14ac:dyDescent="0.2">
      <c r="A1517" s="6" t="s">
        <v>1531</v>
      </c>
      <c r="B1517" s="7">
        <v>14</v>
      </c>
      <c r="C1517" s="7">
        <v>0</v>
      </c>
      <c r="D1517" s="7">
        <v>0</v>
      </c>
      <c r="E1517" s="7">
        <v>0</v>
      </c>
      <c r="F1517" s="8" t="s">
        <v>35</v>
      </c>
      <c r="G1517" s="8" t="s">
        <v>35</v>
      </c>
      <c r="H1517" t="str">
        <f t="shared" si="23"/>
        <v>YES</v>
      </c>
    </row>
    <row r="1518" spans="1:8" x14ac:dyDescent="0.2">
      <c r="A1518" s="6" t="s">
        <v>1532</v>
      </c>
      <c r="B1518" s="7">
        <v>14</v>
      </c>
      <c r="C1518" s="7">
        <v>0</v>
      </c>
      <c r="D1518" s="7">
        <v>0</v>
      </c>
      <c r="E1518" s="7">
        <v>0</v>
      </c>
      <c r="F1518" s="8" t="s">
        <v>35</v>
      </c>
      <c r="G1518" s="8" t="s">
        <v>35</v>
      </c>
      <c r="H1518" t="str">
        <f t="shared" si="23"/>
        <v>YES</v>
      </c>
    </row>
    <row r="1519" spans="1:8" x14ac:dyDescent="0.2">
      <c r="A1519" s="6" t="s">
        <v>1533</v>
      </c>
      <c r="B1519" s="7">
        <v>14</v>
      </c>
      <c r="C1519" s="7">
        <v>0</v>
      </c>
      <c r="D1519" s="7">
        <v>0</v>
      </c>
      <c r="E1519" s="7">
        <v>0</v>
      </c>
      <c r="F1519" s="8" t="s">
        <v>35</v>
      </c>
      <c r="G1519" s="8" t="s">
        <v>35</v>
      </c>
      <c r="H1519" t="str">
        <f t="shared" si="23"/>
        <v>YES</v>
      </c>
    </row>
    <row r="1520" spans="1:8" x14ac:dyDescent="0.2">
      <c r="A1520" s="6" t="s">
        <v>1534</v>
      </c>
      <c r="B1520" s="7">
        <v>14</v>
      </c>
      <c r="C1520" s="7">
        <v>0</v>
      </c>
      <c r="D1520" s="7">
        <v>0</v>
      </c>
      <c r="E1520" s="7">
        <v>0</v>
      </c>
      <c r="F1520" s="8" t="s">
        <v>35</v>
      </c>
      <c r="G1520" s="8" t="s">
        <v>35</v>
      </c>
      <c r="H1520" t="str">
        <f t="shared" si="23"/>
        <v>YES</v>
      </c>
    </row>
    <row r="1521" spans="1:8" x14ac:dyDescent="0.2">
      <c r="A1521" s="6" t="s">
        <v>1535</v>
      </c>
      <c r="B1521" s="7">
        <v>14</v>
      </c>
      <c r="C1521" s="7">
        <v>0</v>
      </c>
      <c r="D1521" s="7">
        <v>0</v>
      </c>
      <c r="E1521" s="7">
        <v>0</v>
      </c>
      <c r="F1521" s="8" t="s">
        <v>35</v>
      </c>
      <c r="G1521" s="8" t="s">
        <v>35</v>
      </c>
      <c r="H1521" t="str">
        <f t="shared" si="23"/>
        <v>YES</v>
      </c>
    </row>
    <row r="1522" spans="1:8" x14ac:dyDescent="0.2">
      <c r="A1522" s="6" t="s">
        <v>1536</v>
      </c>
      <c r="B1522" s="7">
        <v>14</v>
      </c>
      <c r="C1522" s="7">
        <v>0</v>
      </c>
      <c r="D1522" s="7">
        <v>0</v>
      </c>
      <c r="E1522" s="7">
        <v>0</v>
      </c>
      <c r="F1522" s="8" t="s">
        <v>35</v>
      </c>
      <c r="G1522" s="8" t="s">
        <v>35</v>
      </c>
      <c r="H1522" t="str">
        <f t="shared" si="23"/>
        <v>YES</v>
      </c>
    </row>
    <row r="1523" spans="1:8" x14ac:dyDescent="0.2">
      <c r="A1523" s="6" t="s">
        <v>1537</v>
      </c>
      <c r="B1523" s="7">
        <v>14</v>
      </c>
      <c r="C1523" s="7">
        <v>0</v>
      </c>
      <c r="D1523" s="7">
        <v>0</v>
      </c>
      <c r="E1523" s="7">
        <v>0</v>
      </c>
      <c r="F1523" s="8" t="s">
        <v>35</v>
      </c>
      <c r="G1523" s="8" t="s">
        <v>35</v>
      </c>
      <c r="H1523" t="str">
        <f t="shared" si="23"/>
        <v>YES</v>
      </c>
    </row>
    <row r="1524" spans="1:8" x14ac:dyDescent="0.2">
      <c r="A1524" s="6" t="s">
        <v>1538</v>
      </c>
      <c r="B1524" s="7">
        <v>14</v>
      </c>
      <c r="C1524" s="7">
        <v>0</v>
      </c>
      <c r="D1524" s="7">
        <v>0</v>
      </c>
      <c r="E1524" s="7">
        <v>0</v>
      </c>
      <c r="F1524" s="8" t="s">
        <v>35</v>
      </c>
      <c r="G1524" s="8" t="s">
        <v>35</v>
      </c>
      <c r="H1524" t="str">
        <f t="shared" si="23"/>
        <v>YES</v>
      </c>
    </row>
    <row r="1525" spans="1:8" x14ac:dyDescent="0.2">
      <c r="A1525" s="6" t="s">
        <v>1539</v>
      </c>
      <c r="B1525" s="7">
        <v>14</v>
      </c>
      <c r="C1525" s="7">
        <v>0</v>
      </c>
      <c r="D1525" s="7">
        <v>0</v>
      </c>
      <c r="E1525" s="7">
        <v>0</v>
      </c>
      <c r="F1525" s="8" t="s">
        <v>35</v>
      </c>
      <c r="G1525" s="8" t="s">
        <v>35</v>
      </c>
      <c r="H1525" t="str">
        <f t="shared" si="23"/>
        <v>YES</v>
      </c>
    </row>
    <row r="1526" spans="1:8" x14ac:dyDescent="0.2">
      <c r="A1526" s="6" t="s">
        <v>1540</v>
      </c>
      <c r="B1526" s="7">
        <v>14</v>
      </c>
      <c r="C1526" s="7">
        <v>0</v>
      </c>
      <c r="D1526" s="7">
        <v>0</v>
      </c>
      <c r="E1526" s="7">
        <v>0</v>
      </c>
      <c r="F1526" s="8" t="s">
        <v>35</v>
      </c>
      <c r="G1526" s="8" t="s">
        <v>35</v>
      </c>
      <c r="H1526" t="str">
        <f t="shared" si="23"/>
        <v>YES</v>
      </c>
    </row>
    <row r="1527" spans="1:8" x14ac:dyDescent="0.2">
      <c r="A1527" s="6" t="s">
        <v>1541</v>
      </c>
      <c r="B1527" s="7">
        <v>14</v>
      </c>
      <c r="C1527" s="7">
        <v>0</v>
      </c>
      <c r="D1527" s="7">
        <v>0</v>
      </c>
      <c r="E1527" s="7">
        <v>0</v>
      </c>
      <c r="F1527" s="8" t="s">
        <v>35</v>
      </c>
      <c r="G1527" s="8" t="s">
        <v>35</v>
      </c>
      <c r="H1527" t="str">
        <f t="shared" si="23"/>
        <v>YES</v>
      </c>
    </row>
    <row r="1528" spans="1:8" x14ac:dyDescent="0.2">
      <c r="A1528" s="6" t="s">
        <v>1542</v>
      </c>
      <c r="B1528" s="7">
        <v>14</v>
      </c>
      <c r="C1528" s="7">
        <v>0</v>
      </c>
      <c r="D1528" s="7">
        <v>0</v>
      </c>
      <c r="E1528" s="7">
        <v>0</v>
      </c>
      <c r="F1528" s="8" t="s">
        <v>35</v>
      </c>
      <c r="G1528" s="8" t="s">
        <v>35</v>
      </c>
      <c r="H1528" t="str">
        <f t="shared" si="23"/>
        <v>YES</v>
      </c>
    </row>
    <row r="1529" spans="1:8" x14ac:dyDescent="0.2">
      <c r="A1529" s="6" t="s">
        <v>1543</v>
      </c>
      <c r="B1529" s="7">
        <v>14</v>
      </c>
      <c r="C1529" s="7">
        <v>0</v>
      </c>
      <c r="D1529" s="7">
        <v>0</v>
      </c>
      <c r="E1529" s="7">
        <v>0</v>
      </c>
      <c r="F1529" s="8" t="s">
        <v>35</v>
      </c>
      <c r="G1529" s="8" t="s">
        <v>35</v>
      </c>
      <c r="H1529" t="str">
        <f t="shared" si="23"/>
        <v>YES</v>
      </c>
    </row>
    <row r="1530" spans="1:8" x14ac:dyDescent="0.2">
      <c r="A1530" s="6" t="s">
        <v>1544</v>
      </c>
      <c r="B1530" s="7">
        <v>14</v>
      </c>
      <c r="C1530" s="7">
        <v>0</v>
      </c>
      <c r="D1530" s="7">
        <v>0</v>
      </c>
      <c r="E1530" s="7">
        <v>0</v>
      </c>
      <c r="F1530" s="8" t="s">
        <v>35</v>
      </c>
      <c r="G1530" s="8" t="s">
        <v>35</v>
      </c>
      <c r="H1530" t="str">
        <f t="shared" si="23"/>
        <v>YES</v>
      </c>
    </row>
    <row r="1531" spans="1:8" x14ac:dyDescent="0.2">
      <c r="A1531" s="6" t="s">
        <v>1545</v>
      </c>
      <c r="B1531" s="7">
        <v>14</v>
      </c>
      <c r="C1531" s="7">
        <v>0</v>
      </c>
      <c r="D1531" s="7">
        <v>0</v>
      </c>
      <c r="E1531" s="7">
        <v>0</v>
      </c>
      <c r="F1531" s="8" t="s">
        <v>35</v>
      </c>
      <c r="G1531" s="8" t="s">
        <v>35</v>
      </c>
      <c r="H1531" t="str">
        <f t="shared" si="23"/>
        <v>YES</v>
      </c>
    </row>
    <row r="1532" spans="1:8" x14ac:dyDescent="0.2">
      <c r="A1532" s="6" t="s">
        <v>1546</v>
      </c>
      <c r="B1532" s="7">
        <v>14</v>
      </c>
      <c r="C1532" s="7">
        <v>0</v>
      </c>
      <c r="D1532" s="7">
        <v>0</v>
      </c>
      <c r="E1532" s="7">
        <v>0</v>
      </c>
      <c r="F1532" s="8" t="s">
        <v>35</v>
      </c>
      <c r="G1532" s="8" t="s">
        <v>35</v>
      </c>
      <c r="H1532" t="str">
        <f t="shared" si="23"/>
        <v>YES</v>
      </c>
    </row>
    <row r="1533" spans="1:8" x14ac:dyDescent="0.2">
      <c r="A1533" s="6" t="s">
        <v>1547</v>
      </c>
      <c r="B1533" s="7">
        <v>15</v>
      </c>
      <c r="C1533" s="7">
        <v>0</v>
      </c>
      <c r="D1533" s="7">
        <v>0</v>
      </c>
      <c r="E1533" s="7">
        <v>0</v>
      </c>
      <c r="F1533" s="8" t="s">
        <v>35</v>
      </c>
      <c r="G1533" s="8" t="s">
        <v>35</v>
      </c>
      <c r="H1533" t="str">
        <f t="shared" si="23"/>
        <v>YES</v>
      </c>
    </row>
    <row r="1534" spans="1:8" x14ac:dyDescent="0.2">
      <c r="A1534" s="6" t="s">
        <v>1548</v>
      </c>
      <c r="B1534" s="7">
        <v>15</v>
      </c>
      <c r="C1534" s="7">
        <v>0</v>
      </c>
      <c r="D1534" s="7">
        <v>0</v>
      </c>
      <c r="E1534" s="7">
        <v>0</v>
      </c>
      <c r="F1534" s="8" t="s">
        <v>35</v>
      </c>
      <c r="G1534" s="8" t="s">
        <v>35</v>
      </c>
      <c r="H1534" t="str">
        <f t="shared" si="23"/>
        <v>YES</v>
      </c>
    </row>
    <row r="1535" spans="1:8" x14ac:dyDescent="0.2">
      <c r="A1535" s="6" t="s">
        <v>1549</v>
      </c>
      <c r="B1535" s="7">
        <v>15</v>
      </c>
      <c r="C1535" s="7">
        <v>0</v>
      </c>
      <c r="D1535" s="7">
        <v>0</v>
      </c>
      <c r="E1535" s="7">
        <v>0</v>
      </c>
      <c r="F1535" s="8" t="s">
        <v>35</v>
      </c>
      <c r="G1535" s="8" t="s">
        <v>35</v>
      </c>
      <c r="H1535" t="str">
        <f t="shared" si="23"/>
        <v>YES</v>
      </c>
    </row>
    <row r="1536" spans="1:8" x14ac:dyDescent="0.2">
      <c r="A1536" s="6" t="s">
        <v>1550</v>
      </c>
      <c r="B1536" s="7">
        <v>15</v>
      </c>
      <c r="C1536" s="7">
        <v>0</v>
      </c>
      <c r="D1536" s="7">
        <v>0</v>
      </c>
      <c r="E1536" s="7">
        <v>0</v>
      </c>
      <c r="F1536" s="8" t="s">
        <v>35</v>
      </c>
      <c r="G1536" s="8" t="s">
        <v>35</v>
      </c>
      <c r="H1536" t="str">
        <f t="shared" si="23"/>
        <v>YES</v>
      </c>
    </row>
    <row r="1537" spans="1:8" x14ac:dyDescent="0.2">
      <c r="A1537" s="6" t="s">
        <v>1551</v>
      </c>
      <c r="B1537" s="7">
        <v>15</v>
      </c>
      <c r="C1537" s="7">
        <v>0</v>
      </c>
      <c r="D1537" s="7">
        <v>0</v>
      </c>
      <c r="E1537" s="7">
        <v>0</v>
      </c>
      <c r="F1537" s="8" t="s">
        <v>35</v>
      </c>
      <c r="G1537" s="8" t="s">
        <v>35</v>
      </c>
      <c r="H1537" t="str">
        <f t="shared" si="23"/>
        <v>YES</v>
      </c>
    </row>
    <row r="1538" spans="1:8" x14ac:dyDescent="0.2">
      <c r="A1538" s="6" t="s">
        <v>1552</v>
      </c>
      <c r="B1538" s="7">
        <v>15</v>
      </c>
      <c r="C1538" s="7">
        <v>0</v>
      </c>
      <c r="D1538" s="7">
        <v>0</v>
      </c>
      <c r="E1538" s="7">
        <v>0</v>
      </c>
      <c r="F1538" s="8" t="s">
        <v>35</v>
      </c>
      <c r="G1538" s="8" t="s">
        <v>35</v>
      </c>
      <c r="H1538" t="str">
        <f t="shared" si="23"/>
        <v>YES</v>
      </c>
    </row>
    <row r="1539" spans="1:8" x14ac:dyDescent="0.2">
      <c r="A1539" s="6" t="s">
        <v>1553</v>
      </c>
      <c r="B1539" s="7">
        <v>15</v>
      </c>
      <c r="C1539" s="7">
        <v>0</v>
      </c>
      <c r="D1539" s="7">
        <v>0</v>
      </c>
      <c r="E1539" s="7">
        <v>0</v>
      </c>
      <c r="F1539" s="8" t="s">
        <v>35</v>
      </c>
      <c r="G1539" s="8" t="s">
        <v>35</v>
      </c>
      <c r="H1539" t="str">
        <f t="shared" si="23"/>
        <v>YES</v>
      </c>
    </row>
    <row r="1540" spans="1:8" x14ac:dyDescent="0.2">
      <c r="A1540" s="6" t="s">
        <v>1554</v>
      </c>
      <c r="B1540" s="7">
        <v>15</v>
      </c>
      <c r="C1540" s="7">
        <v>0</v>
      </c>
      <c r="D1540" s="7">
        <v>0</v>
      </c>
      <c r="E1540" s="7">
        <v>0</v>
      </c>
      <c r="F1540" s="8" t="s">
        <v>35</v>
      </c>
      <c r="G1540" s="8" t="s">
        <v>35</v>
      </c>
      <c r="H1540" t="str">
        <f t="shared" si="23"/>
        <v>YES</v>
      </c>
    </row>
    <row r="1541" spans="1:8" x14ac:dyDescent="0.2">
      <c r="A1541" s="6" t="s">
        <v>1555</v>
      </c>
      <c r="B1541" s="7">
        <v>15</v>
      </c>
      <c r="C1541" s="7">
        <v>0</v>
      </c>
      <c r="D1541" s="7">
        <v>0</v>
      </c>
      <c r="E1541" s="7">
        <v>0</v>
      </c>
      <c r="F1541" s="8" t="s">
        <v>35</v>
      </c>
      <c r="G1541" s="8" t="s">
        <v>35</v>
      </c>
      <c r="H1541" t="str">
        <f t="shared" ref="H1541:H1604" si="24">IF(F1541=G1541,"YES","NO")</f>
        <v>YES</v>
      </c>
    </row>
    <row r="1542" spans="1:8" x14ac:dyDescent="0.2">
      <c r="A1542" s="6" t="s">
        <v>1556</v>
      </c>
      <c r="B1542" s="7">
        <v>15</v>
      </c>
      <c r="C1542" s="7">
        <v>0</v>
      </c>
      <c r="D1542" s="7">
        <v>0</v>
      </c>
      <c r="E1542" s="7">
        <v>0</v>
      </c>
      <c r="F1542" s="8" t="s">
        <v>35</v>
      </c>
      <c r="G1542" s="8" t="s">
        <v>35</v>
      </c>
      <c r="H1542" t="str">
        <f t="shared" si="24"/>
        <v>YES</v>
      </c>
    </row>
    <row r="1543" spans="1:8" x14ac:dyDescent="0.2">
      <c r="A1543" s="6" t="s">
        <v>1557</v>
      </c>
      <c r="B1543" s="7">
        <v>15</v>
      </c>
      <c r="C1543" s="7">
        <v>0</v>
      </c>
      <c r="D1543" s="7">
        <v>0</v>
      </c>
      <c r="E1543" s="7">
        <v>0</v>
      </c>
      <c r="F1543" s="8" t="s">
        <v>35</v>
      </c>
      <c r="G1543" s="8" t="s">
        <v>35</v>
      </c>
      <c r="H1543" t="str">
        <f t="shared" si="24"/>
        <v>YES</v>
      </c>
    </row>
    <row r="1544" spans="1:8" x14ac:dyDescent="0.2">
      <c r="A1544" s="6" t="s">
        <v>1558</v>
      </c>
      <c r="B1544" s="7">
        <v>15</v>
      </c>
      <c r="C1544" s="7">
        <v>0</v>
      </c>
      <c r="D1544" s="7">
        <v>0</v>
      </c>
      <c r="E1544" s="7">
        <v>0</v>
      </c>
      <c r="F1544" s="8" t="s">
        <v>35</v>
      </c>
      <c r="G1544" s="8" t="s">
        <v>35</v>
      </c>
      <c r="H1544" t="str">
        <f t="shared" si="24"/>
        <v>YES</v>
      </c>
    </row>
    <row r="1545" spans="1:8" x14ac:dyDescent="0.2">
      <c r="A1545" s="6" t="s">
        <v>1559</v>
      </c>
      <c r="B1545" s="7">
        <v>15</v>
      </c>
      <c r="C1545" s="7">
        <v>0</v>
      </c>
      <c r="D1545" s="7">
        <v>0</v>
      </c>
      <c r="E1545" s="7">
        <v>0</v>
      </c>
      <c r="F1545" s="8" t="s">
        <v>35</v>
      </c>
      <c r="G1545" s="8" t="s">
        <v>35</v>
      </c>
      <c r="H1545" t="str">
        <f t="shared" si="24"/>
        <v>YES</v>
      </c>
    </row>
    <row r="1546" spans="1:8" x14ac:dyDescent="0.2">
      <c r="A1546" s="6" t="s">
        <v>1560</v>
      </c>
      <c r="B1546" s="7">
        <v>15</v>
      </c>
      <c r="C1546" s="7">
        <v>0</v>
      </c>
      <c r="D1546" s="7">
        <v>0</v>
      </c>
      <c r="E1546" s="7">
        <v>0</v>
      </c>
      <c r="F1546" s="8" t="s">
        <v>35</v>
      </c>
      <c r="G1546" s="8" t="s">
        <v>35</v>
      </c>
      <c r="H1546" t="str">
        <f t="shared" si="24"/>
        <v>YES</v>
      </c>
    </row>
    <row r="1547" spans="1:8" x14ac:dyDescent="0.2">
      <c r="A1547" s="6" t="s">
        <v>1561</v>
      </c>
      <c r="B1547" s="7">
        <v>15</v>
      </c>
      <c r="C1547" s="7">
        <v>0</v>
      </c>
      <c r="D1547" s="7">
        <v>0</v>
      </c>
      <c r="E1547" s="7">
        <v>0</v>
      </c>
      <c r="F1547" s="8" t="s">
        <v>35</v>
      </c>
      <c r="G1547" s="8" t="s">
        <v>35</v>
      </c>
      <c r="H1547" t="str">
        <f t="shared" si="24"/>
        <v>YES</v>
      </c>
    </row>
    <row r="1548" spans="1:8" x14ac:dyDescent="0.2">
      <c r="A1548" s="6" t="s">
        <v>1562</v>
      </c>
      <c r="B1548" s="7">
        <v>15</v>
      </c>
      <c r="C1548" s="7">
        <v>0</v>
      </c>
      <c r="D1548" s="7">
        <v>0</v>
      </c>
      <c r="E1548" s="7">
        <v>0</v>
      </c>
      <c r="F1548" s="8" t="s">
        <v>35</v>
      </c>
      <c r="G1548" s="8" t="s">
        <v>35</v>
      </c>
      <c r="H1548" t="str">
        <f t="shared" si="24"/>
        <v>YES</v>
      </c>
    </row>
    <row r="1549" spans="1:8" x14ac:dyDescent="0.2">
      <c r="A1549" s="6" t="s">
        <v>1563</v>
      </c>
      <c r="B1549" s="7">
        <v>15</v>
      </c>
      <c r="C1549" s="7">
        <v>0</v>
      </c>
      <c r="D1549" s="7">
        <v>0</v>
      </c>
      <c r="E1549" s="7">
        <v>0</v>
      </c>
      <c r="F1549" s="8" t="s">
        <v>35</v>
      </c>
      <c r="G1549" s="8" t="s">
        <v>35</v>
      </c>
      <c r="H1549" t="str">
        <f t="shared" si="24"/>
        <v>YES</v>
      </c>
    </row>
    <row r="1550" spans="1:8" x14ac:dyDescent="0.2">
      <c r="A1550" s="6" t="s">
        <v>1564</v>
      </c>
      <c r="B1550" s="7">
        <v>15</v>
      </c>
      <c r="C1550" s="7">
        <v>0</v>
      </c>
      <c r="D1550" s="7">
        <v>0</v>
      </c>
      <c r="E1550" s="7">
        <v>0</v>
      </c>
      <c r="F1550" s="8" t="s">
        <v>35</v>
      </c>
      <c r="G1550" s="8" t="s">
        <v>35</v>
      </c>
      <c r="H1550" t="str">
        <f t="shared" si="24"/>
        <v>YES</v>
      </c>
    </row>
    <row r="1551" spans="1:8" x14ac:dyDescent="0.2">
      <c r="A1551" s="6" t="s">
        <v>1565</v>
      </c>
      <c r="B1551" s="7">
        <v>15</v>
      </c>
      <c r="C1551" s="7">
        <v>0</v>
      </c>
      <c r="D1551" s="7">
        <v>0</v>
      </c>
      <c r="E1551" s="7">
        <v>0</v>
      </c>
      <c r="F1551" s="8" t="s">
        <v>35</v>
      </c>
      <c r="G1551" s="8" t="s">
        <v>35</v>
      </c>
      <c r="H1551" t="str">
        <f t="shared" si="24"/>
        <v>YES</v>
      </c>
    </row>
    <row r="1552" spans="1:8" x14ac:dyDescent="0.2">
      <c r="A1552" s="6" t="s">
        <v>1566</v>
      </c>
      <c r="B1552" s="7">
        <v>15</v>
      </c>
      <c r="C1552" s="7">
        <v>0</v>
      </c>
      <c r="D1552" s="7">
        <v>0</v>
      </c>
      <c r="E1552" s="7">
        <v>0</v>
      </c>
      <c r="F1552" s="8" t="s">
        <v>35</v>
      </c>
      <c r="G1552" s="8" t="s">
        <v>35</v>
      </c>
      <c r="H1552" t="str">
        <f t="shared" si="24"/>
        <v>YES</v>
      </c>
    </row>
    <row r="1553" spans="1:8" x14ac:dyDescent="0.2">
      <c r="A1553" s="6" t="s">
        <v>1567</v>
      </c>
      <c r="B1553" s="7">
        <v>16</v>
      </c>
      <c r="C1553" s="7">
        <v>0</v>
      </c>
      <c r="D1553" s="7">
        <v>0</v>
      </c>
      <c r="E1553" s="7">
        <v>0</v>
      </c>
      <c r="F1553" s="8" t="s">
        <v>35</v>
      </c>
      <c r="G1553" s="8" t="s">
        <v>35</v>
      </c>
      <c r="H1553" t="str">
        <f t="shared" si="24"/>
        <v>YES</v>
      </c>
    </row>
    <row r="1554" spans="1:8" x14ac:dyDescent="0.2">
      <c r="A1554" s="6" t="s">
        <v>1568</v>
      </c>
      <c r="B1554" s="7">
        <v>16</v>
      </c>
      <c r="C1554" s="7">
        <v>0</v>
      </c>
      <c r="D1554" s="7">
        <v>0</v>
      </c>
      <c r="E1554" s="7">
        <v>0</v>
      </c>
      <c r="F1554" s="8" t="s">
        <v>35</v>
      </c>
      <c r="G1554" s="8" t="s">
        <v>35</v>
      </c>
      <c r="H1554" t="str">
        <f t="shared" si="24"/>
        <v>YES</v>
      </c>
    </row>
    <row r="1555" spans="1:8" x14ac:dyDescent="0.2">
      <c r="A1555" s="6" t="s">
        <v>1569</v>
      </c>
      <c r="B1555" s="7">
        <v>16</v>
      </c>
      <c r="C1555" s="7">
        <v>0</v>
      </c>
      <c r="D1555" s="7">
        <v>0</v>
      </c>
      <c r="E1555" s="7">
        <v>0</v>
      </c>
      <c r="F1555" s="8" t="s">
        <v>35</v>
      </c>
      <c r="G1555" s="8" t="s">
        <v>35</v>
      </c>
      <c r="H1555" t="str">
        <f t="shared" si="24"/>
        <v>YES</v>
      </c>
    </row>
    <row r="1556" spans="1:8" x14ac:dyDescent="0.2">
      <c r="A1556" s="6" t="s">
        <v>1570</v>
      </c>
      <c r="B1556" s="7">
        <v>16</v>
      </c>
      <c r="C1556" s="7">
        <v>0</v>
      </c>
      <c r="D1556" s="7">
        <v>0</v>
      </c>
      <c r="E1556" s="7">
        <v>0</v>
      </c>
      <c r="F1556" s="8" t="s">
        <v>35</v>
      </c>
      <c r="G1556" s="8" t="s">
        <v>35</v>
      </c>
      <c r="H1556" t="str">
        <f t="shared" si="24"/>
        <v>YES</v>
      </c>
    </row>
    <row r="1557" spans="1:8" x14ac:dyDescent="0.2">
      <c r="A1557" s="6" t="s">
        <v>1571</v>
      </c>
      <c r="B1557" s="7">
        <v>16</v>
      </c>
      <c r="C1557" s="7">
        <v>0</v>
      </c>
      <c r="D1557" s="7">
        <v>0</v>
      </c>
      <c r="E1557" s="7">
        <v>0</v>
      </c>
      <c r="F1557" s="8" t="s">
        <v>35</v>
      </c>
      <c r="G1557" s="8" t="s">
        <v>35</v>
      </c>
      <c r="H1557" t="str">
        <f t="shared" si="24"/>
        <v>YES</v>
      </c>
    </row>
    <row r="1558" spans="1:8" x14ac:dyDescent="0.2">
      <c r="A1558" s="6" t="s">
        <v>1572</v>
      </c>
      <c r="B1558" s="7">
        <v>16</v>
      </c>
      <c r="C1558" s="7">
        <v>0</v>
      </c>
      <c r="D1558" s="7">
        <v>0</v>
      </c>
      <c r="E1558" s="7">
        <v>0</v>
      </c>
      <c r="F1558" s="8" t="s">
        <v>35</v>
      </c>
      <c r="G1558" s="8" t="s">
        <v>35</v>
      </c>
      <c r="H1558" t="str">
        <f t="shared" si="24"/>
        <v>YES</v>
      </c>
    </row>
    <row r="1559" spans="1:8" x14ac:dyDescent="0.2">
      <c r="A1559" s="6" t="s">
        <v>1573</v>
      </c>
      <c r="B1559" s="7">
        <v>16</v>
      </c>
      <c r="C1559" s="7">
        <v>0</v>
      </c>
      <c r="D1559" s="7">
        <v>0</v>
      </c>
      <c r="E1559" s="7">
        <v>0</v>
      </c>
      <c r="F1559" s="8" t="s">
        <v>35</v>
      </c>
      <c r="G1559" s="8" t="s">
        <v>35</v>
      </c>
      <c r="H1559" t="str">
        <f t="shared" si="24"/>
        <v>YES</v>
      </c>
    </row>
    <row r="1560" spans="1:8" x14ac:dyDescent="0.2">
      <c r="A1560" s="6" t="s">
        <v>1574</v>
      </c>
      <c r="B1560" s="7">
        <v>16</v>
      </c>
      <c r="C1560" s="7">
        <v>0</v>
      </c>
      <c r="D1560" s="7">
        <v>0</v>
      </c>
      <c r="E1560" s="7">
        <v>0</v>
      </c>
      <c r="F1560" s="8" t="s">
        <v>35</v>
      </c>
      <c r="G1560" s="8" t="s">
        <v>35</v>
      </c>
      <c r="H1560" t="str">
        <f t="shared" si="24"/>
        <v>YES</v>
      </c>
    </row>
    <row r="1561" spans="1:8" x14ac:dyDescent="0.2">
      <c r="A1561" s="6" t="s">
        <v>1575</v>
      </c>
      <c r="B1561" s="7">
        <v>16</v>
      </c>
      <c r="C1561" s="7">
        <v>0</v>
      </c>
      <c r="D1561" s="7">
        <v>0</v>
      </c>
      <c r="E1561" s="7">
        <v>0</v>
      </c>
      <c r="F1561" s="8" t="s">
        <v>35</v>
      </c>
      <c r="G1561" s="8" t="s">
        <v>35</v>
      </c>
      <c r="H1561" t="str">
        <f t="shared" si="24"/>
        <v>YES</v>
      </c>
    </row>
    <row r="1562" spans="1:8" x14ac:dyDescent="0.2">
      <c r="A1562" s="6" t="s">
        <v>1576</v>
      </c>
      <c r="B1562" s="7">
        <v>16</v>
      </c>
      <c r="C1562" s="7">
        <v>0</v>
      </c>
      <c r="D1562" s="7">
        <v>0</v>
      </c>
      <c r="E1562" s="7">
        <v>0</v>
      </c>
      <c r="F1562" s="8" t="s">
        <v>35</v>
      </c>
      <c r="G1562" s="8" t="s">
        <v>35</v>
      </c>
      <c r="H1562" t="str">
        <f t="shared" si="24"/>
        <v>YES</v>
      </c>
    </row>
    <row r="1563" spans="1:8" x14ac:dyDescent="0.2">
      <c r="A1563" s="6" t="s">
        <v>1577</v>
      </c>
      <c r="B1563" s="7">
        <v>17</v>
      </c>
      <c r="C1563" s="7">
        <v>0</v>
      </c>
      <c r="D1563" s="7">
        <v>0</v>
      </c>
      <c r="E1563" s="7">
        <v>0</v>
      </c>
      <c r="F1563" s="8" t="s">
        <v>35</v>
      </c>
      <c r="G1563" s="8" t="s">
        <v>35</v>
      </c>
      <c r="H1563" t="str">
        <f t="shared" si="24"/>
        <v>YES</v>
      </c>
    </row>
    <row r="1564" spans="1:8" x14ac:dyDescent="0.2">
      <c r="A1564" s="6" t="s">
        <v>1578</v>
      </c>
      <c r="B1564" s="7">
        <v>17</v>
      </c>
      <c r="C1564" s="7">
        <v>0</v>
      </c>
      <c r="D1564" s="7">
        <v>0</v>
      </c>
      <c r="E1564" s="7">
        <v>0</v>
      </c>
      <c r="F1564" s="8" t="s">
        <v>35</v>
      </c>
      <c r="G1564" s="8" t="s">
        <v>35</v>
      </c>
      <c r="H1564" t="str">
        <f t="shared" si="24"/>
        <v>YES</v>
      </c>
    </row>
    <row r="1565" spans="1:8" x14ac:dyDescent="0.2">
      <c r="A1565" s="6" t="s">
        <v>1579</v>
      </c>
      <c r="B1565" s="7">
        <v>17</v>
      </c>
      <c r="C1565" s="7">
        <v>0</v>
      </c>
      <c r="D1565" s="7">
        <v>0</v>
      </c>
      <c r="E1565" s="7">
        <v>0</v>
      </c>
      <c r="F1565" s="8" t="s">
        <v>35</v>
      </c>
      <c r="G1565" s="8" t="s">
        <v>35</v>
      </c>
      <c r="H1565" t="str">
        <f t="shared" si="24"/>
        <v>YES</v>
      </c>
    </row>
    <row r="1566" spans="1:8" x14ac:dyDescent="0.2">
      <c r="A1566" s="6" t="s">
        <v>1580</v>
      </c>
      <c r="B1566" s="7">
        <v>17</v>
      </c>
      <c r="C1566" s="7">
        <v>0</v>
      </c>
      <c r="D1566" s="7">
        <v>0</v>
      </c>
      <c r="E1566" s="7">
        <v>0</v>
      </c>
      <c r="F1566" s="8" t="s">
        <v>35</v>
      </c>
      <c r="G1566" s="8" t="s">
        <v>35</v>
      </c>
      <c r="H1566" t="str">
        <f t="shared" si="24"/>
        <v>YES</v>
      </c>
    </row>
    <row r="1567" spans="1:8" x14ac:dyDescent="0.2">
      <c r="A1567" s="6" t="s">
        <v>1581</v>
      </c>
      <c r="B1567" s="7">
        <v>17</v>
      </c>
      <c r="C1567" s="7">
        <v>0</v>
      </c>
      <c r="D1567" s="7">
        <v>0</v>
      </c>
      <c r="E1567" s="7">
        <v>0</v>
      </c>
      <c r="F1567" s="8" t="s">
        <v>35</v>
      </c>
      <c r="G1567" s="8" t="s">
        <v>35</v>
      </c>
      <c r="H1567" t="str">
        <f t="shared" si="24"/>
        <v>YES</v>
      </c>
    </row>
    <row r="1568" spans="1:8" x14ac:dyDescent="0.2">
      <c r="A1568" s="6" t="s">
        <v>1582</v>
      </c>
      <c r="B1568" s="7">
        <v>17</v>
      </c>
      <c r="C1568" s="7">
        <v>0</v>
      </c>
      <c r="D1568" s="7">
        <v>0</v>
      </c>
      <c r="E1568" s="7">
        <v>0</v>
      </c>
      <c r="F1568" s="8" t="s">
        <v>35</v>
      </c>
      <c r="G1568" s="8" t="s">
        <v>35</v>
      </c>
      <c r="H1568" t="str">
        <f t="shared" si="24"/>
        <v>YES</v>
      </c>
    </row>
    <row r="1569" spans="1:8" x14ac:dyDescent="0.2">
      <c r="A1569" s="6" t="s">
        <v>1583</v>
      </c>
      <c r="B1569" s="7">
        <v>17</v>
      </c>
      <c r="C1569" s="7">
        <v>0</v>
      </c>
      <c r="D1569" s="7">
        <v>0</v>
      </c>
      <c r="E1569" s="7">
        <v>0</v>
      </c>
      <c r="F1569" s="8" t="s">
        <v>35</v>
      </c>
      <c r="G1569" s="8" t="s">
        <v>35</v>
      </c>
      <c r="H1569" t="str">
        <f t="shared" si="24"/>
        <v>YES</v>
      </c>
    </row>
    <row r="1570" spans="1:8" x14ac:dyDescent="0.2">
      <c r="A1570" s="6" t="s">
        <v>1584</v>
      </c>
      <c r="B1570" s="7">
        <v>17</v>
      </c>
      <c r="C1570" s="7">
        <v>0</v>
      </c>
      <c r="D1570" s="7">
        <v>0</v>
      </c>
      <c r="E1570" s="7">
        <v>0</v>
      </c>
      <c r="F1570" s="8" t="s">
        <v>35</v>
      </c>
      <c r="G1570" s="8" t="s">
        <v>35</v>
      </c>
      <c r="H1570" t="str">
        <f t="shared" si="24"/>
        <v>YES</v>
      </c>
    </row>
    <row r="1571" spans="1:8" x14ac:dyDescent="0.2">
      <c r="A1571" s="6" t="s">
        <v>1585</v>
      </c>
      <c r="B1571" s="7">
        <v>17</v>
      </c>
      <c r="C1571" s="7">
        <v>0</v>
      </c>
      <c r="D1571" s="7">
        <v>0</v>
      </c>
      <c r="E1571" s="7">
        <v>0</v>
      </c>
      <c r="F1571" s="8" t="s">
        <v>35</v>
      </c>
      <c r="G1571" s="8" t="s">
        <v>35</v>
      </c>
      <c r="H1571" t="str">
        <f t="shared" si="24"/>
        <v>YES</v>
      </c>
    </row>
    <row r="1572" spans="1:8" x14ac:dyDescent="0.2">
      <c r="A1572" s="6" t="s">
        <v>1586</v>
      </c>
      <c r="B1572" s="7">
        <v>17</v>
      </c>
      <c r="C1572" s="7">
        <v>0</v>
      </c>
      <c r="D1572" s="7">
        <v>0</v>
      </c>
      <c r="E1572" s="7">
        <v>0</v>
      </c>
      <c r="F1572" s="8" t="s">
        <v>35</v>
      </c>
      <c r="G1572" s="8" t="s">
        <v>35</v>
      </c>
      <c r="H1572" t="str">
        <f t="shared" si="24"/>
        <v>YES</v>
      </c>
    </row>
    <row r="1573" spans="1:8" x14ac:dyDescent="0.2">
      <c r="A1573" s="6" t="s">
        <v>1587</v>
      </c>
      <c r="B1573" s="7">
        <v>17</v>
      </c>
      <c r="C1573" s="7">
        <v>0</v>
      </c>
      <c r="D1573" s="7">
        <v>0</v>
      </c>
      <c r="E1573" s="7">
        <v>0</v>
      </c>
      <c r="F1573" s="8" t="s">
        <v>35</v>
      </c>
      <c r="G1573" s="8" t="s">
        <v>35</v>
      </c>
      <c r="H1573" t="str">
        <f t="shared" si="24"/>
        <v>YES</v>
      </c>
    </row>
    <row r="1574" spans="1:8" x14ac:dyDescent="0.2">
      <c r="A1574" s="6" t="s">
        <v>1588</v>
      </c>
      <c r="B1574" s="7">
        <v>17</v>
      </c>
      <c r="C1574" s="7">
        <v>0</v>
      </c>
      <c r="D1574" s="7">
        <v>0</v>
      </c>
      <c r="E1574" s="7">
        <v>0</v>
      </c>
      <c r="F1574" s="8" t="s">
        <v>35</v>
      </c>
      <c r="G1574" s="8" t="s">
        <v>35</v>
      </c>
      <c r="H1574" t="str">
        <f t="shared" si="24"/>
        <v>YES</v>
      </c>
    </row>
    <row r="1575" spans="1:8" x14ac:dyDescent="0.2">
      <c r="A1575" s="6" t="s">
        <v>1589</v>
      </c>
      <c r="B1575" s="7">
        <v>17</v>
      </c>
      <c r="C1575" s="7">
        <v>0</v>
      </c>
      <c r="D1575" s="7">
        <v>0</v>
      </c>
      <c r="E1575" s="7">
        <v>0</v>
      </c>
      <c r="F1575" s="8" t="s">
        <v>35</v>
      </c>
      <c r="G1575" s="8" t="s">
        <v>35</v>
      </c>
      <c r="H1575" t="str">
        <f t="shared" si="24"/>
        <v>YES</v>
      </c>
    </row>
    <row r="1576" spans="1:8" x14ac:dyDescent="0.2">
      <c r="A1576" s="6" t="s">
        <v>1590</v>
      </c>
      <c r="B1576" s="7">
        <v>18</v>
      </c>
      <c r="C1576" s="7">
        <v>0</v>
      </c>
      <c r="D1576" s="7">
        <v>0</v>
      </c>
      <c r="E1576" s="7">
        <v>0</v>
      </c>
      <c r="F1576" s="8" t="s">
        <v>35</v>
      </c>
      <c r="G1576" s="8" t="s">
        <v>35</v>
      </c>
      <c r="H1576" t="str">
        <f t="shared" si="24"/>
        <v>YES</v>
      </c>
    </row>
    <row r="1577" spans="1:8" x14ac:dyDescent="0.2">
      <c r="A1577" s="6" t="s">
        <v>1591</v>
      </c>
      <c r="B1577" s="7">
        <v>18</v>
      </c>
      <c r="C1577" s="7">
        <v>0</v>
      </c>
      <c r="D1577" s="7">
        <v>0</v>
      </c>
      <c r="E1577" s="7">
        <v>0</v>
      </c>
      <c r="F1577" s="8" t="s">
        <v>35</v>
      </c>
      <c r="G1577" s="8" t="s">
        <v>35</v>
      </c>
      <c r="H1577" t="str">
        <f t="shared" si="24"/>
        <v>YES</v>
      </c>
    </row>
    <row r="1578" spans="1:8" x14ac:dyDescent="0.2">
      <c r="A1578" s="6" t="s">
        <v>1592</v>
      </c>
      <c r="B1578" s="7">
        <v>18</v>
      </c>
      <c r="C1578" s="7">
        <v>0</v>
      </c>
      <c r="D1578" s="7">
        <v>0</v>
      </c>
      <c r="E1578" s="7">
        <v>0</v>
      </c>
      <c r="F1578" s="8" t="s">
        <v>35</v>
      </c>
      <c r="G1578" s="8" t="s">
        <v>35</v>
      </c>
      <c r="H1578" t="str">
        <f t="shared" si="24"/>
        <v>YES</v>
      </c>
    </row>
    <row r="1579" spans="1:8" x14ac:dyDescent="0.2">
      <c r="A1579" s="6" t="s">
        <v>1593</v>
      </c>
      <c r="B1579" s="7">
        <v>18</v>
      </c>
      <c r="C1579" s="7">
        <v>0</v>
      </c>
      <c r="D1579" s="7">
        <v>0</v>
      </c>
      <c r="E1579" s="7">
        <v>0</v>
      </c>
      <c r="F1579" s="8" t="s">
        <v>35</v>
      </c>
      <c r="G1579" s="8" t="s">
        <v>94</v>
      </c>
      <c r="H1579" t="str">
        <f t="shared" si="24"/>
        <v>NO</v>
      </c>
    </row>
    <row r="1580" spans="1:8" x14ac:dyDescent="0.2">
      <c r="A1580" s="6" t="s">
        <v>1594</v>
      </c>
      <c r="B1580" s="7">
        <v>18</v>
      </c>
      <c r="C1580" s="7">
        <v>0</v>
      </c>
      <c r="D1580" s="7">
        <v>0</v>
      </c>
      <c r="E1580" s="7">
        <v>0</v>
      </c>
      <c r="F1580" s="8" t="s">
        <v>35</v>
      </c>
      <c r="G1580" s="8" t="s">
        <v>35</v>
      </c>
      <c r="H1580" t="str">
        <f t="shared" si="24"/>
        <v>YES</v>
      </c>
    </row>
    <row r="1581" spans="1:8" x14ac:dyDescent="0.2">
      <c r="A1581" s="6" t="s">
        <v>1595</v>
      </c>
      <c r="B1581" s="7">
        <v>18</v>
      </c>
      <c r="C1581" s="7">
        <v>0</v>
      </c>
      <c r="D1581" s="7">
        <v>0</v>
      </c>
      <c r="E1581" s="7">
        <v>0</v>
      </c>
      <c r="F1581" s="8" t="s">
        <v>35</v>
      </c>
      <c r="G1581" s="8" t="s">
        <v>35</v>
      </c>
      <c r="H1581" t="str">
        <f t="shared" si="24"/>
        <v>YES</v>
      </c>
    </row>
    <row r="1582" spans="1:8" x14ac:dyDescent="0.2">
      <c r="A1582" s="6" t="s">
        <v>1596</v>
      </c>
      <c r="B1582" s="7">
        <v>18</v>
      </c>
      <c r="C1582" s="7">
        <v>0</v>
      </c>
      <c r="D1582" s="7">
        <v>0</v>
      </c>
      <c r="E1582" s="7">
        <v>0</v>
      </c>
      <c r="F1582" s="8" t="s">
        <v>35</v>
      </c>
      <c r="G1582" s="8" t="s">
        <v>35</v>
      </c>
      <c r="H1582" t="str">
        <f t="shared" si="24"/>
        <v>YES</v>
      </c>
    </row>
    <row r="1583" spans="1:8" x14ac:dyDescent="0.2">
      <c r="A1583" s="6" t="s">
        <v>1597</v>
      </c>
      <c r="B1583" s="7">
        <v>18</v>
      </c>
      <c r="C1583" s="7">
        <v>0</v>
      </c>
      <c r="D1583" s="7">
        <v>0</v>
      </c>
      <c r="E1583" s="7">
        <v>0</v>
      </c>
      <c r="F1583" s="8" t="s">
        <v>35</v>
      </c>
      <c r="G1583" s="8" t="s">
        <v>35</v>
      </c>
      <c r="H1583" t="str">
        <f t="shared" si="24"/>
        <v>YES</v>
      </c>
    </row>
    <row r="1584" spans="1:8" x14ac:dyDescent="0.2">
      <c r="A1584" s="6" t="s">
        <v>1598</v>
      </c>
      <c r="B1584" s="7">
        <v>18</v>
      </c>
      <c r="C1584" s="7">
        <v>0</v>
      </c>
      <c r="D1584" s="7">
        <v>0</v>
      </c>
      <c r="E1584" s="7">
        <v>0</v>
      </c>
      <c r="F1584" s="8" t="s">
        <v>35</v>
      </c>
      <c r="G1584" s="8" t="s">
        <v>35</v>
      </c>
      <c r="H1584" t="str">
        <f t="shared" si="24"/>
        <v>YES</v>
      </c>
    </row>
    <row r="1585" spans="1:8" x14ac:dyDescent="0.2">
      <c r="A1585" s="6" t="s">
        <v>1599</v>
      </c>
      <c r="B1585" s="7">
        <v>18</v>
      </c>
      <c r="C1585" s="7">
        <v>0</v>
      </c>
      <c r="D1585" s="7">
        <v>0</v>
      </c>
      <c r="E1585" s="7">
        <v>0</v>
      </c>
      <c r="F1585" s="8" t="s">
        <v>35</v>
      </c>
      <c r="G1585" s="8" t="s">
        <v>35</v>
      </c>
      <c r="H1585" t="str">
        <f t="shared" si="24"/>
        <v>YES</v>
      </c>
    </row>
    <row r="1586" spans="1:8" x14ac:dyDescent="0.2">
      <c r="A1586" s="6" t="s">
        <v>1600</v>
      </c>
      <c r="B1586" s="7">
        <v>18</v>
      </c>
      <c r="C1586" s="7">
        <v>0</v>
      </c>
      <c r="D1586" s="7">
        <v>0</v>
      </c>
      <c r="E1586" s="7">
        <v>0</v>
      </c>
      <c r="F1586" s="8" t="s">
        <v>35</v>
      </c>
      <c r="G1586" s="8" t="s">
        <v>35</v>
      </c>
      <c r="H1586" t="str">
        <f t="shared" si="24"/>
        <v>YES</v>
      </c>
    </row>
    <row r="1587" spans="1:8" x14ac:dyDescent="0.2">
      <c r="A1587" s="6" t="s">
        <v>1601</v>
      </c>
      <c r="B1587" s="7">
        <v>18</v>
      </c>
      <c r="C1587" s="7">
        <v>0</v>
      </c>
      <c r="D1587" s="7">
        <v>0</v>
      </c>
      <c r="E1587" s="7">
        <v>0</v>
      </c>
      <c r="F1587" s="8" t="s">
        <v>35</v>
      </c>
      <c r="G1587" s="8" t="s">
        <v>35</v>
      </c>
      <c r="H1587" t="str">
        <f t="shared" si="24"/>
        <v>YES</v>
      </c>
    </row>
    <row r="1588" spans="1:8" x14ac:dyDescent="0.2">
      <c r="A1588" s="6" t="s">
        <v>1602</v>
      </c>
      <c r="B1588" s="7">
        <v>18</v>
      </c>
      <c r="C1588" s="7">
        <v>0</v>
      </c>
      <c r="D1588" s="7">
        <v>0</v>
      </c>
      <c r="E1588" s="7">
        <v>0</v>
      </c>
      <c r="F1588" s="8" t="s">
        <v>35</v>
      </c>
      <c r="G1588" s="8" t="s">
        <v>35</v>
      </c>
      <c r="H1588" t="str">
        <f t="shared" si="24"/>
        <v>YES</v>
      </c>
    </row>
    <row r="1589" spans="1:8" x14ac:dyDescent="0.2">
      <c r="A1589" s="6" t="s">
        <v>1603</v>
      </c>
      <c r="B1589" s="7">
        <v>18</v>
      </c>
      <c r="C1589" s="7">
        <v>0</v>
      </c>
      <c r="D1589" s="7">
        <v>0</v>
      </c>
      <c r="E1589" s="7">
        <v>0</v>
      </c>
      <c r="F1589" s="8" t="s">
        <v>35</v>
      </c>
      <c r="G1589" s="8" t="s">
        <v>35</v>
      </c>
      <c r="H1589" t="str">
        <f t="shared" si="24"/>
        <v>YES</v>
      </c>
    </row>
    <row r="1590" spans="1:8" x14ac:dyDescent="0.2">
      <c r="A1590" s="6" t="s">
        <v>1604</v>
      </c>
      <c r="B1590" s="7">
        <v>19</v>
      </c>
      <c r="C1590" s="7">
        <v>0</v>
      </c>
      <c r="D1590" s="7">
        <v>0</v>
      </c>
      <c r="E1590" s="7">
        <v>0</v>
      </c>
      <c r="F1590" s="8" t="s">
        <v>35</v>
      </c>
      <c r="G1590" s="8" t="s">
        <v>35</v>
      </c>
      <c r="H1590" t="str">
        <f t="shared" si="24"/>
        <v>YES</v>
      </c>
    </row>
    <row r="1591" spans="1:8" x14ac:dyDescent="0.2">
      <c r="A1591" s="6" t="s">
        <v>1605</v>
      </c>
      <c r="B1591" s="7">
        <v>19</v>
      </c>
      <c r="C1591" s="7">
        <v>0</v>
      </c>
      <c r="D1591" s="7">
        <v>0</v>
      </c>
      <c r="E1591" s="7">
        <v>0</v>
      </c>
      <c r="F1591" s="8" t="s">
        <v>35</v>
      </c>
      <c r="G1591" s="8" t="s">
        <v>35</v>
      </c>
      <c r="H1591" t="str">
        <f t="shared" si="24"/>
        <v>YES</v>
      </c>
    </row>
    <row r="1592" spans="1:8" x14ac:dyDescent="0.2">
      <c r="A1592" s="6" t="s">
        <v>1606</v>
      </c>
      <c r="B1592" s="7">
        <v>19</v>
      </c>
      <c r="C1592" s="7">
        <v>0</v>
      </c>
      <c r="D1592" s="7">
        <v>0</v>
      </c>
      <c r="E1592" s="7">
        <v>0</v>
      </c>
      <c r="F1592" s="8" t="s">
        <v>35</v>
      </c>
      <c r="G1592" s="8" t="s">
        <v>35</v>
      </c>
      <c r="H1592" t="str">
        <f t="shared" si="24"/>
        <v>YES</v>
      </c>
    </row>
    <row r="1593" spans="1:8" x14ac:dyDescent="0.2">
      <c r="A1593" s="6" t="s">
        <v>1607</v>
      </c>
      <c r="B1593" s="7">
        <v>19</v>
      </c>
      <c r="C1593" s="7">
        <v>0</v>
      </c>
      <c r="D1593" s="7">
        <v>0</v>
      </c>
      <c r="E1593" s="7">
        <v>0</v>
      </c>
      <c r="F1593" s="8" t="s">
        <v>35</v>
      </c>
      <c r="G1593" s="8" t="s">
        <v>35</v>
      </c>
      <c r="H1593" t="str">
        <f t="shared" si="24"/>
        <v>YES</v>
      </c>
    </row>
    <row r="1594" spans="1:8" x14ac:dyDescent="0.2">
      <c r="A1594" s="6" t="s">
        <v>1608</v>
      </c>
      <c r="B1594" s="7">
        <v>19</v>
      </c>
      <c r="C1594" s="7">
        <v>0</v>
      </c>
      <c r="D1594" s="7">
        <v>0</v>
      </c>
      <c r="E1594" s="7">
        <v>0</v>
      </c>
      <c r="F1594" s="8" t="s">
        <v>35</v>
      </c>
      <c r="G1594" s="8" t="s">
        <v>35</v>
      </c>
      <c r="H1594" t="str">
        <f t="shared" si="24"/>
        <v>YES</v>
      </c>
    </row>
    <row r="1595" spans="1:8" x14ac:dyDescent="0.2">
      <c r="A1595" s="6" t="s">
        <v>1609</v>
      </c>
      <c r="B1595" s="7">
        <v>19</v>
      </c>
      <c r="C1595" s="7">
        <v>0</v>
      </c>
      <c r="D1595" s="7">
        <v>0</v>
      </c>
      <c r="E1595" s="7">
        <v>0</v>
      </c>
      <c r="F1595" s="8" t="s">
        <v>35</v>
      </c>
      <c r="G1595" s="8" t="s">
        <v>35</v>
      </c>
      <c r="H1595" t="str">
        <f t="shared" si="24"/>
        <v>YES</v>
      </c>
    </row>
    <row r="1596" spans="1:8" x14ac:dyDescent="0.2">
      <c r="A1596" s="6" t="s">
        <v>1610</v>
      </c>
      <c r="B1596" s="7">
        <v>19</v>
      </c>
      <c r="C1596" s="7">
        <v>0</v>
      </c>
      <c r="D1596" s="7">
        <v>0</v>
      </c>
      <c r="E1596" s="7">
        <v>0</v>
      </c>
      <c r="F1596" s="8" t="s">
        <v>35</v>
      </c>
      <c r="G1596" s="8" t="s">
        <v>35</v>
      </c>
      <c r="H1596" t="str">
        <f t="shared" si="24"/>
        <v>YES</v>
      </c>
    </row>
    <row r="1597" spans="1:8" x14ac:dyDescent="0.2">
      <c r="A1597" s="6" t="s">
        <v>1611</v>
      </c>
      <c r="B1597" s="7">
        <v>19</v>
      </c>
      <c r="C1597" s="7">
        <v>0</v>
      </c>
      <c r="D1597" s="7">
        <v>0</v>
      </c>
      <c r="E1597" s="7">
        <v>0</v>
      </c>
      <c r="F1597" s="8" t="s">
        <v>35</v>
      </c>
      <c r="G1597" s="8" t="s">
        <v>35</v>
      </c>
      <c r="H1597" t="str">
        <f t="shared" si="24"/>
        <v>YES</v>
      </c>
    </row>
    <row r="1598" spans="1:8" x14ac:dyDescent="0.2">
      <c r="A1598" s="6" t="s">
        <v>1612</v>
      </c>
      <c r="B1598" s="7">
        <v>19</v>
      </c>
      <c r="C1598" s="7">
        <v>0</v>
      </c>
      <c r="D1598" s="7">
        <v>0</v>
      </c>
      <c r="E1598" s="7">
        <v>0</v>
      </c>
      <c r="F1598" s="8" t="s">
        <v>35</v>
      </c>
      <c r="G1598" s="8" t="s">
        <v>35</v>
      </c>
      <c r="H1598" t="str">
        <f t="shared" si="24"/>
        <v>YES</v>
      </c>
    </row>
    <row r="1599" spans="1:8" x14ac:dyDescent="0.2">
      <c r="A1599" s="6" t="s">
        <v>1613</v>
      </c>
      <c r="B1599" s="7">
        <v>19</v>
      </c>
      <c r="C1599" s="7">
        <v>0</v>
      </c>
      <c r="D1599" s="7">
        <v>0</v>
      </c>
      <c r="E1599" s="7">
        <v>0</v>
      </c>
      <c r="F1599" s="8" t="s">
        <v>35</v>
      </c>
      <c r="G1599" s="8" t="s">
        <v>35</v>
      </c>
      <c r="H1599" t="str">
        <f t="shared" si="24"/>
        <v>YES</v>
      </c>
    </row>
    <row r="1600" spans="1:8" x14ac:dyDescent="0.2">
      <c r="A1600" s="6" t="s">
        <v>1614</v>
      </c>
      <c r="B1600" s="7">
        <v>19</v>
      </c>
      <c r="C1600" s="7">
        <v>0</v>
      </c>
      <c r="D1600" s="7">
        <v>0</v>
      </c>
      <c r="E1600" s="7">
        <v>0</v>
      </c>
      <c r="F1600" s="8" t="s">
        <v>35</v>
      </c>
      <c r="G1600" s="8" t="s">
        <v>35</v>
      </c>
      <c r="H1600" t="str">
        <f t="shared" si="24"/>
        <v>YES</v>
      </c>
    </row>
    <row r="1601" spans="1:8" x14ac:dyDescent="0.2">
      <c r="A1601" s="6" t="s">
        <v>1615</v>
      </c>
      <c r="B1601" s="7">
        <v>19</v>
      </c>
      <c r="C1601" s="7">
        <v>0</v>
      </c>
      <c r="D1601" s="7">
        <v>0</v>
      </c>
      <c r="E1601" s="7">
        <v>0</v>
      </c>
      <c r="F1601" s="8" t="s">
        <v>35</v>
      </c>
      <c r="G1601" s="8" t="s">
        <v>35</v>
      </c>
      <c r="H1601" t="str">
        <f t="shared" si="24"/>
        <v>YES</v>
      </c>
    </row>
    <row r="1602" spans="1:8" x14ac:dyDescent="0.2">
      <c r="A1602" s="6" t="s">
        <v>1616</v>
      </c>
      <c r="B1602" s="7">
        <v>20</v>
      </c>
      <c r="C1602" s="7">
        <v>0</v>
      </c>
      <c r="D1602" s="7">
        <v>0</v>
      </c>
      <c r="E1602" s="7">
        <v>0</v>
      </c>
      <c r="F1602" s="8" t="s">
        <v>35</v>
      </c>
      <c r="G1602" s="8" t="s">
        <v>35</v>
      </c>
      <c r="H1602" t="str">
        <f t="shared" si="24"/>
        <v>YES</v>
      </c>
    </row>
    <row r="1603" spans="1:8" x14ac:dyDescent="0.2">
      <c r="A1603" s="6" t="s">
        <v>1617</v>
      </c>
      <c r="B1603" s="7">
        <v>20</v>
      </c>
      <c r="C1603" s="7">
        <v>0</v>
      </c>
      <c r="D1603" s="7">
        <v>0</v>
      </c>
      <c r="E1603" s="7">
        <v>0</v>
      </c>
      <c r="F1603" s="8" t="s">
        <v>35</v>
      </c>
      <c r="G1603" s="8" t="s">
        <v>35</v>
      </c>
      <c r="H1603" t="str">
        <f t="shared" si="24"/>
        <v>YES</v>
      </c>
    </row>
    <row r="1604" spans="1:8" x14ac:dyDescent="0.2">
      <c r="A1604" s="6" t="s">
        <v>1618</v>
      </c>
      <c r="B1604" s="7">
        <v>20</v>
      </c>
      <c r="C1604" s="7">
        <v>0</v>
      </c>
      <c r="D1604" s="7">
        <v>0</v>
      </c>
      <c r="E1604" s="7">
        <v>0</v>
      </c>
      <c r="F1604" s="8" t="s">
        <v>35</v>
      </c>
      <c r="G1604" s="8" t="s">
        <v>35</v>
      </c>
      <c r="H1604" t="str">
        <f t="shared" si="24"/>
        <v>YES</v>
      </c>
    </row>
    <row r="1605" spans="1:8" x14ac:dyDescent="0.2">
      <c r="A1605" s="6" t="s">
        <v>1619</v>
      </c>
      <c r="B1605" s="7">
        <v>20</v>
      </c>
      <c r="C1605" s="7">
        <v>0</v>
      </c>
      <c r="D1605" s="7">
        <v>0</v>
      </c>
      <c r="E1605" s="7">
        <v>0</v>
      </c>
      <c r="F1605" s="8" t="s">
        <v>35</v>
      </c>
      <c r="G1605" s="8" t="s">
        <v>35</v>
      </c>
      <c r="H1605" t="str">
        <f t="shared" ref="H1605:H1668" si="25">IF(F1605=G1605,"YES","NO")</f>
        <v>YES</v>
      </c>
    </row>
    <row r="1606" spans="1:8" x14ac:dyDescent="0.2">
      <c r="A1606" s="6" t="s">
        <v>1620</v>
      </c>
      <c r="B1606" s="7">
        <v>20</v>
      </c>
      <c r="C1606" s="7">
        <v>0</v>
      </c>
      <c r="D1606" s="7">
        <v>0</v>
      </c>
      <c r="E1606" s="7">
        <v>0</v>
      </c>
      <c r="F1606" s="8" t="s">
        <v>35</v>
      </c>
      <c r="G1606" s="8" t="s">
        <v>35</v>
      </c>
      <c r="H1606" t="str">
        <f t="shared" si="25"/>
        <v>YES</v>
      </c>
    </row>
    <row r="1607" spans="1:8" x14ac:dyDescent="0.2">
      <c r="A1607" s="6" t="s">
        <v>1621</v>
      </c>
      <c r="B1607" s="7">
        <v>20</v>
      </c>
      <c r="C1607" s="7">
        <v>0</v>
      </c>
      <c r="D1607" s="7">
        <v>0</v>
      </c>
      <c r="E1607" s="7">
        <v>0</v>
      </c>
      <c r="F1607" s="8" t="s">
        <v>35</v>
      </c>
      <c r="G1607" s="8" t="s">
        <v>35</v>
      </c>
      <c r="H1607" t="str">
        <f t="shared" si="25"/>
        <v>YES</v>
      </c>
    </row>
    <row r="1608" spans="1:8" x14ac:dyDescent="0.2">
      <c r="A1608" s="6" t="s">
        <v>1622</v>
      </c>
      <c r="B1608" s="7">
        <v>20</v>
      </c>
      <c r="C1608" s="7">
        <v>0</v>
      </c>
      <c r="D1608" s="7">
        <v>0</v>
      </c>
      <c r="E1608" s="7">
        <v>0</v>
      </c>
      <c r="F1608" s="8" t="s">
        <v>35</v>
      </c>
      <c r="G1608" s="8" t="s">
        <v>35</v>
      </c>
      <c r="H1608" t="str">
        <f t="shared" si="25"/>
        <v>YES</v>
      </c>
    </row>
    <row r="1609" spans="1:8" x14ac:dyDescent="0.2">
      <c r="A1609" s="6" t="s">
        <v>1623</v>
      </c>
      <c r="B1609" s="7">
        <v>20</v>
      </c>
      <c r="C1609" s="7">
        <v>0</v>
      </c>
      <c r="D1609" s="7">
        <v>0</v>
      </c>
      <c r="E1609" s="7">
        <v>0</v>
      </c>
      <c r="F1609" s="8" t="s">
        <v>35</v>
      </c>
      <c r="G1609" s="8" t="s">
        <v>35</v>
      </c>
      <c r="H1609" t="str">
        <f t="shared" si="25"/>
        <v>YES</v>
      </c>
    </row>
    <row r="1610" spans="1:8" x14ac:dyDescent="0.2">
      <c r="A1610" s="6" t="s">
        <v>1624</v>
      </c>
      <c r="B1610" s="7">
        <v>20</v>
      </c>
      <c r="C1610" s="7">
        <v>0</v>
      </c>
      <c r="D1610" s="7">
        <v>0</v>
      </c>
      <c r="E1610" s="7">
        <v>0</v>
      </c>
      <c r="F1610" s="8" t="s">
        <v>35</v>
      </c>
      <c r="G1610" s="8" t="s">
        <v>35</v>
      </c>
      <c r="H1610" t="str">
        <f t="shared" si="25"/>
        <v>YES</v>
      </c>
    </row>
    <row r="1611" spans="1:8" x14ac:dyDescent="0.2">
      <c r="A1611" s="6" t="s">
        <v>1625</v>
      </c>
      <c r="B1611" s="7">
        <v>20</v>
      </c>
      <c r="C1611" s="7">
        <v>0</v>
      </c>
      <c r="D1611" s="7">
        <v>0</v>
      </c>
      <c r="E1611" s="7">
        <v>0</v>
      </c>
      <c r="F1611" s="8" t="s">
        <v>35</v>
      </c>
      <c r="G1611" s="8" t="s">
        <v>35</v>
      </c>
      <c r="H1611" t="str">
        <f t="shared" si="25"/>
        <v>YES</v>
      </c>
    </row>
    <row r="1612" spans="1:8" x14ac:dyDescent="0.2">
      <c r="A1612" s="6" t="s">
        <v>1626</v>
      </c>
      <c r="B1612" s="7">
        <v>20</v>
      </c>
      <c r="C1612" s="7">
        <v>0</v>
      </c>
      <c r="D1612" s="7">
        <v>0</v>
      </c>
      <c r="E1612" s="7">
        <v>0</v>
      </c>
      <c r="F1612" s="8" t="s">
        <v>35</v>
      </c>
      <c r="G1612" s="8" t="s">
        <v>35</v>
      </c>
      <c r="H1612" t="str">
        <f t="shared" si="25"/>
        <v>YES</v>
      </c>
    </row>
    <row r="1613" spans="1:8" x14ac:dyDescent="0.2">
      <c r="A1613" s="6" t="s">
        <v>1627</v>
      </c>
      <c r="B1613" s="7">
        <v>20</v>
      </c>
      <c r="C1613" s="7">
        <v>0</v>
      </c>
      <c r="D1613" s="7">
        <v>0</v>
      </c>
      <c r="E1613" s="7">
        <v>0</v>
      </c>
      <c r="F1613" s="8" t="s">
        <v>35</v>
      </c>
      <c r="G1613" s="8" t="s">
        <v>35</v>
      </c>
      <c r="H1613" t="str">
        <f t="shared" si="25"/>
        <v>YES</v>
      </c>
    </row>
    <row r="1614" spans="1:8" x14ac:dyDescent="0.2">
      <c r="A1614" s="6" t="s">
        <v>1628</v>
      </c>
      <c r="B1614" s="7">
        <v>20</v>
      </c>
      <c r="C1614" s="7">
        <v>0</v>
      </c>
      <c r="D1614" s="7">
        <v>0</v>
      </c>
      <c r="E1614" s="7">
        <v>0</v>
      </c>
      <c r="F1614" s="8" t="s">
        <v>35</v>
      </c>
      <c r="G1614" s="8" t="s">
        <v>35</v>
      </c>
      <c r="H1614" t="str">
        <f t="shared" si="25"/>
        <v>YES</v>
      </c>
    </row>
    <row r="1615" spans="1:8" x14ac:dyDescent="0.2">
      <c r="A1615" s="6" t="s">
        <v>1629</v>
      </c>
      <c r="B1615" s="7">
        <v>20</v>
      </c>
      <c r="C1615" s="7">
        <v>0</v>
      </c>
      <c r="D1615" s="7">
        <v>0</v>
      </c>
      <c r="E1615" s="7">
        <v>0</v>
      </c>
      <c r="F1615" s="8" t="s">
        <v>35</v>
      </c>
      <c r="G1615" s="8" t="s">
        <v>35</v>
      </c>
      <c r="H1615" t="str">
        <f t="shared" si="25"/>
        <v>YES</v>
      </c>
    </row>
    <row r="1616" spans="1:8" x14ac:dyDescent="0.2">
      <c r="A1616" s="6" t="s">
        <v>1630</v>
      </c>
      <c r="B1616" s="7">
        <v>20</v>
      </c>
      <c r="C1616" s="7">
        <v>0</v>
      </c>
      <c r="D1616" s="7">
        <v>0</v>
      </c>
      <c r="E1616" s="7">
        <v>0</v>
      </c>
      <c r="F1616" s="8" t="s">
        <v>35</v>
      </c>
      <c r="G1616" s="8" t="s">
        <v>35</v>
      </c>
      <c r="H1616" t="str">
        <f t="shared" si="25"/>
        <v>YES</v>
      </c>
    </row>
    <row r="1617" spans="1:8" x14ac:dyDescent="0.2">
      <c r="A1617" s="6" t="s">
        <v>1631</v>
      </c>
      <c r="B1617" s="7">
        <v>20</v>
      </c>
      <c r="C1617" s="7">
        <v>0</v>
      </c>
      <c r="D1617" s="7">
        <v>0</v>
      </c>
      <c r="E1617" s="7">
        <v>0</v>
      </c>
      <c r="F1617" s="8" t="s">
        <v>35</v>
      </c>
      <c r="G1617" s="8" t="s">
        <v>35</v>
      </c>
      <c r="H1617" t="str">
        <f t="shared" si="25"/>
        <v>YES</v>
      </c>
    </row>
    <row r="1618" spans="1:8" x14ac:dyDescent="0.2">
      <c r="A1618" s="6" t="s">
        <v>1632</v>
      </c>
      <c r="B1618" s="7">
        <v>20</v>
      </c>
      <c r="C1618" s="7">
        <v>0</v>
      </c>
      <c r="D1618" s="7">
        <v>0</v>
      </c>
      <c r="E1618" s="7">
        <v>0</v>
      </c>
      <c r="F1618" s="8" t="s">
        <v>35</v>
      </c>
      <c r="G1618" s="8" t="s">
        <v>17</v>
      </c>
      <c r="H1618" t="str">
        <f t="shared" si="25"/>
        <v>NO</v>
      </c>
    </row>
    <row r="1619" spans="1:8" x14ac:dyDescent="0.2">
      <c r="A1619" s="6" t="s">
        <v>1633</v>
      </c>
      <c r="B1619" s="7">
        <v>20</v>
      </c>
      <c r="C1619" s="7">
        <v>0</v>
      </c>
      <c r="D1619" s="7">
        <v>0</v>
      </c>
      <c r="E1619" s="7">
        <v>0</v>
      </c>
      <c r="F1619" s="8" t="s">
        <v>35</v>
      </c>
      <c r="G1619" s="8" t="s">
        <v>35</v>
      </c>
      <c r="H1619" t="str">
        <f t="shared" si="25"/>
        <v>YES</v>
      </c>
    </row>
    <row r="1620" spans="1:8" x14ac:dyDescent="0.2">
      <c r="A1620" s="6" t="s">
        <v>1634</v>
      </c>
      <c r="B1620" s="7">
        <v>20</v>
      </c>
      <c r="C1620" s="7">
        <v>0</v>
      </c>
      <c r="D1620" s="7">
        <v>0</v>
      </c>
      <c r="E1620" s="7">
        <v>0</v>
      </c>
      <c r="F1620" s="8" t="s">
        <v>35</v>
      </c>
      <c r="G1620" s="8" t="s">
        <v>35</v>
      </c>
      <c r="H1620" t="str">
        <f t="shared" si="25"/>
        <v>YES</v>
      </c>
    </row>
    <row r="1621" spans="1:8" x14ac:dyDescent="0.2">
      <c r="A1621" s="6" t="s">
        <v>1635</v>
      </c>
      <c r="B1621" s="7">
        <v>21</v>
      </c>
      <c r="C1621" s="7">
        <v>0</v>
      </c>
      <c r="D1621" s="7">
        <v>0</v>
      </c>
      <c r="E1621" s="7">
        <v>0</v>
      </c>
      <c r="F1621" s="8" t="s">
        <v>35</v>
      </c>
      <c r="G1621" s="8" t="s">
        <v>35</v>
      </c>
      <c r="H1621" t="str">
        <f t="shared" si="25"/>
        <v>YES</v>
      </c>
    </row>
    <row r="1622" spans="1:8" x14ac:dyDescent="0.2">
      <c r="A1622" s="6" t="s">
        <v>1636</v>
      </c>
      <c r="B1622" s="7">
        <v>21</v>
      </c>
      <c r="C1622" s="7">
        <v>0</v>
      </c>
      <c r="D1622" s="7">
        <v>0</v>
      </c>
      <c r="E1622" s="7">
        <v>0</v>
      </c>
      <c r="F1622" s="8" t="s">
        <v>35</v>
      </c>
      <c r="G1622" s="8" t="s">
        <v>35</v>
      </c>
      <c r="H1622" t="str">
        <f t="shared" si="25"/>
        <v>YES</v>
      </c>
    </row>
    <row r="1623" spans="1:8" x14ac:dyDescent="0.2">
      <c r="A1623" s="6" t="s">
        <v>1637</v>
      </c>
      <c r="B1623" s="7">
        <v>21</v>
      </c>
      <c r="C1623" s="7">
        <v>0</v>
      </c>
      <c r="D1623" s="7">
        <v>0</v>
      </c>
      <c r="E1623" s="7">
        <v>0</v>
      </c>
      <c r="F1623" s="8" t="s">
        <v>35</v>
      </c>
      <c r="G1623" s="8" t="s">
        <v>35</v>
      </c>
      <c r="H1623" t="str">
        <f t="shared" si="25"/>
        <v>YES</v>
      </c>
    </row>
    <row r="1624" spans="1:8" x14ac:dyDescent="0.2">
      <c r="A1624" s="6" t="s">
        <v>1638</v>
      </c>
      <c r="B1624" s="7">
        <v>21</v>
      </c>
      <c r="C1624" s="7">
        <v>0</v>
      </c>
      <c r="D1624" s="7">
        <v>0</v>
      </c>
      <c r="E1624" s="7">
        <v>0</v>
      </c>
      <c r="F1624" s="8" t="s">
        <v>35</v>
      </c>
      <c r="G1624" s="8" t="s">
        <v>35</v>
      </c>
      <c r="H1624" t="str">
        <f t="shared" si="25"/>
        <v>YES</v>
      </c>
    </row>
    <row r="1625" spans="1:8" x14ac:dyDescent="0.2">
      <c r="A1625" s="6" t="s">
        <v>1639</v>
      </c>
      <c r="B1625" s="7">
        <v>21</v>
      </c>
      <c r="C1625" s="7">
        <v>0</v>
      </c>
      <c r="D1625" s="7">
        <v>0</v>
      </c>
      <c r="E1625" s="7">
        <v>0</v>
      </c>
      <c r="F1625" s="8" t="s">
        <v>35</v>
      </c>
      <c r="G1625" s="8" t="s">
        <v>35</v>
      </c>
      <c r="H1625" t="str">
        <f t="shared" si="25"/>
        <v>YES</v>
      </c>
    </row>
    <row r="1626" spans="1:8" x14ac:dyDescent="0.2">
      <c r="A1626" s="6" t="s">
        <v>1640</v>
      </c>
      <c r="B1626" s="7">
        <v>21</v>
      </c>
      <c r="C1626" s="7">
        <v>0</v>
      </c>
      <c r="D1626" s="7">
        <v>0</v>
      </c>
      <c r="E1626" s="7">
        <v>0</v>
      </c>
      <c r="F1626" s="8" t="s">
        <v>35</v>
      </c>
      <c r="G1626" s="8" t="s">
        <v>35</v>
      </c>
      <c r="H1626" t="str">
        <f t="shared" si="25"/>
        <v>YES</v>
      </c>
    </row>
    <row r="1627" spans="1:8" x14ac:dyDescent="0.2">
      <c r="A1627" s="6" t="s">
        <v>1641</v>
      </c>
      <c r="B1627" s="7">
        <v>21</v>
      </c>
      <c r="C1627" s="7">
        <v>0</v>
      </c>
      <c r="D1627" s="7">
        <v>0</v>
      </c>
      <c r="E1627" s="7">
        <v>0</v>
      </c>
      <c r="F1627" s="8" t="s">
        <v>35</v>
      </c>
      <c r="G1627" s="8" t="s">
        <v>35</v>
      </c>
      <c r="H1627" t="str">
        <f t="shared" si="25"/>
        <v>YES</v>
      </c>
    </row>
    <row r="1628" spans="1:8" x14ac:dyDescent="0.2">
      <c r="A1628" s="6" t="s">
        <v>1642</v>
      </c>
      <c r="B1628" s="7">
        <v>21</v>
      </c>
      <c r="C1628" s="7">
        <v>0</v>
      </c>
      <c r="D1628" s="7">
        <v>0</v>
      </c>
      <c r="E1628" s="7">
        <v>0</v>
      </c>
      <c r="F1628" s="8" t="s">
        <v>35</v>
      </c>
      <c r="G1628" s="8" t="s">
        <v>35</v>
      </c>
      <c r="H1628" t="str">
        <f t="shared" si="25"/>
        <v>YES</v>
      </c>
    </row>
    <row r="1629" spans="1:8" x14ac:dyDescent="0.2">
      <c r="A1629" s="6" t="s">
        <v>1643</v>
      </c>
      <c r="B1629" s="7">
        <v>21</v>
      </c>
      <c r="C1629" s="7">
        <v>0</v>
      </c>
      <c r="D1629" s="7">
        <v>0</v>
      </c>
      <c r="E1629" s="7">
        <v>0</v>
      </c>
      <c r="F1629" s="8" t="s">
        <v>35</v>
      </c>
      <c r="G1629" s="8" t="s">
        <v>35</v>
      </c>
      <c r="H1629" t="str">
        <f t="shared" si="25"/>
        <v>YES</v>
      </c>
    </row>
    <row r="1630" spans="1:8" x14ac:dyDescent="0.2">
      <c r="A1630" s="6" t="s">
        <v>1644</v>
      </c>
      <c r="B1630" s="7">
        <v>21</v>
      </c>
      <c r="C1630" s="7">
        <v>0</v>
      </c>
      <c r="D1630" s="7">
        <v>0</v>
      </c>
      <c r="E1630" s="7">
        <v>0</v>
      </c>
      <c r="F1630" s="8" t="s">
        <v>35</v>
      </c>
      <c r="G1630" s="8" t="s">
        <v>35</v>
      </c>
      <c r="H1630" t="str">
        <f t="shared" si="25"/>
        <v>YES</v>
      </c>
    </row>
    <row r="1631" spans="1:8" x14ac:dyDescent="0.2">
      <c r="A1631" s="6" t="s">
        <v>1645</v>
      </c>
      <c r="B1631" s="7">
        <v>21</v>
      </c>
      <c r="C1631" s="7">
        <v>0</v>
      </c>
      <c r="D1631" s="7">
        <v>0</v>
      </c>
      <c r="E1631" s="7">
        <v>0</v>
      </c>
      <c r="F1631" s="8" t="s">
        <v>35</v>
      </c>
      <c r="G1631" s="8" t="s">
        <v>35</v>
      </c>
      <c r="H1631" t="str">
        <f t="shared" si="25"/>
        <v>YES</v>
      </c>
    </row>
    <row r="1632" spans="1:8" x14ac:dyDescent="0.2">
      <c r="A1632" s="6" t="s">
        <v>1646</v>
      </c>
      <c r="B1632" s="7">
        <v>21</v>
      </c>
      <c r="C1632" s="7">
        <v>0</v>
      </c>
      <c r="D1632" s="7">
        <v>0</v>
      </c>
      <c r="E1632" s="7">
        <v>0</v>
      </c>
      <c r="F1632" s="8" t="s">
        <v>35</v>
      </c>
      <c r="G1632" s="8" t="s">
        <v>35</v>
      </c>
      <c r="H1632" t="str">
        <f t="shared" si="25"/>
        <v>YES</v>
      </c>
    </row>
    <row r="1633" spans="1:8" x14ac:dyDescent="0.2">
      <c r="A1633" s="6" t="s">
        <v>1647</v>
      </c>
      <c r="B1633" s="7">
        <v>21</v>
      </c>
      <c r="C1633" s="7">
        <v>0</v>
      </c>
      <c r="D1633" s="7">
        <v>0</v>
      </c>
      <c r="E1633" s="7">
        <v>0</v>
      </c>
      <c r="F1633" s="8" t="s">
        <v>35</v>
      </c>
      <c r="G1633" s="8" t="s">
        <v>35</v>
      </c>
      <c r="H1633" t="str">
        <f t="shared" si="25"/>
        <v>YES</v>
      </c>
    </row>
    <row r="1634" spans="1:8" x14ac:dyDescent="0.2">
      <c r="A1634" s="6" t="s">
        <v>1648</v>
      </c>
      <c r="B1634" s="7">
        <v>21</v>
      </c>
      <c r="C1634" s="7">
        <v>0</v>
      </c>
      <c r="D1634" s="7">
        <v>0</v>
      </c>
      <c r="E1634" s="7">
        <v>0</v>
      </c>
      <c r="F1634" s="8" t="s">
        <v>35</v>
      </c>
      <c r="G1634" s="8" t="s">
        <v>35</v>
      </c>
      <c r="H1634" t="str">
        <f t="shared" si="25"/>
        <v>YES</v>
      </c>
    </row>
    <row r="1635" spans="1:8" x14ac:dyDescent="0.2">
      <c r="A1635" s="6" t="s">
        <v>1649</v>
      </c>
      <c r="B1635" s="7">
        <v>21</v>
      </c>
      <c r="C1635" s="7">
        <v>0</v>
      </c>
      <c r="D1635" s="7">
        <v>0</v>
      </c>
      <c r="E1635" s="7">
        <v>0</v>
      </c>
      <c r="F1635" s="8" t="s">
        <v>35</v>
      </c>
      <c r="G1635" s="8" t="s">
        <v>35</v>
      </c>
      <c r="H1635" t="str">
        <f t="shared" si="25"/>
        <v>YES</v>
      </c>
    </row>
    <row r="1636" spans="1:8" x14ac:dyDescent="0.2">
      <c r="A1636" s="6" t="s">
        <v>1650</v>
      </c>
      <c r="B1636" s="7">
        <v>23</v>
      </c>
      <c r="C1636" s="7">
        <v>0</v>
      </c>
      <c r="D1636" s="7">
        <v>0</v>
      </c>
      <c r="E1636" s="7">
        <v>0</v>
      </c>
      <c r="F1636" s="8" t="s">
        <v>35</v>
      </c>
      <c r="G1636" s="8" t="s">
        <v>35</v>
      </c>
      <c r="H1636" t="str">
        <f t="shared" si="25"/>
        <v>YES</v>
      </c>
    </row>
    <row r="1637" spans="1:8" x14ac:dyDescent="0.2">
      <c r="A1637" s="6" t="s">
        <v>1651</v>
      </c>
      <c r="B1637" s="7">
        <v>23</v>
      </c>
      <c r="C1637" s="7">
        <v>0</v>
      </c>
      <c r="D1637" s="7">
        <v>0</v>
      </c>
      <c r="E1637" s="7">
        <v>0</v>
      </c>
      <c r="F1637" s="8" t="s">
        <v>35</v>
      </c>
      <c r="G1637" s="8" t="s">
        <v>35</v>
      </c>
      <c r="H1637" t="str">
        <f t="shared" si="25"/>
        <v>YES</v>
      </c>
    </row>
    <row r="1638" spans="1:8" x14ac:dyDescent="0.2">
      <c r="A1638" s="6" t="s">
        <v>1652</v>
      </c>
      <c r="B1638" s="7">
        <v>23</v>
      </c>
      <c r="C1638" s="7">
        <v>0</v>
      </c>
      <c r="D1638" s="7">
        <v>0</v>
      </c>
      <c r="E1638" s="7">
        <v>0</v>
      </c>
      <c r="F1638" s="8" t="s">
        <v>35</v>
      </c>
      <c r="G1638" s="8" t="s">
        <v>35</v>
      </c>
      <c r="H1638" t="str">
        <f t="shared" si="25"/>
        <v>YES</v>
      </c>
    </row>
    <row r="1639" spans="1:8" x14ac:dyDescent="0.2">
      <c r="A1639" s="6" t="s">
        <v>1653</v>
      </c>
      <c r="B1639" s="7">
        <v>23</v>
      </c>
      <c r="C1639" s="7">
        <v>0</v>
      </c>
      <c r="D1639" s="7">
        <v>0</v>
      </c>
      <c r="E1639" s="7">
        <v>0</v>
      </c>
      <c r="F1639" s="8" t="s">
        <v>35</v>
      </c>
      <c r="G1639" s="8" t="s">
        <v>35</v>
      </c>
      <c r="H1639" t="str">
        <f t="shared" si="25"/>
        <v>YES</v>
      </c>
    </row>
    <row r="1640" spans="1:8" x14ac:dyDescent="0.2">
      <c r="A1640" s="6" t="s">
        <v>1654</v>
      </c>
      <c r="B1640" s="7">
        <v>23</v>
      </c>
      <c r="C1640" s="7">
        <v>0</v>
      </c>
      <c r="D1640" s="7">
        <v>0</v>
      </c>
      <c r="E1640" s="7">
        <v>0</v>
      </c>
      <c r="F1640" s="8" t="s">
        <v>35</v>
      </c>
      <c r="G1640" s="8" t="s">
        <v>35</v>
      </c>
      <c r="H1640" t="str">
        <f t="shared" si="25"/>
        <v>YES</v>
      </c>
    </row>
    <row r="1641" spans="1:8" x14ac:dyDescent="0.2">
      <c r="A1641" s="6" t="s">
        <v>1655</v>
      </c>
      <c r="B1641" s="7">
        <v>23</v>
      </c>
      <c r="C1641" s="7">
        <v>0</v>
      </c>
      <c r="D1641" s="7">
        <v>0</v>
      </c>
      <c r="E1641" s="7">
        <v>0</v>
      </c>
      <c r="F1641" s="8" t="s">
        <v>35</v>
      </c>
      <c r="G1641" s="8" t="s">
        <v>35</v>
      </c>
      <c r="H1641" t="str">
        <f t="shared" si="25"/>
        <v>YES</v>
      </c>
    </row>
    <row r="1642" spans="1:8" x14ac:dyDescent="0.2">
      <c r="A1642" s="6" t="s">
        <v>1656</v>
      </c>
      <c r="B1642" s="7">
        <v>23</v>
      </c>
      <c r="C1642" s="7">
        <v>0</v>
      </c>
      <c r="D1642" s="7">
        <v>0</v>
      </c>
      <c r="E1642" s="7">
        <v>0</v>
      </c>
      <c r="F1642" s="8" t="s">
        <v>35</v>
      </c>
      <c r="G1642" s="8" t="s">
        <v>35</v>
      </c>
      <c r="H1642" t="str">
        <f t="shared" si="25"/>
        <v>YES</v>
      </c>
    </row>
    <row r="1643" spans="1:8" x14ac:dyDescent="0.2">
      <c r="A1643" s="6" t="s">
        <v>1657</v>
      </c>
      <c r="B1643" s="7">
        <v>23</v>
      </c>
      <c r="C1643" s="7">
        <v>0</v>
      </c>
      <c r="D1643" s="7">
        <v>0</v>
      </c>
      <c r="E1643" s="7">
        <v>0</v>
      </c>
      <c r="F1643" s="8" t="s">
        <v>35</v>
      </c>
      <c r="G1643" s="8" t="s">
        <v>35</v>
      </c>
      <c r="H1643" t="str">
        <f t="shared" si="25"/>
        <v>YES</v>
      </c>
    </row>
    <row r="1644" spans="1:8" x14ac:dyDescent="0.2">
      <c r="A1644" s="6" t="s">
        <v>1658</v>
      </c>
      <c r="B1644" s="7">
        <v>23</v>
      </c>
      <c r="C1644" s="7">
        <v>0</v>
      </c>
      <c r="D1644" s="7">
        <v>0</v>
      </c>
      <c r="E1644" s="7">
        <v>0</v>
      </c>
      <c r="F1644" s="8" t="s">
        <v>35</v>
      </c>
      <c r="G1644" s="8" t="s">
        <v>35</v>
      </c>
      <c r="H1644" t="str">
        <f t="shared" si="25"/>
        <v>YES</v>
      </c>
    </row>
    <row r="1645" spans="1:8" x14ac:dyDescent="0.2">
      <c r="A1645" s="6" t="s">
        <v>1659</v>
      </c>
      <c r="B1645" s="7">
        <v>23</v>
      </c>
      <c r="C1645" s="7">
        <v>0</v>
      </c>
      <c r="D1645" s="7">
        <v>0</v>
      </c>
      <c r="E1645" s="7">
        <v>0</v>
      </c>
      <c r="F1645" s="8" t="s">
        <v>35</v>
      </c>
      <c r="G1645" s="8" t="s">
        <v>35</v>
      </c>
      <c r="H1645" t="str">
        <f t="shared" si="25"/>
        <v>YES</v>
      </c>
    </row>
    <row r="1646" spans="1:8" x14ac:dyDescent="0.2">
      <c r="A1646" s="6" t="s">
        <v>1660</v>
      </c>
      <c r="B1646" s="7">
        <v>24</v>
      </c>
      <c r="C1646" s="7">
        <v>0</v>
      </c>
      <c r="D1646" s="7">
        <v>0</v>
      </c>
      <c r="E1646" s="7">
        <v>0</v>
      </c>
      <c r="F1646" s="8" t="s">
        <v>35</v>
      </c>
      <c r="G1646" s="8" t="s">
        <v>35</v>
      </c>
      <c r="H1646" t="str">
        <f t="shared" si="25"/>
        <v>YES</v>
      </c>
    </row>
    <row r="1647" spans="1:8" x14ac:dyDescent="0.2">
      <c r="A1647" s="6" t="s">
        <v>1661</v>
      </c>
      <c r="B1647" s="7">
        <v>24</v>
      </c>
      <c r="C1647" s="7">
        <v>0</v>
      </c>
      <c r="D1647" s="7">
        <v>0</v>
      </c>
      <c r="E1647" s="7">
        <v>0</v>
      </c>
      <c r="F1647" s="8" t="s">
        <v>35</v>
      </c>
      <c r="G1647" s="8" t="s">
        <v>35</v>
      </c>
      <c r="H1647" t="str">
        <f t="shared" si="25"/>
        <v>YES</v>
      </c>
    </row>
    <row r="1648" spans="1:8" x14ac:dyDescent="0.2">
      <c r="A1648" s="6" t="s">
        <v>1662</v>
      </c>
      <c r="B1648" s="7">
        <v>24</v>
      </c>
      <c r="C1648" s="7">
        <v>0</v>
      </c>
      <c r="D1648" s="7">
        <v>0</v>
      </c>
      <c r="E1648" s="7">
        <v>0</v>
      </c>
      <c r="F1648" s="8" t="s">
        <v>35</v>
      </c>
      <c r="G1648" s="8" t="s">
        <v>35</v>
      </c>
      <c r="H1648" t="str">
        <f t="shared" si="25"/>
        <v>YES</v>
      </c>
    </row>
    <row r="1649" spans="1:8" x14ac:dyDescent="0.2">
      <c r="A1649" s="6" t="s">
        <v>1663</v>
      </c>
      <c r="B1649" s="7">
        <v>24</v>
      </c>
      <c r="C1649" s="7">
        <v>0</v>
      </c>
      <c r="D1649" s="7">
        <v>0</v>
      </c>
      <c r="E1649" s="7">
        <v>0</v>
      </c>
      <c r="F1649" s="8" t="s">
        <v>35</v>
      </c>
      <c r="G1649" s="8" t="s">
        <v>35</v>
      </c>
      <c r="H1649" t="str">
        <f t="shared" si="25"/>
        <v>YES</v>
      </c>
    </row>
    <row r="1650" spans="1:8" x14ac:dyDescent="0.2">
      <c r="A1650" s="6" t="s">
        <v>1664</v>
      </c>
      <c r="B1650" s="7">
        <v>24</v>
      </c>
      <c r="C1650" s="7">
        <v>0</v>
      </c>
      <c r="D1650" s="7">
        <v>0</v>
      </c>
      <c r="E1650" s="7">
        <v>0</v>
      </c>
      <c r="F1650" s="8" t="s">
        <v>35</v>
      </c>
      <c r="G1650" s="8" t="s">
        <v>35</v>
      </c>
      <c r="H1650" t="str">
        <f t="shared" si="25"/>
        <v>YES</v>
      </c>
    </row>
    <row r="1651" spans="1:8" x14ac:dyDescent="0.2">
      <c r="A1651" s="6" t="s">
        <v>1665</v>
      </c>
      <c r="B1651" s="7">
        <v>24</v>
      </c>
      <c r="C1651" s="7">
        <v>0</v>
      </c>
      <c r="D1651" s="7">
        <v>0</v>
      </c>
      <c r="E1651" s="7">
        <v>0</v>
      </c>
      <c r="F1651" s="8" t="s">
        <v>35</v>
      </c>
      <c r="G1651" s="8" t="s">
        <v>35</v>
      </c>
      <c r="H1651" t="str">
        <f t="shared" si="25"/>
        <v>YES</v>
      </c>
    </row>
    <row r="1652" spans="1:8" x14ac:dyDescent="0.2">
      <c r="A1652" s="6" t="s">
        <v>1666</v>
      </c>
      <c r="B1652" s="7">
        <v>24</v>
      </c>
      <c r="C1652" s="7">
        <v>0</v>
      </c>
      <c r="D1652" s="7">
        <v>0</v>
      </c>
      <c r="E1652" s="7">
        <v>0</v>
      </c>
      <c r="F1652" s="8" t="s">
        <v>35</v>
      </c>
      <c r="G1652" s="8" t="s">
        <v>35</v>
      </c>
      <c r="H1652" t="str">
        <f t="shared" si="25"/>
        <v>YES</v>
      </c>
    </row>
    <row r="1653" spans="1:8" x14ac:dyDescent="0.2">
      <c r="A1653" s="6" t="s">
        <v>1667</v>
      </c>
      <c r="B1653" s="7">
        <v>24</v>
      </c>
      <c r="C1653" s="7">
        <v>0</v>
      </c>
      <c r="D1653" s="7">
        <v>0</v>
      </c>
      <c r="E1653" s="7">
        <v>0</v>
      </c>
      <c r="F1653" s="8" t="s">
        <v>35</v>
      </c>
      <c r="G1653" s="8" t="s">
        <v>35</v>
      </c>
      <c r="H1653" t="str">
        <f t="shared" si="25"/>
        <v>YES</v>
      </c>
    </row>
    <row r="1654" spans="1:8" x14ac:dyDescent="0.2">
      <c r="A1654" s="6" t="s">
        <v>1668</v>
      </c>
      <c r="B1654" s="7">
        <v>24</v>
      </c>
      <c r="C1654" s="7">
        <v>0</v>
      </c>
      <c r="D1654" s="7">
        <v>0</v>
      </c>
      <c r="E1654" s="7">
        <v>0</v>
      </c>
      <c r="F1654" s="8" t="s">
        <v>35</v>
      </c>
      <c r="G1654" s="8" t="s">
        <v>35</v>
      </c>
      <c r="H1654" t="str">
        <f t="shared" si="25"/>
        <v>YES</v>
      </c>
    </row>
    <row r="1655" spans="1:8" x14ac:dyDescent="0.2">
      <c r="A1655" s="6" t="s">
        <v>1669</v>
      </c>
      <c r="B1655" s="7">
        <v>24</v>
      </c>
      <c r="C1655" s="7">
        <v>0</v>
      </c>
      <c r="D1655" s="7">
        <v>0</v>
      </c>
      <c r="E1655" s="7">
        <v>0</v>
      </c>
      <c r="F1655" s="8" t="s">
        <v>35</v>
      </c>
      <c r="G1655" s="8" t="s">
        <v>35</v>
      </c>
      <c r="H1655" t="str">
        <f t="shared" si="25"/>
        <v>YES</v>
      </c>
    </row>
    <row r="1656" spans="1:8" x14ac:dyDescent="0.2">
      <c r="A1656" s="6" t="s">
        <v>1670</v>
      </c>
      <c r="B1656" s="7">
        <v>24</v>
      </c>
      <c r="C1656" s="7">
        <v>0</v>
      </c>
      <c r="D1656" s="7">
        <v>0</v>
      </c>
      <c r="E1656" s="7">
        <v>0</v>
      </c>
      <c r="F1656" s="8" t="s">
        <v>35</v>
      </c>
      <c r="G1656" s="8" t="s">
        <v>35</v>
      </c>
      <c r="H1656" t="str">
        <f t="shared" si="25"/>
        <v>YES</v>
      </c>
    </row>
    <row r="1657" spans="1:8" x14ac:dyDescent="0.2">
      <c r="A1657" s="6" t="s">
        <v>1671</v>
      </c>
      <c r="B1657" s="7">
        <v>24</v>
      </c>
      <c r="C1657" s="7">
        <v>0</v>
      </c>
      <c r="D1657" s="7">
        <v>0</v>
      </c>
      <c r="E1657" s="7">
        <v>0</v>
      </c>
      <c r="F1657" s="8" t="s">
        <v>35</v>
      </c>
      <c r="G1657" s="8" t="s">
        <v>35</v>
      </c>
      <c r="H1657" t="str">
        <f t="shared" si="25"/>
        <v>YES</v>
      </c>
    </row>
    <row r="1658" spans="1:8" x14ac:dyDescent="0.2">
      <c r="A1658" s="6" t="s">
        <v>1672</v>
      </c>
      <c r="B1658" s="7">
        <v>24</v>
      </c>
      <c r="C1658" s="7">
        <v>0</v>
      </c>
      <c r="D1658" s="7">
        <v>0</v>
      </c>
      <c r="E1658" s="7">
        <v>0</v>
      </c>
      <c r="F1658" s="8" t="s">
        <v>35</v>
      </c>
      <c r="G1658" s="8" t="s">
        <v>35</v>
      </c>
      <c r="H1658" t="str">
        <f t="shared" si="25"/>
        <v>YES</v>
      </c>
    </row>
    <row r="1659" spans="1:8" x14ac:dyDescent="0.2">
      <c r="A1659" s="6" t="s">
        <v>1673</v>
      </c>
      <c r="B1659" s="7">
        <v>24</v>
      </c>
      <c r="C1659" s="7">
        <v>0</v>
      </c>
      <c r="D1659" s="7">
        <v>0</v>
      </c>
      <c r="E1659" s="7">
        <v>0</v>
      </c>
      <c r="F1659" s="8" t="s">
        <v>35</v>
      </c>
      <c r="G1659" s="8" t="s">
        <v>35</v>
      </c>
      <c r="H1659" t="str">
        <f t="shared" si="25"/>
        <v>YES</v>
      </c>
    </row>
    <row r="1660" spans="1:8" x14ac:dyDescent="0.2">
      <c r="A1660" s="6" t="s">
        <v>1674</v>
      </c>
      <c r="B1660" s="7">
        <v>24</v>
      </c>
      <c r="C1660" s="7">
        <v>0</v>
      </c>
      <c r="D1660" s="7">
        <v>0</v>
      </c>
      <c r="E1660" s="7">
        <v>0</v>
      </c>
      <c r="F1660" s="8" t="s">
        <v>35</v>
      </c>
      <c r="G1660" s="8" t="s">
        <v>35</v>
      </c>
      <c r="H1660" t="str">
        <f t="shared" si="25"/>
        <v>YES</v>
      </c>
    </row>
    <row r="1661" spans="1:8" x14ac:dyDescent="0.2">
      <c r="A1661" s="6" t="s">
        <v>1675</v>
      </c>
      <c r="B1661" s="7">
        <v>24</v>
      </c>
      <c r="C1661" s="7">
        <v>0</v>
      </c>
      <c r="D1661" s="7">
        <v>0</v>
      </c>
      <c r="E1661" s="7">
        <v>0</v>
      </c>
      <c r="F1661" s="8" t="s">
        <v>35</v>
      </c>
      <c r="G1661" s="8" t="s">
        <v>35</v>
      </c>
      <c r="H1661" t="str">
        <f t="shared" si="25"/>
        <v>YES</v>
      </c>
    </row>
    <row r="1662" spans="1:8" x14ac:dyDescent="0.2">
      <c r="A1662" s="6" t="s">
        <v>1676</v>
      </c>
      <c r="B1662" s="7">
        <v>24</v>
      </c>
      <c r="C1662" s="7">
        <v>0</v>
      </c>
      <c r="D1662" s="7">
        <v>0</v>
      </c>
      <c r="E1662" s="7">
        <v>0</v>
      </c>
      <c r="F1662" s="8" t="s">
        <v>35</v>
      </c>
      <c r="G1662" s="8" t="s">
        <v>35</v>
      </c>
      <c r="H1662" t="str">
        <f t="shared" si="25"/>
        <v>YES</v>
      </c>
    </row>
    <row r="1663" spans="1:8" x14ac:dyDescent="0.2">
      <c r="A1663" s="6" t="s">
        <v>1677</v>
      </c>
      <c r="B1663" s="7">
        <v>24</v>
      </c>
      <c r="C1663" s="7">
        <v>0</v>
      </c>
      <c r="D1663" s="7">
        <v>0</v>
      </c>
      <c r="E1663" s="7">
        <v>0</v>
      </c>
      <c r="F1663" s="8" t="s">
        <v>35</v>
      </c>
      <c r="G1663" s="8" t="s">
        <v>35</v>
      </c>
      <c r="H1663" t="str">
        <f t="shared" si="25"/>
        <v>YES</v>
      </c>
    </row>
    <row r="1664" spans="1:8" x14ac:dyDescent="0.2">
      <c r="A1664" s="6" t="s">
        <v>1678</v>
      </c>
      <c r="B1664" s="7">
        <v>25</v>
      </c>
      <c r="C1664" s="7">
        <v>0</v>
      </c>
      <c r="D1664" s="7">
        <v>0</v>
      </c>
      <c r="E1664" s="7">
        <v>0</v>
      </c>
      <c r="F1664" s="8" t="s">
        <v>35</v>
      </c>
      <c r="G1664" s="8" t="s">
        <v>35</v>
      </c>
      <c r="H1664" t="str">
        <f t="shared" si="25"/>
        <v>YES</v>
      </c>
    </row>
    <row r="1665" spans="1:8" x14ac:dyDescent="0.2">
      <c r="A1665" s="6" t="s">
        <v>1679</v>
      </c>
      <c r="B1665" s="7">
        <v>25</v>
      </c>
      <c r="C1665" s="7">
        <v>0</v>
      </c>
      <c r="D1665" s="7">
        <v>0</v>
      </c>
      <c r="E1665" s="7">
        <v>0</v>
      </c>
      <c r="F1665" s="8" t="s">
        <v>35</v>
      </c>
      <c r="G1665" s="8" t="s">
        <v>35</v>
      </c>
      <c r="H1665" t="str">
        <f t="shared" si="25"/>
        <v>YES</v>
      </c>
    </row>
    <row r="1666" spans="1:8" x14ac:dyDescent="0.2">
      <c r="A1666" s="6" t="s">
        <v>1680</v>
      </c>
      <c r="B1666" s="7">
        <v>25</v>
      </c>
      <c r="C1666" s="7">
        <v>0</v>
      </c>
      <c r="D1666" s="7">
        <v>0</v>
      </c>
      <c r="E1666" s="7">
        <v>0</v>
      </c>
      <c r="F1666" s="8" t="s">
        <v>35</v>
      </c>
      <c r="G1666" s="8" t="s">
        <v>35</v>
      </c>
      <c r="H1666" t="str">
        <f t="shared" si="25"/>
        <v>YES</v>
      </c>
    </row>
    <row r="1667" spans="1:8" x14ac:dyDescent="0.2">
      <c r="A1667" s="6" t="s">
        <v>1681</v>
      </c>
      <c r="B1667" s="7">
        <v>25</v>
      </c>
      <c r="C1667" s="7">
        <v>0</v>
      </c>
      <c r="D1667" s="7">
        <v>0</v>
      </c>
      <c r="E1667" s="7">
        <v>0</v>
      </c>
      <c r="F1667" s="8" t="s">
        <v>35</v>
      </c>
      <c r="G1667" s="8" t="s">
        <v>35</v>
      </c>
      <c r="H1667" t="str">
        <f t="shared" si="25"/>
        <v>YES</v>
      </c>
    </row>
    <row r="1668" spans="1:8" x14ac:dyDescent="0.2">
      <c r="A1668" s="6" t="s">
        <v>1682</v>
      </c>
      <c r="B1668" s="7">
        <v>25</v>
      </c>
      <c r="C1668" s="7">
        <v>0</v>
      </c>
      <c r="D1668" s="7">
        <v>0</v>
      </c>
      <c r="E1668" s="7">
        <v>0</v>
      </c>
      <c r="F1668" s="8" t="s">
        <v>35</v>
      </c>
      <c r="G1668" s="8" t="s">
        <v>35</v>
      </c>
      <c r="H1668" t="str">
        <f t="shared" si="25"/>
        <v>YES</v>
      </c>
    </row>
    <row r="1669" spans="1:8" x14ac:dyDescent="0.2">
      <c r="A1669" s="6" t="s">
        <v>1683</v>
      </c>
      <c r="B1669" s="7">
        <v>25</v>
      </c>
      <c r="C1669" s="7">
        <v>0</v>
      </c>
      <c r="D1669" s="7">
        <v>0</v>
      </c>
      <c r="E1669" s="7">
        <v>0</v>
      </c>
      <c r="F1669" s="8" t="s">
        <v>35</v>
      </c>
      <c r="G1669" s="8" t="s">
        <v>35</v>
      </c>
      <c r="H1669" t="str">
        <f t="shared" ref="H1669:H1732" si="26">IF(F1669=G1669,"YES","NO")</f>
        <v>YES</v>
      </c>
    </row>
    <row r="1670" spans="1:8" x14ac:dyDescent="0.2">
      <c r="A1670" s="6" t="s">
        <v>1684</v>
      </c>
      <c r="B1670" s="7">
        <v>25</v>
      </c>
      <c r="C1670" s="7">
        <v>0</v>
      </c>
      <c r="D1670" s="7">
        <v>0</v>
      </c>
      <c r="E1670" s="7">
        <v>0</v>
      </c>
      <c r="F1670" s="8" t="s">
        <v>35</v>
      </c>
      <c r="G1670" s="8" t="s">
        <v>35</v>
      </c>
      <c r="H1670" t="str">
        <f t="shared" si="26"/>
        <v>YES</v>
      </c>
    </row>
    <row r="1671" spans="1:8" x14ac:dyDescent="0.2">
      <c r="A1671" s="6" t="s">
        <v>1685</v>
      </c>
      <c r="B1671" s="7">
        <v>25</v>
      </c>
      <c r="C1671" s="7">
        <v>0</v>
      </c>
      <c r="D1671" s="7">
        <v>0</v>
      </c>
      <c r="E1671" s="7">
        <v>0</v>
      </c>
      <c r="F1671" s="8" t="s">
        <v>35</v>
      </c>
      <c r="G1671" s="8" t="s">
        <v>35</v>
      </c>
      <c r="H1671" t="str">
        <f t="shared" si="26"/>
        <v>YES</v>
      </c>
    </row>
    <row r="1672" spans="1:8" x14ac:dyDescent="0.2">
      <c r="A1672" s="6" t="s">
        <v>1686</v>
      </c>
      <c r="B1672" s="7">
        <v>26</v>
      </c>
      <c r="C1672" s="7">
        <v>0</v>
      </c>
      <c r="D1672" s="7">
        <v>0</v>
      </c>
      <c r="E1672" s="7">
        <v>0</v>
      </c>
      <c r="F1672" s="8" t="s">
        <v>35</v>
      </c>
      <c r="G1672" s="8" t="s">
        <v>35</v>
      </c>
      <c r="H1672" t="str">
        <f t="shared" si="26"/>
        <v>YES</v>
      </c>
    </row>
    <row r="1673" spans="1:8" x14ac:dyDescent="0.2">
      <c r="A1673" s="6" t="s">
        <v>1687</v>
      </c>
      <c r="B1673" s="7">
        <v>26</v>
      </c>
      <c r="C1673" s="7">
        <v>0</v>
      </c>
      <c r="D1673" s="7">
        <v>0</v>
      </c>
      <c r="E1673" s="7">
        <v>0</v>
      </c>
      <c r="F1673" s="8" t="s">
        <v>35</v>
      </c>
      <c r="G1673" s="8" t="s">
        <v>35</v>
      </c>
      <c r="H1673" t="str">
        <f t="shared" si="26"/>
        <v>YES</v>
      </c>
    </row>
    <row r="1674" spans="1:8" x14ac:dyDescent="0.2">
      <c r="A1674" s="6" t="s">
        <v>1688</v>
      </c>
      <c r="B1674" s="7">
        <v>26</v>
      </c>
      <c r="C1674" s="7">
        <v>0</v>
      </c>
      <c r="D1674" s="7">
        <v>0</v>
      </c>
      <c r="E1674" s="7">
        <v>0</v>
      </c>
      <c r="F1674" s="8" t="s">
        <v>35</v>
      </c>
      <c r="G1674" s="8" t="s">
        <v>35</v>
      </c>
      <c r="H1674" t="str">
        <f t="shared" si="26"/>
        <v>YES</v>
      </c>
    </row>
    <row r="1675" spans="1:8" x14ac:dyDescent="0.2">
      <c r="A1675" s="6" t="s">
        <v>1689</v>
      </c>
      <c r="B1675" s="7">
        <v>26</v>
      </c>
      <c r="C1675" s="7">
        <v>0</v>
      </c>
      <c r="D1675" s="7">
        <v>0</v>
      </c>
      <c r="E1675" s="7">
        <v>0</v>
      </c>
      <c r="F1675" s="8" t="s">
        <v>35</v>
      </c>
      <c r="G1675" s="8" t="s">
        <v>35</v>
      </c>
      <c r="H1675" t="str">
        <f t="shared" si="26"/>
        <v>YES</v>
      </c>
    </row>
    <row r="1676" spans="1:8" x14ac:dyDescent="0.2">
      <c r="A1676" s="6" t="s">
        <v>1690</v>
      </c>
      <c r="B1676" s="7">
        <v>26</v>
      </c>
      <c r="C1676" s="7">
        <v>0</v>
      </c>
      <c r="D1676" s="7">
        <v>0</v>
      </c>
      <c r="E1676" s="7">
        <v>0</v>
      </c>
      <c r="F1676" s="8" t="s">
        <v>35</v>
      </c>
      <c r="G1676" s="8" t="s">
        <v>35</v>
      </c>
      <c r="H1676" t="str">
        <f t="shared" si="26"/>
        <v>YES</v>
      </c>
    </row>
    <row r="1677" spans="1:8" x14ac:dyDescent="0.2">
      <c r="A1677" s="6" t="s">
        <v>1691</v>
      </c>
      <c r="B1677" s="7">
        <v>26</v>
      </c>
      <c r="C1677" s="7">
        <v>0</v>
      </c>
      <c r="D1677" s="7">
        <v>0</v>
      </c>
      <c r="E1677" s="7">
        <v>0</v>
      </c>
      <c r="F1677" s="8" t="s">
        <v>35</v>
      </c>
      <c r="G1677" s="8" t="s">
        <v>35</v>
      </c>
      <c r="H1677" t="str">
        <f t="shared" si="26"/>
        <v>YES</v>
      </c>
    </row>
    <row r="1678" spans="1:8" x14ac:dyDescent="0.2">
      <c r="A1678" s="6" t="s">
        <v>1692</v>
      </c>
      <c r="B1678" s="7">
        <v>26</v>
      </c>
      <c r="C1678" s="7">
        <v>0</v>
      </c>
      <c r="D1678" s="7">
        <v>0</v>
      </c>
      <c r="E1678" s="7">
        <v>0</v>
      </c>
      <c r="F1678" s="8" t="s">
        <v>35</v>
      </c>
      <c r="G1678" s="8" t="s">
        <v>17</v>
      </c>
      <c r="H1678" t="str">
        <f t="shared" si="26"/>
        <v>NO</v>
      </c>
    </row>
    <row r="1679" spans="1:8" x14ac:dyDescent="0.2">
      <c r="A1679" s="6" t="s">
        <v>1693</v>
      </c>
      <c r="B1679" s="7">
        <v>26</v>
      </c>
      <c r="C1679" s="7">
        <v>0</v>
      </c>
      <c r="D1679" s="7">
        <v>0</v>
      </c>
      <c r="E1679" s="7">
        <v>0</v>
      </c>
      <c r="F1679" s="8" t="s">
        <v>35</v>
      </c>
      <c r="G1679" s="8" t="s">
        <v>35</v>
      </c>
      <c r="H1679" t="str">
        <f t="shared" si="26"/>
        <v>YES</v>
      </c>
    </row>
    <row r="1680" spans="1:8" x14ac:dyDescent="0.2">
      <c r="A1680" s="6" t="s">
        <v>1694</v>
      </c>
      <c r="B1680" s="7">
        <v>28</v>
      </c>
      <c r="C1680" s="7">
        <v>0</v>
      </c>
      <c r="D1680" s="7">
        <v>0</v>
      </c>
      <c r="E1680" s="7">
        <v>0</v>
      </c>
      <c r="F1680" s="8" t="s">
        <v>35</v>
      </c>
      <c r="G1680" s="8" t="s">
        <v>35</v>
      </c>
      <c r="H1680" t="str">
        <f t="shared" si="26"/>
        <v>YES</v>
      </c>
    </row>
    <row r="1681" spans="1:8" x14ac:dyDescent="0.2">
      <c r="A1681" s="6" t="s">
        <v>1695</v>
      </c>
      <c r="B1681" s="7">
        <v>28</v>
      </c>
      <c r="C1681" s="7">
        <v>0</v>
      </c>
      <c r="D1681" s="7">
        <v>0</v>
      </c>
      <c r="E1681" s="7">
        <v>0</v>
      </c>
      <c r="F1681" s="8" t="s">
        <v>35</v>
      </c>
      <c r="G1681" s="8" t="s">
        <v>35</v>
      </c>
      <c r="H1681" t="str">
        <f t="shared" si="26"/>
        <v>YES</v>
      </c>
    </row>
    <row r="1682" spans="1:8" x14ac:dyDescent="0.2">
      <c r="A1682" s="6" t="s">
        <v>1696</v>
      </c>
      <c r="B1682" s="7">
        <v>28</v>
      </c>
      <c r="C1682" s="7">
        <v>0</v>
      </c>
      <c r="D1682" s="7">
        <v>0</v>
      </c>
      <c r="E1682" s="7">
        <v>0</v>
      </c>
      <c r="F1682" s="8" t="s">
        <v>35</v>
      </c>
      <c r="G1682" s="8" t="s">
        <v>35</v>
      </c>
      <c r="H1682" t="str">
        <f t="shared" si="26"/>
        <v>YES</v>
      </c>
    </row>
    <row r="1683" spans="1:8" x14ac:dyDescent="0.2">
      <c r="A1683" s="6" t="s">
        <v>1697</v>
      </c>
      <c r="B1683" s="7">
        <v>28</v>
      </c>
      <c r="C1683" s="7">
        <v>0</v>
      </c>
      <c r="D1683" s="7">
        <v>0</v>
      </c>
      <c r="E1683" s="7">
        <v>0</v>
      </c>
      <c r="F1683" s="8" t="s">
        <v>35</v>
      </c>
      <c r="G1683" s="8" t="s">
        <v>35</v>
      </c>
      <c r="H1683" t="str">
        <f t="shared" si="26"/>
        <v>YES</v>
      </c>
    </row>
    <row r="1684" spans="1:8" x14ac:dyDescent="0.2">
      <c r="A1684" s="6" t="s">
        <v>1698</v>
      </c>
      <c r="B1684" s="7">
        <v>28</v>
      </c>
      <c r="C1684" s="7">
        <v>0</v>
      </c>
      <c r="D1684" s="7">
        <v>0</v>
      </c>
      <c r="E1684" s="7">
        <v>0</v>
      </c>
      <c r="F1684" s="8" t="s">
        <v>35</v>
      </c>
      <c r="G1684" s="8" t="s">
        <v>35</v>
      </c>
      <c r="H1684" t="str">
        <f t="shared" si="26"/>
        <v>YES</v>
      </c>
    </row>
    <row r="1685" spans="1:8" x14ac:dyDescent="0.2">
      <c r="A1685" s="6" t="s">
        <v>1699</v>
      </c>
      <c r="B1685" s="7">
        <v>28</v>
      </c>
      <c r="C1685" s="7">
        <v>0</v>
      </c>
      <c r="D1685" s="7">
        <v>0</v>
      </c>
      <c r="E1685" s="7">
        <v>0</v>
      </c>
      <c r="F1685" s="8" t="s">
        <v>35</v>
      </c>
      <c r="G1685" s="8" t="s">
        <v>35</v>
      </c>
      <c r="H1685" t="str">
        <f t="shared" si="26"/>
        <v>YES</v>
      </c>
    </row>
    <row r="1686" spans="1:8" x14ac:dyDescent="0.2">
      <c r="A1686" s="6" t="s">
        <v>1700</v>
      </c>
      <c r="B1686" s="7">
        <v>28</v>
      </c>
      <c r="C1686" s="7">
        <v>0</v>
      </c>
      <c r="D1686" s="7">
        <v>0</v>
      </c>
      <c r="E1686" s="7">
        <v>0</v>
      </c>
      <c r="F1686" s="8" t="s">
        <v>35</v>
      </c>
      <c r="G1686" s="8" t="s">
        <v>35</v>
      </c>
      <c r="H1686" t="str">
        <f t="shared" si="26"/>
        <v>YES</v>
      </c>
    </row>
    <row r="1687" spans="1:8" x14ac:dyDescent="0.2">
      <c r="A1687" s="6" t="s">
        <v>1701</v>
      </c>
      <c r="B1687" s="7">
        <v>28</v>
      </c>
      <c r="C1687" s="7">
        <v>0</v>
      </c>
      <c r="D1687" s="7">
        <v>0</v>
      </c>
      <c r="E1687" s="7">
        <v>0</v>
      </c>
      <c r="F1687" s="8" t="s">
        <v>35</v>
      </c>
      <c r="G1687" s="8" t="s">
        <v>35</v>
      </c>
      <c r="H1687" t="str">
        <f t="shared" si="26"/>
        <v>YES</v>
      </c>
    </row>
    <row r="1688" spans="1:8" x14ac:dyDescent="0.2">
      <c r="A1688" s="6" t="s">
        <v>1702</v>
      </c>
      <c r="B1688" s="7">
        <v>28</v>
      </c>
      <c r="C1688" s="7">
        <v>0</v>
      </c>
      <c r="D1688" s="7">
        <v>0</v>
      </c>
      <c r="E1688" s="7">
        <v>0</v>
      </c>
      <c r="F1688" s="8" t="s">
        <v>35</v>
      </c>
      <c r="G1688" s="8" t="s">
        <v>35</v>
      </c>
      <c r="H1688" t="str">
        <f t="shared" si="26"/>
        <v>YES</v>
      </c>
    </row>
    <row r="1689" spans="1:8" x14ac:dyDescent="0.2">
      <c r="A1689" s="6" t="s">
        <v>1703</v>
      </c>
      <c r="B1689" s="7">
        <v>28</v>
      </c>
      <c r="C1689" s="7">
        <v>0</v>
      </c>
      <c r="D1689" s="7">
        <v>0</v>
      </c>
      <c r="E1689" s="7">
        <v>0</v>
      </c>
      <c r="F1689" s="8" t="s">
        <v>35</v>
      </c>
      <c r="G1689" s="8" t="s">
        <v>35</v>
      </c>
      <c r="H1689" t="str">
        <f t="shared" si="26"/>
        <v>YES</v>
      </c>
    </row>
    <row r="1690" spans="1:8" x14ac:dyDescent="0.2">
      <c r="A1690" s="6" t="s">
        <v>1704</v>
      </c>
      <c r="B1690" s="7">
        <v>28</v>
      </c>
      <c r="C1690" s="7">
        <v>0</v>
      </c>
      <c r="D1690" s="7">
        <v>0</v>
      </c>
      <c r="E1690" s="7">
        <v>0</v>
      </c>
      <c r="F1690" s="8" t="s">
        <v>35</v>
      </c>
      <c r="G1690" s="8" t="s">
        <v>35</v>
      </c>
      <c r="H1690" t="str">
        <f t="shared" si="26"/>
        <v>YES</v>
      </c>
    </row>
    <row r="1691" spans="1:8" x14ac:dyDescent="0.2">
      <c r="A1691" s="6" t="s">
        <v>1705</v>
      </c>
      <c r="B1691" s="7">
        <v>29</v>
      </c>
      <c r="C1691" s="7">
        <v>0</v>
      </c>
      <c r="D1691" s="7">
        <v>0</v>
      </c>
      <c r="E1691" s="7">
        <v>0</v>
      </c>
      <c r="F1691" s="8" t="s">
        <v>35</v>
      </c>
      <c r="G1691" s="8" t="s">
        <v>35</v>
      </c>
      <c r="H1691" t="str">
        <f t="shared" si="26"/>
        <v>YES</v>
      </c>
    </row>
    <row r="1692" spans="1:8" x14ac:dyDescent="0.2">
      <c r="A1692" s="6" t="s">
        <v>1706</v>
      </c>
      <c r="B1692" s="7">
        <v>29</v>
      </c>
      <c r="C1692" s="7">
        <v>0</v>
      </c>
      <c r="D1692" s="7">
        <v>0</v>
      </c>
      <c r="E1692" s="7">
        <v>0</v>
      </c>
      <c r="F1692" s="8" t="s">
        <v>35</v>
      </c>
      <c r="G1692" s="8" t="s">
        <v>35</v>
      </c>
      <c r="H1692" t="str">
        <f t="shared" si="26"/>
        <v>YES</v>
      </c>
    </row>
    <row r="1693" spans="1:8" x14ac:dyDescent="0.2">
      <c r="A1693" s="6" t="s">
        <v>1707</v>
      </c>
      <c r="B1693" s="7">
        <v>29</v>
      </c>
      <c r="C1693" s="7">
        <v>0</v>
      </c>
      <c r="D1693" s="7">
        <v>0</v>
      </c>
      <c r="E1693" s="7">
        <v>0</v>
      </c>
      <c r="F1693" s="8" t="s">
        <v>35</v>
      </c>
      <c r="G1693" s="8" t="s">
        <v>35</v>
      </c>
      <c r="H1693" t="str">
        <f t="shared" si="26"/>
        <v>YES</v>
      </c>
    </row>
    <row r="1694" spans="1:8" x14ac:dyDescent="0.2">
      <c r="A1694" s="6" t="s">
        <v>1708</v>
      </c>
      <c r="B1694" s="7">
        <v>29</v>
      </c>
      <c r="C1694" s="7">
        <v>0</v>
      </c>
      <c r="D1694" s="7">
        <v>0</v>
      </c>
      <c r="E1694" s="7">
        <v>0</v>
      </c>
      <c r="F1694" s="8" t="s">
        <v>35</v>
      </c>
      <c r="G1694" s="8" t="s">
        <v>35</v>
      </c>
      <c r="H1694" t="str">
        <f t="shared" si="26"/>
        <v>YES</v>
      </c>
    </row>
    <row r="1695" spans="1:8" x14ac:dyDescent="0.2">
      <c r="A1695" s="6" t="s">
        <v>1709</v>
      </c>
      <c r="B1695" s="7">
        <v>29</v>
      </c>
      <c r="C1695" s="7">
        <v>0</v>
      </c>
      <c r="D1695" s="7">
        <v>0</v>
      </c>
      <c r="E1695" s="7">
        <v>0</v>
      </c>
      <c r="F1695" s="8" t="s">
        <v>35</v>
      </c>
      <c r="G1695" s="8" t="s">
        <v>35</v>
      </c>
      <c r="H1695" t="str">
        <f t="shared" si="26"/>
        <v>YES</v>
      </c>
    </row>
    <row r="1696" spans="1:8" x14ac:dyDescent="0.2">
      <c r="A1696" s="6" t="s">
        <v>1710</v>
      </c>
      <c r="B1696" s="7">
        <v>29</v>
      </c>
      <c r="C1696" s="7">
        <v>0</v>
      </c>
      <c r="D1696" s="7">
        <v>0</v>
      </c>
      <c r="E1696" s="7">
        <v>0</v>
      </c>
      <c r="F1696" s="8" t="s">
        <v>35</v>
      </c>
      <c r="G1696" s="8" t="s">
        <v>35</v>
      </c>
      <c r="H1696" t="str">
        <f t="shared" si="26"/>
        <v>YES</v>
      </c>
    </row>
    <row r="1697" spans="1:8" x14ac:dyDescent="0.2">
      <c r="A1697" s="6" t="s">
        <v>1711</v>
      </c>
      <c r="B1697" s="7">
        <v>29</v>
      </c>
      <c r="C1697" s="7">
        <v>0</v>
      </c>
      <c r="D1697" s="7">
        <v>0</v>
      </c>
      <c r="E1697" s="7">
        <v>0</v>
      </c>
      <c r="F1697" s="8" t="s">
        <v>35</v>
      </c>
      <c r="G1697" s="8" t="s">
        <v>35</v>
      </c>
      <c r="H1697" t="str">
        <f t="shared" si="26"/>
        <v>YES</v>
      </c>
    </row>
    <row r="1698" spans="1:8" x14ac:dyDescent="0.2">
      <c r="A1698" s="6" t="s">
        <v>1712</v>
      </c>
      <c r="B1698" s="7">
        <v>29</v>
      </c>
      <c r="C1698" s="7">
        <v>0</v>
      </c>
      <c r="D1698" s="7">
        <v>0</v>
      </c>
      <c r="E1698" s="7">
        <v>0</v>
      </c>
      <c r="F1698" s="8" t="s">
        <v>35</v>
      </c>
      <c r="G1698" s="8" t="s">
        <v>35</v>
      </c>
      <c r="H1698" t="str">
        <f t="shared" si="26"/>
        <v>YES</v>
      </c>
    </row>
    <row r="1699" spans="1:8" x14ac:dyDescent="0.2">
      <c r="A1699" s="6" t="s">
        <v>1713</v>
      </c>
      <c r="B1699" s="7">
        <v>29</v>
      </c>
      <c r="C1699" s="7">
        <v>0</v>
      </c>
      <c r="D1699" s="7">
        <v>0</v>
      </c>
      <c r="E1699" s="7">
        <v>0</v>
      </c>
      <c r="F1699" s="8" t="s">
        <v>35</v>
      </c>
      <c r="G1699" s="8" t="s">
        <v>35</v>
      </c>
      <c r="H1699" t="str">
        <f t="shared" si="26"/>
        <v>YES</v>
      </c>
    </row>
    <row r="1700" spans="1:8" x14ac:dyDescent="0.2">
      <c r="A1700" s="6" t="s">
        <v>1714</v>
      </c>
      <c r="B1700" s="7">
        <v>29</v>
      </c>
      <c r="C1700" s="7">
        <v>0</v>
      </c>
      <c r="D1700" s="7">
        <v>0</v>
      </c>
      <c r="E1700" s="7">
        <v>0</v>
      </c>
      <c r="F1700" s="8" t="s">
        <v>35</v>
      </c>
      <c r="G1700" s="8" t="s">
        <v>35</v>
      </c>
      <c r="H1700" t="str">
        <f t="shared" si="26"/>
        <v>YES</v>
      </c>
    </row>
    <row r="1701" spans="1:8" x14ac:dyDescent="0.2">
      <c r="A1701" s="6" t="s">
        <v>1715</v>
      </c>
      <c r="B1701" s="7">
        <v>29</v>
      </c>
      <c r="C1701" s="7">
        <v>0</v>
      </c>
      <c r="D1701" s="7">
        <v>0</v>
      </c>
      <c r="E1701" s="7">
        <v>0</v>
      </c>
      <c r="F1701" s="8" t="s">
        <v>35</v>
      </c>
      <c r="G1701" s="8" t="s">
        <v>35</v>
      </c>
      <c r="H1701" t="str">
        <f t="shared" si="26"/>
        <v>YES</v>
      </c>
    </row>
    <row r="1702" spans="1:8" x14ac:dyDescent="0.2">
      <c r="A1702" s="6" t="s">
        <v>1716</v>
      </c>
      <c r="B1702" s="7">
        <v>29</v>
      </c>
      <c r="C1702" s="7">
        <v>0</v>
      </c>
      <c r="D1702" s="7">
        <v>0</v>
      </c>
      <c r="E1702" s="7">
        <v>0</v>
      </c>
      <c r="F1702" s="8" t="s">
        <v>35</v>
      </c>
      <c r="G1702" s="8" t="s">
        <v>35</v>
      </c>
      <c r="H1702" t="str">
        <f t="shared" si="26"/>
        <v>YES</v>
      </c>
    </row>
    <row r="1703" spans="1:8" x14ac:dyDescent="0.2">
      <c r="A1703" s="6" t="s">
        <v>1717</v>
      </c>
      <c r="B1703" s="7">
        <v>30</v>
      </c>
      <c r="C1703" s="7">
        <v>0</v>
      </c>
      <c r="D1703" s="7">
        <v>0</v>
      </c>
      <c r="E1703" s="7">
        <v>0</v>
      </c>
      <c r="F1703" s="8" t="s">
        <v>35</v>
      </c>
      <c r="G1703" s="8" t="s">
        <v>35</v>
      </c>
      <c r="H1703" t="str">
        <f t="shared" si="26"/>
        <v>YES</v>
      </c>
    </row>
    <row r="1704" spans="1:8" x14ac:dyDescent="0.2">
      <c r="A1704" s="6" t="s">
        <v>1718</v>
      </c>
      <c r="B1704" s="7">
        <v>30</v>
      </c>
      <c r="C1704" s="7">
        <v>0</v>
      </c>
      <c r="D1704" s="7">
        <v>0</v>
      </c>
      <c r="E1704" s="7">
        <v>0</v>
      </c>
      <c r="F1704" s="8" t="s">
        <v>35</v>
      </c>
      <c r="G1704" s="8" t="s">
        <v>35</v>
      </c>
      <c r="H1704" t="str">
        <f t="shared" si="26"/>
        <v>YES</v>
      </c>
    </row>
    <row r="1705" spans="1:8" x14ac:dyDescent="0.2">
      <c r="A1705" s="6" t="s">
        <v>1719</v>
      </c>
      <c r="B1705" s="7">
        <v>30</v>
      </c>
      <c r="C1705" s="7">
        <v>0</v>
      </c>
      <c r="D1705" s="7">
        <v>0</v>
      </c>
      <c r="E1705" s="7">
        <v>0</v>
      </c>
      <c r="F1705" s="8" t="s">
        <v>35</v>
      </c>
      <c r="G1705" s="8" t="s">
        <v>35</v>
      </c>
      <c r="H1705" t="str">
        <f t="shared" si="26"/>
        <v>YES</v>
      </c>
    </row>
    <row r="1706" spans="1:8" x14ac:dyDescent="0.2">
      <c r="A1706" s="6" t="s">
        <v>1720</v>
      </c>
      <c r="B1706" s="7">
        <v>30</v>
      </c>
      <c r="C1706" s="7">
        <v>0</v>
      </c>
      <c r="D1706" s="7">
        <v>0</v>
      </c>
      <c r="E1706" s="7">
        <v>0</v>
      </c>
      <c r="F1706" s="8" t="s">
        <v>35</v>
      </c>
      <c r="G1706" s="8" t="s">
        <v>35</v>
      </c>
      <c r="H1706" t="str">
        <f t="shared" si="26"/>
        <v>YES</v>
      </c>
    </row>
    <row r="1707" spans="1:8" x14ac:dyDescent="0.2">
      <c r="A1707" s="6" t="s">
        <v>1721</v>
      </c>
      <c r="B1707" s="7">
        <v>30</v>
      </c>
      <c r="C1707" s="7">
        <v>0</v>
      </c>
      <c r="D1707" s="7">
        <v>0</v>
      </c>
      <c r="E1707" s="7">
        <v>0</v>
      </c>
      <c r="F1707" s="8" t="s">
        <v>35</v>
      </c>
      <c r="G1707" s="8" t="s">
        <v>35</v>
      </c>
      <c r="H1707" t="str">
        <f t="shared" si="26"/>
        <v>YES</v>
      </c>
    </row>
    <row r="1708" spans="1:8" x14ac:dyDescent="0.2">
      <c r="A1708" s="6" t="s">
        <v>1722</v>
      </c>
      <c r="B1708" s="7">
        <v>31</v>
      </c>
      <c r="C1708" s="7">
        <v>0</v>
      </c>
      <c r="D1708" s="7">
        <v>0</v>
      </c>
      <c r="E1708" s="7">
        <v>0</v>
      </c>
      <c r="F1708" s="8" t="s">
        <v>35</v>
      </c>
      <c r="G1708" s="8" t="s">
        <v>35</v>
      </c>
      <c r="H1708" t="str">
        <f t="shared" si="26"/>
        <v>YES</v>
      </c>
    </row>
    <row r="1709" spans="1:8" x14ac:dyDescent="0.2">
      <c r="A1709" s="6" t="s">
        <v>1723</v>
      </c>
      <c r="B1709" s="7">
        <v>31</v>
      </c>
      <c r="C1709" s="7">
        <v>0</v>
      </c>
      <c r="D1709" s="7">
        <v>0</v>
      </c>
      <c r="E1709" s="7">
        <v>0</v>
      </c>
      <c r="F1709" s="8" t="s">
        <v>35</v>
      </c>
      <c r="G1709" s="8" t="s">
        <v>35</v>
      </c>
      <c r="H1709" t="str">
        <f t="shared" si="26"/>
        <v>YES</v>
      </c>
    </row>
    <row r="1710" spans="1:8" x14ac:dyDescent="0.2">
      <c r="A1710" s="6" t="s">
        <v>1724</v>
      </c>
      <c r="B1710" s="7">
        <v>31</v>
      </c>
      <c r="C1710" s="7">
        <v>0</v>
      </c>
      <c r="D1710" s="7">
        <v>0</v>
      </c>
      <c r="E1710" s="7">
        <v>0</v>
      </c>
      <c r="F1710" s="8" t="s">
        <v>35</v>
      </c>
      <c r="G1710" s="8" t="s">
        <v>35</v>
      </c>
      <c r="H1710" t="str">
        <f t="shared" si="26"/>
        <v>YES</v>
      </c>
    </row>
    <row r="1711" spans="1:8" x14ac:dyDescent="0.2">
      <c r="A1711" s="6" t="s">
        <v>1725</v>
      </c>
      <c r="B1711" s="7">
        <v>31</v>
      </c>
      <c r="C1711" s="7">
        <v>0</v>
      </c>
      <c r="D1711" s="7">
        <v>0</v>
      </c>
      <c r="E1711" s="7">
        <v>0</v>
      </c>
      <c r="F1711" s="8" t="s">
        <v>35</v>
      </c>
      <c r="G1711" s="8" t="s">
        <v>35</v>
      </c>
      <c r="H1711" t="str">
        <f t="shared" si="26"/>
        <v>YES</v>
      </c>
    </row>
    <row r="1712" spans="1:8" x14ac:dyDescent="0.2">
      <c r="A1712" s="6" t="s">
        <v>1726</v>
      </c>
      <c r="B1712" s="7">
        <v>31</v>
      </c>
      <c r="C1712" s="7">
        <v>0</v>
      </c>
      <c r="D1712" s="7">
        <v>0</v>
      </c>
      <c r="E1712" s="7">
        <v>0</v>
      </c>
      <c r="F1712" s="8" t="s">
        <v>35</v>
      </c>
      <c r="G1712" s="8" t="s">
        <v>35</v>
      </c>
      <c r="H1712" t="str">
        <f t="shared" si="26"/>
        <v>YES</v>
      </c>
    </row>
    <row r="1713" spans="1:8" x14ac:dyDescent="0.2">
      <c r="A1713" s="6" t="s">
        <v>1727</v>
      </c>
      <c r="B1713" s="7">
        <v>31</v>
      </c>
      <c r="C1713" s="7">
        <v>0</v>
      </c>
      <c r="D1713" s="7">
        <v>0</v>
      </c>
      <c r="E1713" s="7">
        <v>0</v>
      </c>
      <c r="F1713" s="8" t="s">
        <v>35</v>
      </c>
      <c r="G1713" s="8" t="s">
        <v>35</v>
      </c>
      <c r="H1713" t="str">
        <f t="shared" si="26"/>
        <v>YES</v>
      </c>
    </row>
    <row r="1714" spans="1:8" x14ac:dyDescent="0.2">
      <c r="A1714" s="6" t="s">
        <v>1728</v>
      </c>
      <c r="B1714" s="7">
        <v>32</v>
      </c>
      <c r="C1714" s="7">
        <v>0</v>
      </c>
      <c r="D1714" s="7">
        <v>0</v>
      </c>
      <c r="E1714" s="7">
        <v>0</v>
      </c>
      <c r="F1714" s="8" t="s">
        <v>35</v>
      </c>
      <c r="G1714" s="8" t="s">
        <v>35</v>
      </c>
      <c r="H1714" t="str">
        <f t="shared" si="26"/>
        <v>YES</v>
      </c>
    </row>
    <row r="1715" spans="1:8" x14ac:dyDescent="0.2">
      <c r="A1715" s="6" t="s">
        <v>1729</v>
      </c>
      <c r="B1715" s="7">
        <v>32</v>
      </c>
      <c r="C1715" s="7">
        <v>0</v>
      </c>
      <c r="D1715" s="7">
        <v>0</v>
      </c>
      <c r="E1715" s="7">
        <v>0</v>
      </c>
      <c r="F1715" s="8" t="s">
        <v>35</v>
      </c>
      <c r="G1715" s="8" t="s">
        <v>35</v>
      </c>
      <c r="H1715" t="str">
        <f t="shared" si="26"/>
        <v>YES</v>
      </c>
    </row>
    <row r="1716" spans="1:8" x14ac:dyDescent="0.2">
      <c r="A1716" s="6" t="s">
        <v>1730</v>
      </c>
      <c r="B1716" s="7">
        <v>32</v>
      </c>
      <c r="C1716" s="7">
        <v>0</v>
      </c>
      <c r="D1716" s="7">
        <v>0</v>
      </c>
      <c r="E1716" s="7">
        <v>0</v>
      </c>
      <c r="F1716" s="8" t="s">
        <v>35</v>
      </c>
      <c r="G1716" s="8" t="s">
        <v>35</v>
      </c>
      <c r="H1716" t="str">
        <f t="shared" si="26"/>
        <v>YES</v>
      </c>
    </row>
    <row r="1717" spans="1:8" x14ac:dyDescent="0.2">
      <c r="A1717" s="6" t="s">
        <v>1731</v>
      </c>
      <c r="B1717" s="7">
        <v>32</v>
      </c>
      <c r="C1717" s="7">
        <v>0</v>
      </c>
      <c r="D1717" s="7">
        <v>0</v>
      </c>
      <c r="E1717" s="7">
        <v>0</v>
      </c>
      <c r="F1717" s="8" t="s">
        <v>35</v>
      </c>
      <c r="G1717" s="8" t="s">
        <v>35</v>
      </c>
      <c r="H1717" t="str">
        <f t="shared" si="26"/>
        <v>YES</v>
      </c>
    </row>
    <row r="1718" spans="1:8" x14ac:dyDescent="0.2">
      <c r="A1718" s="6" t="s">
        <v>1732</v>
      </c>
      <c r="B1718" s="7">
        <v>33</v>
      </c>
      <c r="C1718" s="7">
        <v>0</v>
      </c>
      <c r="D1718" s="7">
        <v>0</v>
      </c>
      <c r="E1718" s="7">
        <v>0</v>
      </c>
      <c r="F1718" s="8" t="s">
        <v>35</v>
      </c>
      <c r="G1718" s="8" t="s">
        <v>35</v>
      </c>
      <c r="H1718" t="str">
        <f t="shared" si="26"/>
        <v>YES</v>
      </c>
    </row>
    <row r="1719" spans="1:8" x14ac:dyDescent="0.2">
      <c r="A1719" s="6" t="s">
        <v>1733</v>
      </c>
      <c r="B1719" s="7">
        <v>33</v>
      </c>
      <c r="C1719" s="7">
        <v>0</v>
      </c>
      <c r="D1719" s="7">
        <v>0</v>
      </c>
      <c r="E1719" s="7">
        <v>0</v>
      </c>
      <c r="F1719" s="8" t="s">
        <v>35</v>
      </c>
      <c r="G1719" s="8" t="s">
        <v>35</v>
      </c>
      <c r="H1719" t="str">
        <f t="shared" si="26"/>
        <v>YES</v>
      </c>
    </row>
    <row r="1720" spans="1:8" x14ac:dyDescent="0.2">
      <c r="A1720" s="6" t="s">
        <v>1734</v>
      </c>
      <c r="B1720" s="7">
        <v>33</v>
      </c>
      <c r="C1720" s="7">
        <v>0</v>
      </c>
      <c r="D1720" s="7">
        <v>0</v>
      </c>
      <c r="E1720" s="7">
        <v>0</v>
      </c>
      <c r="F1720" s="8" t="s">
        <v>35</v>
      </c>
      <c r="G1720" s="8" t="s">
        <v>35</v>
      </c>
      <c r="H1720" t="str">
        <f t="shared" si="26"/>
        <v>YES</v>
      </c>
    </row>
    <row r="1721" spans="1:8" x14ac:dyDescent="0.2">
      <c r="A1721" s="6" t="s">
        <v>1735</v>
      </c>
      <c r="B1721" s="7">
        <v>33</v>
      </c>
      <c r="C1721" s="7">
        <v>0</v>
      </c>
      <c r="D1721" s="7">
        <v>0</v>
      </c>
      <c r="E1721" s="7">
        <v>0</v>
      </c>
      <c r="F1721" s="8" t="s">
        <v>35</v>
      </c>
      <c r="G1721" s="8" t="s">
        <v>35</v>
      </c>
      <c r="H1721" t="str">
        <f t="shared" si="26"/>
        <v>YES</v>
      </c>
    </row>
    <row r="1722" spans="1:8" x14ac:dyDescent="0.2">
      <c r="A1722" s="6" t="s">
        <v>1736</v>
      </c>
      <c r="B1722" s="7">
        <v>33</v>
      </c>
      <c r="C1722" s="7">
        <v>0</v>
      </c>
      <c r="D1722" s="7">
        <v>0</v>
      </c>
      <c r="E1722" s="7">
        <v>0</v>
      </c>
      <c r="F1722" s="8" t="s">
        <v>35</v>
      </c>
      <c r="G1722" s="8" t="s">
        <v>35</v>
      </c>
      <c r="H1722" t="str">
        <f t="shared" si="26"/>
        <v>YES</v>
      </c>
    </row>
    <row r="1723" spans="1:8" x14ac:dyDescent="0.2">
      <c r="A1723" s="6" t="s">
        <v>1737</v>
      </c>
      <c r="B1723" s="7">
        <v>33</v>
      </c>
      <c r="C1723" s="7">
        <v>0</v>
      </c>
      <c r="D1723" s="7">
        <v>0</v>
      </c>
      <c r="E1723" s="7">
        <v>0</v>
      </c>
      <c r="F1723" s="8" t="s">
        <v>35</v>
      </c>
      <c r="G1723" s="8" t="s">
        <v>35</v>
      </c>
      <c r="H1723" t="str">
        <f t="shared" si="26"/>
        <v>YES</v>
      </c>
    </row>
    <row r="1724" spans="1:8" x14ac:dyDescent="0.2">
      <c r="A1724" s="6" t="s">
        <v>1738</v>
      </c>
      <c r="B1724" s="7">
        <v>33</v>
      </c>
      <c r="C1724" s="7">
        <v>0</v>
      </c>
      <c r="D1724" s="7">
        <v>0</v>
      </c>
      <c r="E1724" s="7">
        <v>0</v>
      </c>
      <c r="F1724" s="8" t="s">
        <v>35</v>
      </c>
      <c r="G1724" s="8" t="s">
        <v>35</v>
      </c>
      <c r="H1724" t="str">
        <f t="shared" si="26"/>
        <v>YES</v>
      </c>
    </row>
    <row r="1725" spans="1:8" x14ac:dyDescent="0.2">
      <c r="A1725" s="6" t="s">
        <v>1739</v>
      </c>
      <c r="B1725" s="7">
        <v>33</v>
      </c>
      <c r="C1725" s="7">
        <v>0</v>
      </c>
      <c r="D1725" s="7">
        <v>0</v>
      </c>
      <c r="E1725" s="7">
        <v>0</v>
      </c>
      <c r="F1725" s="8" t="s">
        <v>35</v>
      </c>
      <c r="G1725" s="8" t="s">
        <v>35</v>
      </c>
      <c r="H1725" t="str">
        <f t="shared" si="26"/>
        <v>YES</v>
      </c>
    </row>
    <row r="1726" spans="1:8" x14ac:dyDescent="0.2">
      <c r="A1726" s="6" t="s">
        <v>1740</v>
      </c>
      <c r="B1726" s="7">
        <v>33</v>
      </c>
      <c r="C1726" s="7">
        <v>0</v>
      </c>
      <c r="D1726" s="7">
        <v>0</v>
      </c>
      <c r="E1726" s="7">
        <v>0</v>
      </c>
      <c r="F1726" s="8" t="s">
        <v>35</v>
      </c>
      <c r="G1726" s="8" t="s">
        <v>35</v>
      </c>
      <c r="H1726" t="str">
        <f t="shared" si="26"/>
        <v>YES</v>
      </c>
    </row>
    <row r="1727" spans="1:8" x14ac:dyDescent="0.2">
      <c r="A1727" s="6" t="s">
        <v>1741</v>
      </c>
      <c r="B1727" s="7">
        <v>33</v>
      </c>
      <c r="C1727" s="7">
        <v>0</v>
      </c>
      <c r="D1727" s="7">
        <v>0</v>
      </c>
      <c r="E1727" s="7">
        <v>0</v>
      </c>
      <c r="F1727" s="8" t="s">
        <v>35</v>
      </c>
      <c r="G1727" s="8" t="s">
        <v>35</v>
      </c>
      <c r="H1727" t="str">
        <f t="shared" si="26"/>
        <v>YES</v>
      </c>
    </row>
    <row r="1728" spans="1:8" x14ac:dyDescent="0.2">
      <c r="A1728" s="6" t="s">
        <v>1742</v>
      </c>
      <c r="B1728" s="7">
        <v>33</v>
      </c>
      <c r="C1728" s="7">
        <v>0</v>
      </c>
      <c r="D1728" s="7">
        <v>0</v>
      </c>
      <c r="E1728" s="7">
        <v>0</v>
      </c>
      <c r="F1728" s="8" t="s">
        <v>35</v>
      </c>
      <c r="G1728" s="8" t="s">
        <v>35</v>
      </c>
      <c r="H1728" t="str">
        <f t="shared" si="26"/>
        <v>YES</v>
      </c>
    </row>
    <row r="1729" spans="1:8" x14ac:dyDescent="0.2">
      <c r="A1729" s="6" t="s">
        <v>1743</v>
      </c>
      <c r="B1729" s="7">
        <v>34</v>
      </c>
      <c r="C1729" s="7">
        <v>0</v>
      </c>
      <c r="D1729" s="7">
        <v>0</v>
      </c>
      <c r="E1729" s="7">
        <v>0</v>
      </c>
      <c r="F1729" s="8" t="s">
        <v>35</v>
      </c>
      <c r="G1729" s="8" t="s">
        <v>35</v>
      </c>
      <c r="H1729" t="str">
        <f t="shared" si="26"/>
        <v>YES</v>
      </c>
    </row>
    <row r="1730" spans="1:8" x14ac:dyDescent="0.2">
      <c r="A1730" s="6" t="s">
        <v>1744</v>
      </c>
      <c r="B1730" s="7">
        <v>34</v>
      </c>
      <c r="C1730" s="7">
        <v>0</v>
      </c>
      <c r="D1730" s="7">
        <v>0</v>
      </c>
      <c r="E1730" s="7">
        <v>0</v>
      </c>
      <c r="F1730" s="8" t="s">
        <v>35</v>
      </c>
      <c r="G1730" s="8" t="s">
        <v>35</v>
      </c>
      <c r="H1730" t="str">
        <f t="shared" si="26"/>
        <v>YES</v>
      </c>
    </row>
    <row r="1731" spans="1:8" x14ac:dyDescent="0.2">
      <c r="A1731" s="6" t="s">
        <v>1745</v>
      </c>
      <c r="B1731" s="7">
        <v>34</v>
      </c>
      <c r="C1731" s="7">
        <v>0</v>
      </c>
      <c r="D1731" s="7">
        <v>0</v>
      </c>
      <c r="E1731" s="7">
        <v>0</v>
      </c>
      <c r="F1731" s="8" t="s">
        <v>35</v>
      </c>
      <c r="G1731" s="8" t="s">
        <v>35</v>
      </c>
      <c r="H1731" t="str">
        <f t="shared" si="26"/>
        <v>YES</v>
      </c>
    </row>
    <row r="1732" spans="1:8" x14ac:dyDescent="0.2">
      <c r="A1732" s="6" t="s">
        <v>1746</v>
      </c>
      <c r="B1732" s="7">
        <v>34</v>
      </c>
      <c r="C1732" s="7">
        <v>0</v>
      </c>
      <c r="D1732" s="7">
        <v>0</v>
      </c>
      <c r="E1732" s="7">
        <v>0</v>
      </c>
      <c r="F1732" s="8" t="s">
        <v>35</v>
      </c>
      <c r="G1732" s="8" t="s">
        <v>35</v>
      </c>
      <c r="H1732" t="str">
        <f t="shared" si="26"/>
        <v>YES</v>
      </c>
    </row>
    <row r="1733" spans="1:8" x14ac:dyDescent="0.2">
      <c r="A1733" s="6" t="s">
        <v>1747</v>
      </c>
      <c r="B1733" s="7">
        <v>34</v>
      </c>
      <c r="C1733" s="7">
        <v>0</v>
      </c>
      <c r="D1733" s="7">
        <v>0</v>
      </c>
      <c r="E1733" s="7">
        <v>0</v>
      </c>
      <c r="F1733" s="8" t="s">
        <v>35</v>
      </c>
      <c r="G1733" s="8" t="s">
        <v>35</v>
      </c>
      <c r="H1733" t="str">
        <f t="shared" ref="H1733:H1796" si="27">IF(F1733=G1733,"YES","NO")</f>
        <v>YES</v>
      </c>
    </row>
    <row r="1734" spans="1:8" x14ac:dyDescent="0.2">
      <c r="A1734" s="6" t="s">
        <v>1748</v>
      </c>
      <c r="B1734" s="7">
        <v>34</v>
      </c>
      <c r="C1734" s="7">
        <v>0</v>
      </c>
      <c r="D1734" s="7">
        <v>0</v>
      </c>
      <c r="E1734" s="7">
        <v>0</v>
      </c>
      <c r="F1734" s="8" t="s">
        <v>35</v>
      </c>
      <c r="G1734" s="8" t="s">
        <v>35</v>
      </c>
      <c r="H1734" t="str">
        <f t="shared" si="27"/>
        <v>YES</v>
      </c>
    </row>
    <row r="1735" spans="1:8" x14ac:dyDescent="0.2">
      <c r="A1735" s="6" t="s">
        <v>1749</v>
      </c>
      <c r="B1735" s="7">
        <v>35</v>
      </c>
      <c r="C1735" s="7">
        <v>0</v>
      </c>
      <c r="D1735" s="7">
        <v>0</v>
      </c>
      <c r="E1735" s="7">
        <v>0</v>
      </c>
      <c r="F1735" s="8" t="s">
        <v>35</v>
      </c>
      <c r="G1735" s="8" t="s">
        <v>35</v>
      </c>
      <c r="H1735" t="str">
        <f t="shared" si="27"/>
        <v>YES</v>
      </c>
    </row>
    <row r="1736" spans="1:8" x14ac:dyDescent="0.2">
      <c r="A1736" s="6" t="s">
        <v>1750</v>
      </c>
      <c r="B1736" s="7">
        <v>35</v>
      </c>
      <c r="C1736" s="7">
        <v>0</v>
      </c>
      <c r="D1736" s="7">
        <v>0</v>
      </c>
      <c r="E1736" s="7">
        <v>0</v>
      </c>
      <c r="F1736" s="8" t="s">
        <v>35</v>
      </c>
      <c r="G1736" s="8" t="s">
        <v>35</v>
      </c>
      <c r="H1736" t="str">
        <f t="shared" si="27"/>
        <v>YES</v>
      </c>
    </row>
    <row r="1737" spans="1:8" x14ac:dyDescent="0.2">
      <c r="A1737" s="6" t="s">
        <v>1751</v>
      </c>
      <c r="B1737" s="7">
        <v>35</v>
      </c>
      <c r="C1737" s="7">
        <v>0</v>
      </c>
      <c r="D1737" s="7">
        <v>0</v>
      </c>
      <c r="E1737" s="7">
        <v>0</v>
      </c>
      <c r="F1737" s="8" t="s">
        <v>35</v>
      </c>
      <c r="G1737" s="8" t="s">
        <v>35</v>
      </c>
      <c r="H1737" t="str">
        <f t="shared" si="27"/>
        <v>YES</v>
      </c>
    </row>
    <row r="1738" spans="1:8" x14ac:dyDescent="0.2">
      <c r="A1738" s="6" t="s">
        <v>1752</v>
      </c>
      <c r="B1738" s="7">
        <v>35</v>
      </c>
      <c r="C1738" s="7">
        <v>0</v>
      </c>
      <c r="D1738" s="7">
        <v>0</v>
      </c>
      <c r="E1738" s="7">
        <v>0</v>
      </c>
      <c r="F1738" s="8" t="s">
        <v>35</v>
      </c>
      <c r="G1738" s="8" t="s">
        <v>35</v>
      </c>
      <c r="H1738" t="str">
        <f t="shared" si="27"/>
        <v>YES</v>
      </c>
    </row>
    <row r="1739" spans="1:8" x14ac:dyDescent="0.2">
      <c r="A1739" s="6" t="s">
        <v>1753</v>
      </c>
      <c r="B1739" s="7">
        <v>35</v>
      </c>
      <c r="C1739" s="7">
        <v>0</v>
      </c>
      <c r="D1739" s="7">
        <v>0</v>
      </c>
      <c r="E1739" s="7">
        <v>0</v>
      </c>
      <c r="F1739" s="8" t="s">
        <v>35</v>
      </c>
      <c r="G1739" s="8" t="s">
        <v>35</v>
      </c>
      <c r="H1739" t="str">
        <f t="shared" si="27"/>
        <v>YES</v>
      </c>
    </row>
    <row r="1740" spans="1:8" x14ac:dyDescent="0.2">
      <c r="A1740" s="6" t="s">
        <v>1754</v>
      </c>
      <c r="B1740" s="7">
        <v>35</v>
      </c>
      <c r="C1740" s="7">
        <v>0</v>
      </c>
      <c r="D1740" s="7">
        <v>0</v>
      </c>
      <c r="E1740" s="7">
        <v>0</v>
      </c>
      <c r="F1740" s="8" t="s">
        <v>35</v>
      </c>
      <c r="G1740" s="8" t="s">
        <v>35</v>
      </c>
      <c r="H1740" t="str">
        <f t="shared" si="27"/>
        <v>YES</v>
      </c>
    </row>
    <row r="1741" spans="1:8" x14ac:dyDescent="0.2">
      <c r="A1741" s="6" t="s">
        <v>1755</v>
      </c>
      <c r="B1741" s="7">
        <v>35</v>
      </c>
      <c r="C1741" s="7">
        <v>0</v>
      </c>
      <c r="D1741" s="7">
        <v>0</v>
      </c>
      <c r="E1741" s="7">
        <v>0</v>
      </c>
      <c r="F1741" s="8" t="s">
        <v>35</v>
      </c>
      <c r="G1741" s="8" t="s">
        <v>35</v>
      </c>
      <c r="H1741" t="str">
        <f t="shared" si="27"/>
        <v>YES</v>
      </c>
    </row>
    <row r="1742" spans="1:8" x14ac:dyDescent="0.2">
      <c r="A1742" s="6" t="s">
        <v>1756</v>
      </c>
      <c r="B1742" s="7">
        <v>35</v>
      </c>
      <c r="C1742" s="7">
        <v>0</v>
      </c>
      <c r="D1742" s="7">
        <v>0</v>
      </c>
      <c r="E1742" s="7">
        <v>0</v>
      </c>
      <c r="F1742" s="8" t="s">
        <v>35</v>
      </c>
      <c r="G1742" s="8" t="s">
        <v>35</v>
      </c>
      <c r="H1742" t="str">
        <f t="shared" si="27"/>
        <v>YES</v>
      </c>
    </row>
    <row r="1743" spans="1:8" x14ac:dyDescent="0.2">
      <c r="A1743" s="6" t="s">
        <v>1757</v>
      </c>
      <c r="B1743" s="7">
        <v>35</v>
      </c>
      <c r="C1743" s="7">
        <v>0</v>
      </c>
      <c r="D1743" s="7">
        <v>0</v>
      </c>
      <c r="E1743" s="7">
        <v>0</v>
      </c>
      <c r="F1743" s="8" t="s">
        <v>35</v>
      </c>
      <c r="G1743" s="8" t="s">
        <v>35</v>
      </c>
      <c r="H1743" t="str">
        <f t="shared" si="27"/>
        <v>YES</v>
      </c>
    </row>
    <row r="1744" spans="1:8" x14ac:dyDescent="0.2">
      <c r="A1744" s="6" t="s">
        <v>1758</v>
      </c>
      <c r="B1744" s="7">
        <v>35</v>
      </c>
      <c r="C1744" s="7">
        <v>0</v>
      </c>
      <c r="D1744" s="7">
        <v>0</v>
      </c>
      <c r="E1744" s="7">
        <v>0</v>
      </c>
      <c r="F1744" s="8" t="s">
        <v>35</v>
      </c>
      <c r="G1744" s="8" t="s">
        <v>35</v>
      </c>
      <c r="H1744" t="str">
        <f t="shared" si="27"/>
        <v>YES</v>
      </c>
    </row>
    <row r="1745" spans="1:8" x14ac:dyDescent="0.2">
      <c r="A1745" s="6" t="s">
        <v>1759</v>
      </c>
      <c r="B1745" s="7">
        <v>36</v>
      </c>
      <c r="C1745" s="7">
        <v>0</v>
      </c>
      <c r="D1745" s="7">
        <v>0</v>
      </c>
      <c r="E1745" s="7">
        <v>0</v>
      </c>
      <c r="F1745" s="8" t="s">
        <v>35</v>
      </c>
      <c r="G1745" s="8" t="s">
        <v>35</v>
      </c>
      <c r="H1745" t="str">
        <f t="shared" si="27"/>
        <v>YES</v>
      </c>
    </row>
    <row r="1746" spans="1:8" x14ac:dyDescent="0.2">
      <c r="A1746" s="6" t="s">
        <v>1760</v>
      </c>
      <c r="B1746" s="7">
        <v>36</v>
      </c>
      <c r="C1746" s="7">
        <v>0</v>
      </c>
      <c r="D1746" s="7">
        <v>0</v>
      </c>
      <c r="E1746" s="7">
        <v>0</v>
      </c>
      <c r="F1746" s="8" t="s">
        <v>35</v>
      </c>
      <c r="G1746" s="8" t="s">
        <v>35</v>
      </c>
      <c r="H1746" t="str">
        <f t="shared" si="27"/>
        <v>YES</v>
      </c>
    </row>
    <row r="1747" spans="1:8" x14ac:dyDescent="0.2">
      <c r="A1747" s="6" t="s">
        <v>1761</v>
      </c>
      <c r="B1747" s="7">
        <v>36</v>
      </c>
      <c r="C1747" s="7">
        <v>0</v>
      </c>
      <c r="D1747" s="7">
        <v>0</v>
      </c>
      <c r="E1747" s="7">
        <v>0</v>
      </c>
      <c r="F1747" s="8" t="s">
        <v>35</v>
      </c>
      <c r="G1747" s="8" t="s">
        <v>35</v>
      </c>
      <c r="H1747" t="str">
        <f t="shared" si="27"/>
        <v>YES</v>
      </c>
    </row>
    <row r="1748" spans="1:8" x14ac:dyDescent="0.2">
      <c r="A1748" s="6" t="s">
        <v>1762</v>
      </c>
      <c r="B1748" s="7">
        <v>36</v>
      </c>
      <c r="C1748" s="7">
        <v>0</v>
      </c>
      <c r="D1748" s="7">
        <v>0</v>
      </c>
      <c r="E1748" s="7">
        <v>0</v>
      </c>
      <c r="F1748" s="8" t="s">
        <v>35</v>
      </c>
      <c r="G1748" s="8" t="s">
        <v>35</v>
      </c>
      <c r="H1748" t="str">
        <f t="shared" si="27"/>
        <v>YES</v>
      </c>
    </row>
    <row r="1749" spans="1:8" x14ac:dyDescent="0.2">
      <c r="A1749" s="6" t="s">
        <v>1763</v>
      </c>
      <c r="B1749" s="7">
        <v>36</v>
      </c>
      <c r="C1749" s="7">
        <v>0</v>
      </c>
      <c r="D1749" s="7">
        <v>0</v>
      </c>
      <c r="E1749" s="7">
        <v>0</v>
      </c>
      <c r="F1749" s="8" t="s">
        <v>35</v>
      </c>
      <c r="G1749" s="8" t="s">
        <v>35</v>
      </c>
      <c r="H1749" t="str">
        <f t="shared" si="27"/>
        <v>YES</v>
      </c>
    </row>
    <row r="1750" spans="1:8" x14ac:dyDescent="0.2">
      <c r="A1750" s="6" t="s">
        <v>1764</v>
      </c>
      <c r="B1750" s="7">
        <v>36</v>
      </c>
      <c r="C1750" s="7">
        <v>0</v>
      </c>
      <c r="D1750" s="7">
        <v>0</v>
      </c>
      <c r="E1750" s="7">
        <v>0</v>
      </c>
      <c r="F1750" s="8" t="s">
        <v>35</v>
      </c>
      <c r="G1750" s="8" t="s">
        <v>35</v>
      </c>
      <c r="H1750" t="str">
        <f t="shared" si="27"/>
        <v>YES</v>
      </c>
    </row>
    <row r="1751" spans="1:8" x14ac:dyDescent="0.2">
      <c r="A1751" s="6" t="s">
        <v>1765</v>
      </c>
      <c r="B1751" s="7">
        <v>37</v>
      </c>
      <c r="C1751" s="7">
        <v>0</v>
      </c>
      <c r="D1751" s="7">
        <v>0</v>
      </c>
      <c r="E1751" s="7">
        <v>0</v>
      </c>
      <c r="F1751" s="8" t="s">
        <v>35</v>
      </c>
      <c r="G1751" s="8" t="s">
        <v>35</v>
      </c>
      <c r="H1751" t="str">
        <f t="shared" si="27"/>
        <v>YES</v>
      </c>
    </row>
    <row r="1752" spans="1:8" x14ac:dyDescent="0.2">
      <c r="A1752" s="6" t="s">
        <v>1766</v>
      </c>
      <c r="B1752" s="7">
        <v>37</v>
      </c>
      <c r="C1752" s="7">
        <v>0</v>
      </c>
      <c r="D1752" s="7">
        <v>0</v>
      </c>
      <c r="E1752" s="7">
        <v>0</v>
      </c>
      <c r="F1752" s="8" t="s">
        <v>35</v>
      </c>
      <c r="G1752" s="8" t="s">
        <v>35</v>
      </c>
      <c r="H1752" t="str">
        <f t="shared" si="27"/>
        <v>YES</v>
      </c>
    </row>
    <row r="1753" spans="1:8" x14ac:dyDescent="0.2">
      <c r="A1753" s="6" t="s">
        <v>1767</v>
      </c>
      <c r="B1753" s="7">
        <v>37</v>
      </c>
      <c r="C1753" s="7">
        <v>0</v>
      </c>
      <c r="D1753" s="7">
        <v>0</v>
      </c>
      <c r="E1753" s="7">
        <v>0</v>
      </c>
      <c r="F1753" s="8" t="s">
        <v>35</v>
      </c>
      <c r="G1753" s="8" t="s">
        <v>35</v>
      </c>
      <c r="H1753" t="str">
        <f t="shared" si="27"/>
        <v>YES</v>
      </c>
    </row>
    <row r="1754" spans="1:8" x14ac:dyDescent="0.2">
      <c r="A1754" s="6" t="s">
        <v>1768</v>
      </c>
      <c r="B1754" s="7">
        <v>38</v>
      </c>
      <c r="C1754" s="7">
        <v>0</v>
      </c>
      <c r="D1754" s="7">
        <v>0</v>
      </c>
      <c r="E1754" s="7">
        <v>0</v>
      </c>
      <c r="F1754" s="8" t="s">
        <v>35</v>
      </c>
      <c r="G1754" s="8" t="s">
        <v>35</v>
      </c>
      <c r="H1754" t="str">
        <f t="shared" si="27"/>
        <v>YES</v>
      </c>
    </row>
    <row r="1755" spans="1:8" x14ac:dyDescent="0.2">
      <c r="A1755" s="6" t="s">
        <v>1769</v>
      </c>
      <c r="B1755" s="7">
        <v>38</v>
      </c>
      <c r="C1755" s="7">
        <v>0</v>
      </c>
      <c r="D1755" s="7">
        <v>0</v>
      </c>
      <c r="E1755" s="7">
        <v>0</v>
      </c>
      <c r="F1755" s="8" t="s">
        <v>35</v>
      </c>
      <c r="G1755" s="8" t="s">
        <v>35</v>
      </c>
      <c r="H1755" t="str">
        <f t="shared" si="27"/>
        <v>YES</v>
      </c>
    </row>
    <row r="1756" spans="1:8" x14ac:dyDescent="0.2">
      <c r="A1756" s="6" t="s">
        <v>1770</v>
      </c>
      <c r="B1756" s="7">
        <v>38</v>
      </c>
      <c r="C1756" s="7">
        <v>0</v>
      </c>
      <c r="D1756" s="7">
        <v>0</v>
      </c>
      <c r="E1756" s="7">
        <v>0</v>
      </c>
      <c r="F1756" s="8" t="s">
        <v>35</v>
      </c>
      <c r="G1756" s="8" t="s">
        <v>35</v>
      </c>
      <c r="H1756" t="str">
        <f t="shared" si="27"/>
        <v>YES</v>
      </c>
    </row>
    <row r="1757" spans="1:8" x14ac:dyDescent="0.2">
      <c r="A1757" s="6" t="s">
        <v>1771</v>
      </c>
      <c r="B1757" s="7">
        <v>39</v>
      </c>
      <c r="C1757" s="7">
        <v>0</v>
      </c>
      <c r="D1757" s="7">
        <v>0</v>
      </c>
      <c r="E1757" s="7">
        <v>0</v>
      </c>
      <c r="F1757" s="8" t="s">
        <v>35</v>
      </c>
      <c r="G1757" s="8" t="s">
        <v>35</v>
      </c>
      <c r="H1757" t="str">
        <f t="shared" si="27"/>
        <v>YES</v>
      </c>
    </row>
    <row r="1758" spans="1:8" x14ac:dyDescent="0.2">
      <c r="A1758" s="6" t="s">
        <v>1772</v>
      </c>
      <c r="B1758" s="7">
        <v>40</v>
      </c>
      <c r="C1758" s="7">
        <v>0</v>
      </c>
      <c r="D1758" s="7">
        <v>0</v>
      </c>
      <c r="E1758" s="7">
        <v>0</v>
      </c>
      <c r="F1758" s="8" t="s">
        <v>35</v>
      </c>
      <c r="G1758" s="8" t="s">
        <v>35</v>
      </c>
      <c r="H1758" t="str">
        <f t="shared" si="27"/>
        <v>YES</v>
      </c>
    </row>
    <row r="1759" spans="1:8" x14ac:dyDescent="0.2">
      <c r="A1759" s="6" t="s">
        <v>1773</v>
      </c>
      <c r="B1759" s="7">
        <v>40</v>
      </c>
      <c r="C1759" s="7">
        <v>0</v>
      </c>
      <c r="D1759" s="7">
        <v>0</v>
      </c>
      <c r="E1759" s="7">
        <v>0</v>
      </c>
      <c r="F1759" s="8" t="s">
        <v>35</v>
      </c>
      <c r="G1759" s="8" t="s">
        <v>35</v>
      </c>
      <c r="H1759" t="str">
        <f t="shared" si="27"/>
        <v>YES</v>
      </c>
    </row>
    <row r="1760" spans="1:8" x14ac:dyDescent="0.2">
      <c r="A1760" s="6" t="s">
        <v>1774</v>
      </c>
      <c r="B1760" s="7">
        <v>40</v>
      </c>
      <c r="C1760" s="7">
        <v>0</v>
      </c>
      <c r="D1760" s="7">
        <v>0</v>
      </c>
      <c r="E1760" s="7">
        <v>0</v>
      </c>
      <c r="F1760" s="8" t="s">
        <v>35</v>
      </c>
      <c r="G1760" s="8" t="s">
        <v>35</v>
      </c>
      <c r="H1760" t="str">
        <f t="shared" si="27"/>
        <v>YES</v>
      </c>
    </row>
    <row r="1761" spans="1:8" x14ac:dyDescent="0.2">
      <c r="A1761" s="6" t="s">
        <v>1775</v>
      </c>
      <c r="B1761" s="7">
        <v>40</v>
      </c>
      <c r="C1761" s="7">
        <v>0</v>
      </c>
      <c r="D1761" s="7">
        <v>0</v>
      </c>
      <c r="E1761" s="7">
        <v>0</v>
      </c>
      <c r="F1761" s="8" t="s">
        <v>35</v>
      </c>
      <c r="G1761" s="8" t="s">
        <v>35</v>
      </c>
      <c r="H1761" t="str">
        <f t="shared" si="27"/>
        <v>YES</v>
      </c>
    </row>
    <row r="1762" spans="1:8" x14ac:dyDescent="0.2">
      <c r="A1762" s="6" t="s">
        <v>1776</v>
      </c>
      <c r="B1762" s="7">
        <v>40</v>
      </c>
      <c r="C1762" s="7">
        <v>0</v>
      </c>
      <c r="D1762" s="7">
        <v>0</v>
      </c>
      <c r="E1762" s="7">
        <v>0</v>
      </c>
      <c r="F1762" s="8" t="s">
        <v>35</v>
      </c>
      <c r="G1762" s="8" t="s">
        <v>35</v>
      </c>
      <c r="H1762" t="str">
        <f t="shared" si="27"/>
        <v>YES</v>
      </c>
    </row>
    <row r="1763" spans="1:8" x14ac:dyDescent="0.2">
      <c r="A1763" s="6" t="s">
        <v>1777</v>
      </c>
      <c r="B1763" s="7">
        <v>40</v>
      </c>
      <c r="C1763" s="7">
        <v>0</v>
      </c>
      <c r="D1763" s="7">
        <v>0</v>
      </c>
      <c r="E1763" s="7">
        <v>0</v>
      </c>
      <c r="F1763" s="8" t="s">
        <v>35</v>
      </c>
      <c r="G1763" s="8" t="s">
        <v>35</v>
      </c>
      <c r="H1763" t="str">
        <f t="shared" si="27"/>
        <v>YES</v>
      </c>
    </row>
    <row r="1764" spans="1:8" x14ac:dyDescent="0.2">
      <c r="A1764" s="6" t="s">
        <v>1778</v>
      </c>
      <c r="B1764" s="7">
        <v>41</v>
      </c>
      <c r="C1764" s="7">
        <v>0</v>
      </c>
      <c r="D1764" s="7">
        <v>0</v>
      </c>
      <c r="E1764" s="7">
        <v>0</v>
      </c>
      <c r="F1764" s="8" t="s">
        <v>35</v>
      </c>
      <c r="G1764" s="8" t="s">
        <v>35</v>
      </c>
      <c r="H1764" t="str">
        <f t="shared" si="27"/>
        <v>YES</v>
      </c>
    </row>
    <row r="1765" spans="1:8" x14ac:dyDescent="0.2">
      <c r="A1765" s="6" t="s">
        <v>1779</v>
      </c>
      <c r="B1765" s="7">
        <v>41</v>
      </c>
      <c r="C1765" s="7">
        <v>0</v>
      </c>
      <c r="D1765" s="7">
        <v>0</v>
      </c>
      <c r="E1765" s="7">
        <v>0</v>
      </c>
      <c r="F1765" s="8" t="s">
        <v>35</v>
      </c>
      <c r="G1765" s="8" t="s">
        <v>35</v>
      </c>
      <c r="H1765" t="str">
        <f t="shared" si="27"/>
        <v>YES</v>
      </c>
    </row>
    <row r="1766" spans="1:8" x14ac:dyDescent="0.2">
      <c r="A1766" s="6" t="s">
        <v>1780</v>
      </c>
      <c r="B1766" s="7">
        <v>41</v>
      </c>
      <c r="C1766" s="7">
        <v>0</v>
      </c>
      <c r="D1766" s="7">
        <v>0</v>
      </c>
      <c r="E1766" s="7">
        <v>0</v>
      </c>
      <c r="F1766" s="8" t="s">
        <v>35</v>
      </c>
      <c r="G1766" s="8" t="s">
        <v>35</v>
      </c>
      <c r="H1766" t="str">
        <f t="shared" si="27"/>
        <v>YES</v>
      </c>
    </row>
    <row r="1767" spans="1:8" x14ac:dyDescent="0.2">
      <c r="A1767" s="6" t="s">
        <v>1781</v>
      </c>
      <c r="B1767" s="7">
        <v>42</v>
      </c>
      <c r="C1767" s="7">
        <v>0</v>
      </c>
      <c r="D1767" s="7">
        <v>0</v>
      </c>
      <c r="E1767" s="7">
        <v>0</v>
      </c>
      <c r="F1767" s="8" t="s">
        <v>35</v>
      </c>
      <c r="G1767" s="8" t="s">
        <v>35</v>
      </c>
      <c r="H1767" t="str">
        <f t="shared" si="27"/>
        <v>YES</v>
      </c>
    </row>
    <row r="1768" spans="1:8" x14ac:dyDescent="0.2">
      <c r="A1768" s="6" t="s">
        <v>1782</v>
      </c>
      <c r="B1768" s="7">
        <v>42</v>
      </c>
      <c r="C1768" s="7">
        <v>0</v>
      </c>
      <c r="D1768" s="7">
        <v>0</v>
      </c>
      <c r="E1768" s="7">
        <v>0</v>
      </c>
      <c r="F1768" s="8" t="s">
        <v>35</v>
      </c>
      <c r="G1768" s="8" t="s">
        <v>35</v>
      </c>
      <c r="H1768" t="str">
        <f t="shared" si="27"/>
        <v>YES</v>
      </c>
    </row>
    <row r="1769" spans="1:8" x14ac:dyDescent="0.2">
      <c r="A1769" s="6" t="s">
        <v>1783</v>
      </c>
      <c r="B1769" s="7">
        <v>42</v>
      </c>
      <c r="C1769" s="7">
        <v>0</v>
      </c>
      <c r="D1769" s="7">
        <v>0</v>
      </c>
      <c r="E1769" s="7">
        <v>0</v>
      </c>
      <c r="F1769" s="8" t="s">
        <v>35</v>
      </c>
      <c r="G1769" s="8" t="s">
        <v>35</v>
      </c>
      <c r="H1769" t="str">
        <f t="shared" si="27"/>
        <v>YES</v>
      </c>
    </row>
    <row r="1770" spans="1:8" x14ac:dyDescent="0.2">
      <c r="A1770" s="6" t="s">
        <v>1784</v>
      </c>
      <c r="B1770" s="7">
        <v>42</v>
      </c>
      <c r="C1770" s="7">
        <v>0</v>
      </c>
      <c r="D1770" s="7">
        <v>0</v>
      </c>
      <c r="E1770" s="7">
        <v>0</v>
      </c>
      <c r="F1770" s="8" t="s">
        <v>35</v>
      </c>
      <c r="G1770" s="8" t="s">
        <v>35</v>
      </c>
      <c r="H1770" t="str">
        <f t="shared" si="27"/>
        <v>YES</v>
      </c>
    </row>
    <row r="1771" spans="1:8" x14ac:dyDescent="0.2">
      <c r="A1771" s="6" t="s">
        <v>1785</v>
      </c>
      <c r="B1771" s="7">
        <v>42</v>
      </c>
      <c r="C1771" s="7">
        <v>0</v>
      </c>
      <c r="D1771" s="7">
        <v>0</v>
      </c>
      <c r="E1771" s="7">
        <v>0</v>
      </c>
      <c r="F1771" s="8" t="s">
        <v>35</v>
      </c>
      <c r="G1771" s="8" t="s">
        <v>35</v>
      </c>
      <c r="H1771" t="str">
        <f t="shared" si="27"/>
        <v>YES</v>
      </c>
    </row>
    <row r="1772" spans="1:8" x14ac:dyDescent="0.2">
      <c r="A1772" s="6" t="s">
        <v>1786</v>
      </c>
      <c r="B1772" s="7">
        <v>42</v>
      </c>
      <c r="C1772" s="7">
        <v>0</v>
      </c>
      <c r="D1772" s="7">
        <v>0</v>
      </c>
      <c r="E1772" s="7">
        <v>0</v>
      </c>
      <c r="F1772" s="8" t="s">
        <v>35</v>
      </c>
      <c r="G1772" s="8" t="s">
        <v>35</v>
      </c>
      <c r="H1772" t="str">
        <f t="shared" si="27"/>
        <v>YES</v>
      </c>
    </row>
    <row r="1773" spans="1:8" x14ac:dyDescent="0.2">
      <c r="A1773" s="6" t="s">
        <v>1787</v>
      </c>
      <c r="B1773" s="7">
        <v>43</v>
      </c>
      <c r="C1773" s="7">
        <v>0</v>
      </c>
      <c r="D1773" s="7">
        <v>0</v>
      </c>
      <c r="E1773" s="7">
        <v>0</v>
      </c>
      <c r="F1773" s="8" t="s">
        <v>35</v>
      </c>
      <c r="G1773" s="8" t="s">
        <v>35</v>
      </c>
      <c r="H1773" t="str">
        <f t="shared" si="27"/>
        <v>YES</v>
      </c>
    </row>
    <row r="1774" spans="1:8" x14ac:dyDescent="0.2">
      <c r="A1774" s="6" t="s">
        <v>1788</v>
      </c>
      <c r="B1774" s="7">
        <v>43</v>
      </c>
      <c r="C1774" s="7">
        <v>0</v>
      </c>
      <c r="D1774" s="7">
        <v>0</v>
      </c>
      <c r="E1774" s="7">
        <v>0</v>
      </c>
      <c r="F1774" s="8" t="s">
        <v>35</v>
      </c>
      <c r="G1774" s="8" t="s">
        <v>35</v>
      </c>
      <c r="H1774" t="str">
        <f t="shared" si="27"/>
        <v>YES</v>
      </c>
    </row>
    <row r="1775" spans="1:8" x14ac:dyDescent="0.2">
      <c r="A1775" s="6" t="s">
        <v>1789</v>
      </c>
      <c r="B1775" s="7">
        <v>43</v>
      </c>
      <c r="C1775" s="7">
        <v>0</v>
      </c>
      <c r="D1775" s="7">
        <v>0</v>
      </c>
      <c r="E1775" s="7">
        <v>0</v>
      </c>
      <c r="F1775" s="8" t="s">
        <v>35</v>
      </c>
      <c r="G1775" s="8" t="s">
        <v>35</v>
      </c>
      <c r="H1775" t="str">
        <f t="shared" si="27"/>
        <v>YES</v>
      </c>
    </row>
    <row r="1776" spans="1:8" x14ac:dyDescent="0.2">
      <c r="A1776" s="6" t="s">
        <v>1790</v>
      </c>
      <c r="B1776" s="7">
        <v>43</v>
      </c>
      <c r="C1776" s="7">
        <v>0</v>
      </c>
      <c r="D1776" s="7">
        <v>0</v>
      </c>
      <c r="E1776" s="7">
        <v>0</v>
      </c>
      <c r="F1776" s="8" t="s">
        <v>35</v>
      </c>
      <c r="G1776" s="8" t="s">
        <v>35</v>
      </c>
      <c r="H1776" t="str">
        <f t="shared" si="27"/>
        <v>YES</v>
      </c>
    </row>
    <row r="1777" spans="1:8" x14ac:dyDescent="0.2">
      <c r="A1777" s="6" t="s">
        <v>1791</v>
      </c>
      <c r="B1777" s="7">
        <v>43</v>
      </c>
      <c r="C1777" s="7">
        <v>0</v>
      </c>
      <c r="D1777" s="7">
        <v>0</v>
      </c>
      <c r="E1777" s="7">
        <v>0</v>
      </c>
      <c r="F1777" s="8" t="s">
        <v>35</v>
      </c>
      <c r="G1777" s="8" t="s">
        <v>35</v>
      </c>
      <c r="H1777" t="str">
        <f t="shared" si="27"/>
        <v>YES</v>
      </c>
    </row>
    <row r="1778" spans="1:8" x14ac:dyDescent="0.2">
      <c r="A1778" s="6" t="s">
        <v>1792</v>
      </c>
      <c r="B1778" s="7">
        <v>43</v>
      </c>
      <c r="C1778" s="7">
        <v>0</v>
      </c>
      <c r="D1778" s="7">
        <v>0</v>
      </c>
      <c r="E1778" s="7">
        <v>0</v>
      </c>
      <c r="F1778" s="8" t="s">
        <v>35</v>
      </c>
      <c r="G1778" s="8" t="s">
        <v>35</v>
      </c>
      <c r="H1778" t="str">
        <f t="shared" si="27"/>
        <v>YES</v>
      </c>
    </row>
    <row r="1779" spans="1:8" x14ac:dyDescent="0.2">
      <c r="A1779" s="6" t="s">
        <v>1793</v>
      </c>
      <c r="B1779" s="7">
        <v>43</v>
      </c>
      <c r="C1779" s="7">
        <v>0</v>
      </c>
      <c r="D1779" s="7">
        <v>0</v>
      </c>
      <c r="E1779" s="7">
        <v>0</v>
      </c>
      <c r="F1779" s="8" t="s">
        <v>35</v>
      </c>
      <c r="G1779" s="8" t="s">
        <v>35</v>
      </c>
      <c r="H1779" t="str">
        <f t="shared" si="27"/>
        <v>YES</v>
      </c>
    </row>
    <row r="1780" spans="1:8" x14ac:dyDescent="0.2">
      <c r="A1780" s="6" t="s">
        <v>1794</v>
      </c>
      <c r="B1780" s="7">
        <v>43</v>
      </c>
      <c r="C1780" s="7">
        <v>0</v>
      </c>
      <c r="D1780" s="7">
        <v>0</v>
      </c>
      <c r="E1780" s="7">
        <v>0</v>
      </c>
      <c r="F1780" s="8" t="s">
        <v>35</v>
      </c>
      <c r="G1780" s="8" t="s">
        <v>35</v>
      </c>
      <c r="H1780" t="str">
        <f t="shared" si="27"/>
        <v>YES</v>
      </c>
    </row>
    <row r="1781" spans="1:8" x14ac:dyDescent="0.2">
      <c r="A1781" s="6" t="s">
        <v>1795</v>
      </c>
      <c r="B1781" s="7">
        <v>43</v>
      </c>
      <c r="C1781" s="7">
        <v>0</v>
      </c>
      <c r="D1781" s="7">
        <v>0</v>
      </c>
      <c r="E1781" s="7">
        <v>0</v>
      </c>
      <c r="F1781" s="8" t="s">
        <v>35</v>
      </c>
      <c r="G1781" s="8" t="s">
        <v>35</v>
      </c>
      <c r="H1781" t="str">
        <f t="shared" si="27"/>
        <v>YES</v>
      </c>
    </row>
    <row r="1782" spans="1:8" x14ac:dyDescent="0.2">
      <c r="A1782" s="6" t="s">
        <v>1796</v>
      </c>
      <c r="B1782" s="7">
        <v>43</v>
      </c>
      <c r="C1782" s="7">
        <v>0</v>
      </c>
      <c r="D1782" s="7">
        <v>0</v>
      </c>
      <c r="E1782" s="7">
        <v>0</v>
      </c>
      <c r="F1782" s="8" t="s">
        <v>35</v>
      </c>
      <c r="G1782" s="8" t="s">
        <v>35</v>
      </c>
      <c r="H1782" t="str">
        <f t="shared" si="27"/>
        <v>YES</v>
      </c>
    </row>
    <row r="1783" spans="1:8" x14ac:dyDescent="0.2">
      <c r="A1783" s="6" t="s">
        <v>1797</v>
      </c>
      <c r="B1783" s="7">
        <v>43</v>
      </c>
      <c r="C1783" s="7">
        <v>0</v>
      </c>
      <c r="D1783" s="7">
        <v>0</v>
      </c>
      <c r="E1783" s="7">
        <v>0</v>
      </c>
      <c r="F1783" s="8" t="s">
        <v>35</v>
      </c>
      <c r="G1783" s="8" t="s">
        <v>35</v>
      </c>
      <c r="H1783" t="str">
        <f t="shared" si="27"/>
        <v>YES</v>
      </c>
    </row>
    <row r="1784" spans="1:8" x14ac:dyDescent="0.2">
      <c r="A1784" s="6" t="s">
        <v>1798</v>
      </c>
      <c r="B1784" s="7">
        <v>45</v>
      </c>
      <c r="C1784" s="7">
        <v>0</v>
      </c>
      <c r="D1784" s="7">
        <v>0</v>
      </c>
      <c r="E1784" s="7">
        <v>0</v>
      </c>
      <c r="F1784" s="8" t="s">
        <v>35</v>
      </c>
      <c r="G1784" s="8" t="s">
        <v>35</v>
      </c>
      <c r="H1784" t="str">
        <f t="shared" si="27"/>
        <v>YES</v>
      </c>
    </row>
    <row r="1785" spans="1:8" x14ac:dyDescent="0.2">
      <c r="A1785" s="6" t="s">
        <v>1799</v>
      </c>
      <c r="B1785" s="7">
        <v>45</v>
      </c>
      <c r="C1785" s="7">
        <v>0</v>
      </c>
      <c r="D1785" s="7">
        <v>0</v>
      </c>
      <c r="E1785" s="7">
        <v>0</v>
      </c>
      <c r="F1785" s="8" t="s">
        <v>35</v>
      </c>
      <c r="G1785" s="8" t="s">
        <v>35</v>
      </c>
      <c r="H1785" t="str">
        <f t="shared" si="27"/>
        <v>YES</v>
      </c>
    </row>
    <row r="1786" spans="1:8" x14ac:dyDescent="0.2">
      <c r="A1786" s="6" t="s">
        <v>1800</v>
      </c>
      <c r="B1786" s="7">
        <v>45</v>
      </c>
      <c r="C1786" s="7">
        <v>0</v>
      </c>
      <c r="D1786" s="7">
        <v>0</v>
      </c>
      <c r="E1786" s="7">
        <v>0</v>
      </c>
      <c r="F1786" s="8" t="s">
        <v>35</v>
      </c>
      <c r="G1786" s="8" t="s">
        <v>35</v>
      </c>
      <c r="H1786" t="str">
        <f t="shared" si="27"/>
        <v>YES</v>
      </c>
    </row>
    <row r="1787" spans="1:8" x14ac:dyDescent="0.2">
      <c r="A1787" s="6" t="s">
        <v>1801</v>
      </c>
      <c r="B1787" s="7">
        <v>45</v>
      </c>
      <c r="C1787" s="7">
        <v>0</v>
      </c>
      <c r="D1787" s="7">
        <v>0</v>
      </c>
      <c r="E1787" s="7">
        <v>0</v>
      </c>
      <c r="F1787" s="8" t="s">
        <v>35</v>
      </c>
      <c r="G1787" s="8" t="s">
        <v>35</v>
      </c>
      <c r="H1787" t="str">
        <f t="shared" si="27"/>
        <v>YES</v>
      </c>
    </row>
    <row r="1788" spans="1:8" x14ac:dyDescent="0.2">
      <c r="A1788" s="6" t="s">
        <v>1802</v>
      </c>
      <c r="B1788" s="7">
        <v>45</v>
      </c>
      <c r="C1788" s="7">
        <v>0</v>
      </c>
      <c r="D1788" s="7">
        <v>0</v>
      </c>
      <c r="E1788" s="7">
        <v>0</v>
      </c>
      <c r="F1788" s="8" t="s">
        <v>35</v>
      </c>
      <c r="G1788" s="8" t="s">
        <v>35</v>
      </c>
      <c r="H1788" t="str">
        <f t="shared" si="27"/>
        <v>YES</v>
      </c>
    </row>
    <row r="1789" spans="1:8" x14ac:dyDescent="0.2">
      <c r="A1789" s="6" t="s">
        <v>1803</v>
      </c>
      <c r="B1789" s="7">
        <v>45</v>
      </c>
      <c r="C1789" s="7">
        <v>0</v>
      </c>
      <c r="D1789" s="7">
        <v>0</v>
      </c>
      <c r="E1789" s="7">
        <v>0</v>
      </c>
      <c r="F1789" s="8" t="s">
        <v>35</v>
      </c>
      <c r="G1789" s="8" t="s">
        <v>35</v>
      </c>
      <c r="H1789" t="str">
        <f t="shared" si="27"/>
        <v>YES</v>
      </c>
    </row>
    <row r="1790" spans="1:8" x14ac:dyDescent="0.2">
      <c r="A1790" s="6" t="s">
        <v>1804</v>
      </c>
      <c r="B1790" s="7">
        <v>46</v>
      </c>
      <c r="C1790" s="7">
        <v>0</v>
      </c>
      <c r="D1790" s="7">
        <v>0</v>
      </c>
      <c r="E1790" s="7">
        <v>0</v>
      </c>
      <c r="F1790" s="8" t="s">
        <v>35</v>
      </c>
      <c r="G1790" s="8" t="s">
        <v>35</v>
      </c>
      <c r="H1790" t="str">
        <f t="shared" si="27"/>
        <v>YES</v>
      </c>
    </row>
    <row r="1791" spans="1:8" x14ac:dyDescent="0.2">
      <c r="A1791" s="6" t="s">
        <v>1805</v>
      </c>
      <c r="B1791" s="7">
        <v>46</v>
      </c>
      <c r="C1791" s="7">
        <v>0</v>
      </c>
      <c r="D1791" s="7">
        <v>0</v>
      </c>
      <c r="E1791" s="7">
        <v>0</v>
      </c>
      <c r="F1791" s="8" t="s">
        <v>35</v>
      </c>
      <c r="G1791" s="8" t="s">
        <v>35</v>
      </c>
      <c r="H1791" t="str">
        <f t="shared" si="27"/>
        <v>YES</v>
      </c>
    </row>
    <row r="1792" spans="1:8" x14ac:dyDescent="0.2">
      <c r="A1792" s="6" t="s">
        <v>1806</v>
      </c>
      <c r="B1792" s="7">
        <v>48</v>
      </c>
      <c r="C1792" s="7">
        <v>0</v>
      </c>
      <c r="D1792" s="7">
        <v>0</v>
      </c>
      <c r="E1792" s="7">
        <v>0</v>
      </c>
      <c r="F1792" s="8" t="s">
        <v>35</v>
      </c>
      <c r="G1792" s="8" t="s">
        <v>35</v>
      </c>
      <c r="H1792" t="str">
        <f t="shared" si="27"/>
        <v>YES</v>
      </c>
    </row>
    <row r="1793" spans="1:8" x14ac:dyDescent="0.2">
      <c r="A1793" s="6" t="s">
        <v>1807</v>
      </c>
      <c r="B1793" s="7">
        <v>48</v>
      </c>
      <c r="C1793" s="7">
        <v>0</v>
      </c>
      <c r="D1793" s="7">
        <v>0</v>
      </c>
      <c r="E1793" s="7">
        <v>0</v>
      </c>
      <c r="F1793" s="8" t="s">
        <v>35</v>
      </c>
      <c r="G1793" s="8" t="s">
        <v>35</v>
      </c>
      <c r="H1793" t="str">
        <f t="shared" si="27"/>
        <v>YES</v>
      </c>
    </row>
    <row r="1794" spans="1:8" x14ac:dyDescent="0.2">
      <c r="A1794" s="6" t="s">
        <v>1808</v>
      </c>
      <c r="B1794" s="7">
        <v>48</v>
      </c>
      <c r="C1794" s="7">
        <v>0</v>
      </c>
      <c r="D1794" s="7">
        <v>0</v>
      </c>
      <c r="E1794" s="7">
        <v>0</v>
      </c>
      <c r="F1794" s="8" t="s">
        <v>35</v>
      </c>
      <c r="G1794" s="8" t="s">
        <v>35</v>
      </c>
      <c r="H1794" t="str">
        <f t="shared" si="27"/>
        <v>YES</v>
      </c>
    </row>
    <row r="1795" spans="1:8" x14ac:dyDescent="0.2">
      <c r="A1795" s="6" t="s">
        <v>1809</v>
      </c>
      <c r="B1795" s="7">
        <v>48</v>
      </c>
      <c r="C1795" s="7">
        <v>0</v>
      </c>
      <c r="D1795" s="7">
        <v>0</v>
      </c>
      <c r="E1795" s="7">
        <v>0</v>
      </c>
      <c r="F1795" s="8" t="s">
        <v>35</v>
      </c>
      <c r="G1795" s="8" t="s">
        <v>35</v>
      </c>
      <c r="H1795" t="str">
        <f t="shared" si="27"/>
        <v>YES</v>
      </c>
    </row>
    <row r="1796" spans="1:8" x14ac:dyDescent="0.2">
      <c r="A1796" s="6" t="s">
        <v>1810</v>
      </c>
      <c r="B1796" s="7">
        <v>48</v>
      </c>
      <c r="C1796" s="7">
        <v>0</v>
      </c>
      <c r="D1796" s="7">
        <v>0</v>
      </c>
      <c r="E1796" s="7">
        <v>0</v>
      </c>
      <c r="F1796" s="8" t="s">
        <v>35</v>
      </c>
      <c r="G1796" s="8" t="s">
        <v>35</v>
      </c>
      <c r="H1796" t="str">
        <f t="shared" si="27"/>
        <v>YES</v>
      </c>
    </row>
    <row r="1797" spans="1:8" x14ac:dyDescent="0.2">
      <c r="A1797" s="6" t="s">
        <v>1811</v>
      </c>
      <c r="B1797" s="7">
        <v>48</v>
      </c>
      <c r="C1797" s="7">
        <v>0</v>
      </c>
      <c r="D1797" s="7">
        <v>0</v>
      </c>
      <c r="E1797" s="7">
        <v>0</v>
      </c>
      <c r="F1797" s="8" t="s">
        <v>35</v>
      </c>
      <c r="G1797" s="8" t="s">
        <v>35</v>
      </c>
      <c r="H1797" t="str">
        <f t="shared" ref="H1797:H1860" si="28">IF(F1797=G1797,"YES","NO")</f>
        <v>YES</v>
      </c>
    </row>
    <row r="1798" spans="1:8" x14ac:dyDescent="0.2">
      <c r="A1798" s="6" t="s">
        <v>1812</v>
      </c>
      <c r="B1798" s="7">
        <v>48</v>
      </c>
      <c r="C1798" s="7">
        <v>0</v>
      </c>
      <c r="D1798" s="7">
        <v>0</v>
      </c>
      <c r="E1798" s="7">
        <v>0</v>
      </c>
      <c r="F1798" s="8" t="s">
        <v>35</v>
      </c>
      <c r="G1798" s="8" t="s">
        <v>35</v>
      </c>
      <c r="H1798" t="str">
        <f t="shared" si="28"/>
        <v>YES</v>
      </c>
    </row>
    <row r="1799" spans="1:8" x14ac:dyDescent="0.2">
      <c r="A1799" s="6" t="s">
        <v>1813</v>
      </c>
      <c r="B1799" s="7">
        <v>48</v>
      </c>
      <c r="C1799" s="7">
        <v>0</v>
      </c>
      <c r="D1799" s="7">
        <v>0</v>
      </c>
      <c r="E1799" s="7">
        <v>0</v>
      </c>
      <c r="F1799" s="8" t="s">
        <v>35</v>
      </c>
      <c r="G1799" s="8" t="s">
        <v>35</v>
      </c>
      <c r="H1799" t="str">
        <f t="shared" si="28"/>
        <v>YES</v>
      </c>
    </row>
    <row r="1800" spans="1:8" x14ac:dyDescent="0.2">
      <c r="A1800" s="6" t="s">
        <v>1814</v>
      </c>
      <c r="B1800" s="7">
        <v>48</v>
      </c>
      <c r="C1800" s="7">
        <v>0</v>
      </c>
      <c r="D1800" s="7">
        <v>0</v>
      </c>
      <c r="E1800" s="7">
        <v>0</v>
      </c>
      <c r="F1800" s="8" t="s">
        <v>35</v>
      </c>
      <c r="G1800" s="8" t="s">
        <v>35</v>
      </c>
      <c r="H1800" t="str">
        <f t="shared" si="28"/>
        <v>YES</v>
      </c>
    </row>
    <row r="1801" spans="1:8" x14ac:dyDescent="0.2">
      <c r="A1801" s="6" t="s">
        <v>1815</v>
      </c>
      <c r="B1801" s="7">
        <v>49</v>
      </c>
      <c r="C1801" s="7">
        <v>0</v>
      </c>
      <c r="D1801" s="7">
        <v>0</v>
      </c>
      <c r="E1801" s="7">
        <v>0</v>
      </c>
      <c r="F1801" s="8" t="s">
        <v>35</v>
      </c>
      <c r="G1801" s="8" t="s">
        <v>35</v>
      </c>
      <c r="H1801" t="str">
        <f t="shared" si="28"/>
        <v>YES</v>
      </c>
    </row>
    <row r="1802" spans="1:8" x14ac:dyDescent="0.2">
      <c r="A1802" s="6" t="s">
        <v>1816</v>
      </c>
      <c r="B1802" s="7">
        <v>49</v>
      </c>
      <c r="C1802" s="7">
        <v>0</v>
      </c>
      <c r="D1802" s="7">
        <v>0</v>
      </c>
      <c r="E1802" s="7">
        <v>0</v>
      </c>
      <c r="F1802" s="8" t="s">
        <v>35</v>
      </c>
      <c r="G1802" s="8" t="s">
        <v>35</v>
      </c>
      <c r="H1802" t="str">
        <f t="shared" si="28"/>
        <v>YES</v>
      </c>
    </row>
    <row r="1803" spans="1:8" x14ac:dyDescent="0.2">
      <c r="A1803" s="6" t="s">
        <v>1817</v>
      </c>
      <c r="B1803" s="7">
        <v>50</v>
      </c>
      <c r="C1803" s="7">
        <v>0</v>
      </c>
      <c r="D1803" s="7">
        <v>0</v>
      </c>
      <c r="E1803" s="7">
        <v>0</v>
      </c>
      <c r="F1803" s="8" t="s">
        <v>35</v>
      </c>
      <c r="G1803" s="8" t="s">
        <v>35</v>
      </c>
      <c r="H1803" t="str">
        <f t="shared" si="28"/>
        <v>YES</v>
      </c>
    </row>
    <row r="1804" spans="1:8" x14ac:dyDescent="0.2">
      <c r="A1804" s="6" t="s">
        <v>1818</v>
      </c>
      <c r="B1804" s="7">
        <v>50</v>
      </c>
      <c r="C1804" s="7">
        <v>0</v>
      </c>
      <c r="D1804" s="7">
        <v>0</v>
      </c>
      <c r="E1804" s="7">
        <v>0</v>
      </c>
      <c r="F1804" s="8" t="s">
        <v>35</v>
      </c>
      <c r="G1804" s="8" t="s">
        <v>35</v>
      </c>
      <c r="H1804" t="str">
        <f t="shared" si="28"/>
        <v>YES</v>
      </c>
    </row>
    <row r="1805" spans="1:8" x14ac:dyDescent="0.2">
      <c r="A1805" s="6" t="s">
        <v>1819</v>
      </c>
      <c r="B1805" s="7">
        <v>50</v>
      </c>
      <c r="C1805" s="7">
        <v>0</v>
      </c>
      <c r="D1805" s="7">
        <v>0</v>
      </c>
      <c r="E1805" s="7">
        <v>0</v>
      </c>
      <c r="F1805" s="8" t="s">
        <v>35</v>
      </c>
      <c r="G1805" s="8" t="s">
        <v>35</v>
      </c>
      <c r="H1805" t="str">
        <f t="shared" si="28"/>
        <v>YES</v>
      </c>
    </row>
    <row r="1806" spans="1:8" x14ac:dyDescent="0.2">
      <c r="A1806" s="6" t="s">
        <v>1820</v>
      </c>
      <c r="B1806" s="7">
        <v>50</v>
      </c>
      <c r="C1806" s="7">
        <v>0</v>
      </c>
      <c r="D1806" s="7">
        <v>0</v>
      </c>
      <c r="E1806" s="7">
        <v>0</v>
      </c>
      <c r="F1806" s="8" t="s">
        <v>35</v>
      </c>
      <c r="G1806" s="8" t="s">
        <v>35</v>
      </c>
      <c r="H1806" t="str">
        <f t="shared" si="28"/>
        <v>YES</v>
      </c>
    </row>
    <row r="1807" spans="1:8" x14ac:dyDescent="0.2">
      <c r="A1807" s="6" t="s">
        <v>1821</v>
      </c>
      <c r="B1807" s="7">
        <v>50</v>
      </c>
      <c r="C1807" s="7">
        <v>0</v>
      </c>
      <c r="D1807" s="7">
        <v>0</v>
      </c>
      <c r="E1807" s="7">
        <v>0</v>
      </c>
      <c r="F1807" s="8" t="s">
        <v>35</v>
      </c>
      <c r="G1807" s="8" t="s">
        <v>35</v>
      </c>
      <c r="H1807" t="str">
        <f t="shared" si="28"/>
        <v>YES</v>
      </c>
    </row>
    <row r="1808" spans="1:8" x14ac:dyDescent="0.2">
      <c r="A1808" s="6" t="s">
        <v>1822</v>
      </c>
      <c r="B1808" s="7">
        <v>51</v>
      </c>
      <c r="C1808" s="7">
        <v>0</v>
      </c>
      <c r="D1808" s="7">
        <v>0</v>
      </c>
      <c r="E1808" s="7">
        <v>0</v>
      </c>
      <c r="F1808" s="8" t="s">
        <v>35</v>
      </c>
      <c r="G1808" s="8" t="s">
        <v>35</v>
      </c>
      <c r="H1808" t="str">
        <f t="shared" si="28"/>
        <v>YES</v>
      </c>
    </row>
    <row r="1809" spans="1:8" x14ac:dyDescent="0.2">
      <c r="A1809" s="6" t="s">
        <v>1823</v>
      </c>
      <c r="B1809" s="7">
        <v>51</v>
      </c>
      <c r="C1809" s="7">
        <v>0</v>
      </c>
      <c r="D1809" s="7">
        <v>0</v>
      </c>
      <c r="E1809" s="7">
        <v>0</v>
      </c>
      <c r="F1809" s="8" t="s">
        <v>35</v>
      </c>
      <c r="G1809" s="8" t="s">
        <v>35</v>
      </c>
      <c r="H1809" t="str">
        <f t="shared" si="28"/>
        <v>YES</v>
      </c>
    </row>
    <row r="1810" spans="1:8" x14ac:dyDescent="0.2">
      <c r="A1810" s="6" t="s">
        <v>1824</v>
      </c>
      <c r="B1810" s="7">
        <v>51</v>
      </c>
      <c r="C1810" s="7">
        <v>0</v>
      </c>
      <c r="D1810" s="7">
        <v>0</v>
      </c>
      <c r="E1810" s="7">
        <v>0</v>
      </c>
      <c r="F1810" s="8" t="s">
        <v>35</v>
      </c>
      <c r="G1810" s="8" t="s">
        <v>35</v>
      </c>
      <c r="H1810" t="str">
        <f t="shared" si="28"/>
        <v>YES</v>
      </c>
    </row>
    <row r="1811" spans="1:8" x14ac:dyDescent="0.2">
      <c r="A1811" s="6" t="s">
        <v>1825</v>
      </c>
      <c r="B1811" s="7">
        <v>51</v>
      </c>
      <c r="C1811" s="7">
        <v>0</v>
      </c>
      <c r="D1811" s="7">
        <v>0</v>
      </c>
      <c r="E1811" s="7">
        <v>0</v>
      </c>
      <c r="F1811" s="8" t="s">
        <v>35</v>
      </c>
      <c r="G1811" s="8" t="s">
        <v>35</v>
      </c>
      <c r="H1811" t="str">
        <f t="shared" si="28"/>
        <v>YES</v>
      </c>
    </row>
    <row r="1812" spans="1:8" x14ac:dyDescent="0.2">
      <c r="A1812" s="6" t="s">
        <v>1826</v>
      </c>
      <c r="B1812" s="7">
        <v>52</v>
      </c>
      <c r="C1812" s="7">
        <v>0</v>
      </c>
      <c r="D1812" s="7">
        <v>0</v>
      </c>
      <c r="E1812" s="7">
        <v>0</v>
      </c>
      <c r="F1812" s="8" t="s">
        <v>35</v>
      </c>
      <c r="G1812" s="8" t="s">
        <v>35</v>
      </c>
      <c r="H1812" t="str">
        <f t="shared" si="28"/>
        <v>YES</v>
      </c>
    </row>
    <row r="1813" spans="1:8" x14ac:dyDescent="0.2">
      <c r="A1813" s="6" t="s">
        <v>1827</v>
      </c>
      <c r="B1813" s="7">
        <v>52</v>
      </c>
      <c r="C1813" s="7">
        <v>0</v>
      </c>
      <c r="D1813" s="7">
        <v>0</v>
      </c>
      <c r="E1813" s="7">
        <v>0</v>
      </c>
      <c r="F1813" s="8" t="s">
        <v>35</v>
      </c>
      <c r="G1813" s="8" t="s">
        <v>35</v>
      </c>
      <c r="H1813" t="str">
        <f t="shared" si="28"/>
        <v>YES</v>
      </c>
    </row>
    <row r="1814" spans="1:8" x14ac:dyDescent="0.2">
      <c r="A1814" s="6" t="s">
        <v>1828</v>
      </c>
      <c r="B1814" s="7">
        <v>52</v>
      </c>
      <c r="C1814" s="7">
        <v>0</v>
      </c>
      <c r="D1814" s="7">
        <v>0</v>
      </c>
      <c r="E1814" s="7">
        <v>0</v>
      </c>
      <c r="F1814" s="8" t="s">
        <v>35</v>
      </c>
      <c r="G1814" s="8" t="s">
        <v>35</v>
      </c>
      <c r="H1814" t="str">
        <f t="shared" si="28"/>
        <v>YES</v>
      </c>
    </row>
    <row r="1815" spans="1:8" x14ac:dyDescent="0.2">
      <c r="A1815" s="6" t="s">
        <v>1829</v>
      </c>
      <c r="B1815" s="7">
        <v>52</v>
      </c>
      <c r="C1815" s="7">
        <v>0</v>
      </c>
      <c r="D1815" s="7">
        <v>0</v>
      </c>
      <c r="E1815" s="7">
        <v>0</v>
      </c>
      <c r="F1815" s="8" t="s">
        <v>35</v>
      </c>
      <c r="G1815" s="8" t="s">
        <v>35</v>
      </c>
      <c r="H1815" t="str">
        <f t="shared" si="28"/>
        <v>YES</v>
      </c>
    </row>
    <row r="1816" spans="1:8" x14ac:dyDescent="0.2">
      <c r="A1816" s="6" t="s">
        <v>1830</v>
      </c>
      <c r="B1816" s="7">
        <v>52</v>
      </c>
      <c r="C1816" s="7">
        <v>0</v>
      </c>
      <c r="D1816" s="7">
        <v>0</v>
      </c>
      <c r="E1816" s="7">
        <v>0</v>
      </c>
      <c r="F1816" s="8" t="s">
        <v>35</v>
      </c>
      <c r="G1816" s="8" t="s">
        <v>35</v>
      </c>
      <c r="H1816" t="str">
        <f t="shared" si="28"/>
        <v>YES</v>
      </c>
    </row>
    <row r="1817" spans="1:8" x14ac:dyDescent="0.2">
      <c r="A1817" s="6" t="s">
        <v>1831</v>
      </c>
      <c r="B1817" s="7">
        <v>52</v>
      </c>
      <c r="C1817" s="7">
        <v>0</v>
      </c>
      <c r="D1817" s="7">
        <v>0</v>
      </c>
      <c r="E1817" s="7">
        <v>0</v>
      </c>
      <c r="F1817" s="8" t="s">
        <v>35</v>
      </c>
      <c r="G1817" s="8" t="s">
        <v>35</v>
      </c>
      <c r="H1817" t="str">
        <f t="shared" si="28"/>
        <v>YES</v>
      </c>
    </row>
    <row r="1818" spans="1:8" x14ac:dyDescent="0.2">
      <c r="A1818" s="6" t="s">
        <v>1832</v>
      </c>
      <c r="B1818" s="7">
        <v>53</v>
      </c>
      <c r="C1818" s="7">
        <v>0</v>
      </c>
      <c r="D1818" s="7">
        <v>0</v>
      </c>
      <c r="E1818" s="7">
        <v>0</v>
      </c>
      <c r="F1818" s="8" t="s">
        <v>35</v>
      </c>
      <c r="G1818" s="8" t="s">
        <v>35</v>
      </c>
      <c r="H1818" t="str">
        <f t="shared" si="28"/>
        <v>YES</v>
      </c>
    </row>
    <row r="1819" spans="1:8" x14ac:dyDescent="0.2">
      <c r="A1819" s="6" t="s">
        <v>1833</v>
      </c>
      <c r="B1819" s="7">
        <v>55</v>
      </c>
      <c r="C1819" s="7">
        <v>0</v>
      </c>
      <c r="D1819" s="7">
        <v>0</v>
      </c>
      <c r="E1819" s="7">
        <v>0</v>
      </c>
      <c r="F1819" s="8" t="s">
        <v>35</v>
      </c>
      <c r="G1819" s="8" t="s">
        <v>35</v>
      </c>
      <c r="H1819" t="str">
        <f t="shared" si="28"/>
        <v>YES</v>
      </c>
    </row>
    <row r="1820" spans="1:8" x14ac:dyDescent="0.2">
      <c r="A1820" s="6" t="s">
        <v>1834</v>
      </c>
      <c r="B1820" s="7">
        <v>55</v>
      </c>
      <c r="C1820" s="7">
        <v>0</v>
      </c>
      <c r="D1820" s="7">
        <v>0</v>
      </c>
      <c r="E1820" s="7">
        <v>0</v>
      </c>
      <c r="F1820" s="8" t="s">
        <v>35</v>
      </c>
      <c r="G1820" s="8" t="s">
        <v>35</v>
      </c>
      <c r="H1820" t="str">
        <f t="shared" si="28"/>
        <v>YES</v>
      </c>
    </row>
    <row r="1821" spans="1:8" x14ac:dyDescent="0.2">
      <c r="A1821" s="6" t="s">
        <v>1835</v>
      </c>
      <c r="B1821" s="7">
        <v>55</v>
      </c>
      <c r="C1821" s="7">
        <v>0</v>
      </c>
      <c r="D1821" s="7">
        <v>0</v>
      </c>
      <c r="E1821" s="7">
        <v>0</v>
      </c>
      <c r="F1821" s="8" t="s">
        <v>35</v>
      </c>
      <c r="G1821" s="8" t="s">
        <v>35</v>
      </c>
      <c r="H1821" t="str">
        <f t="shared" si="28"/>
        <v>YES</v>
      </c>
    </row>
    <row r="1822" spans="1:8" x14ac:dyDescent="0.2">
      <c r="A1822" s="6" t="s">
        <v>1836</v>
      </c>
      <c r="B1822" s="7">
        <v>55</v>
      </c>
      <c r="C1822" s="7">
        <v>0</v>
      </c>
      <c r="D1822" s="7">
        <v>0</v>
      </c>
      <c r="E1822" s="7">
        <v>0</v>
      </c>
      <c r="F1822" s="8" t="s">
        <v>35</v>
      </c>
      <c r="G1822" s="8" t="s">
        <v>35</v>
      </c>
      <c r="H1822" t="str">
        <f t="shared" si="28"/>
        <v>YES</v>
      </c>
    </row>
    <row r="1823" spans="1:8" x14ac:dyDescent="0.2">
      <c r="A1823" s="6" t="s">
        <v>1837</v>
      </c>
      <c r="B1823" s="7">
        <v>55</v>
      </c>
      <c r="C1823" s="7">
        <v>0</v>
      </c>
      <c r="D1823" s="7">
        <v>0</v>
      </c>
      <c r="E1823" s="7">
        <v>0</v>
      </c>
      <c r="F1823" s="8" t="s">
        <v>35</v>
      </c>
      <c r="G1823" s="8" t="s">
        <v>35</v>
      </c>
      <c r="H1823" t="str">
        <f t="shared" si="28"/>
        <v>YES</v>
      </c>
    </row>
    <row r="1824" spans="1:8" x14ac:dyDescent="0.2">
      <c r="A1824" s="6" t="s">
        <v>1838</v>
      </c>
      <c r="B1824" s="7">
        <v>56</v>
      </c>
      <c r="C1824" s="7">
        <v>0</v>
      </c>
      <c r="D1824" s="7">
        <v>0</v>
      </c>
      <c r="E1824" s="7">
        <v>0</v>
      </c>
      <c r="F1824" s="8" t="s">
        <v>35</v>
      </c>
      <c r="G1824" s="8" t="s">
        <v>35</v>
      </c>
      <c r="H1824" t="str">
        <f t="shared" si="28"/>
        <v>YES</v>
      </c>
    </row>
    <row r="1825" spans="1:8" x14ac:dyDescent="0.2">
      <c r="A1825" s="6" t="s">
        <v>1839</v>
      </c>
      <c r="B1825" s="7">
        <v>56</v>
      </c>
      <c r="C1825" s="7">
        <v>0</v>
      </c>
      <c r="D1825" s="7">
        <v>0</v>
      </c>
      <c r="E1825" s="7">
        <v>0</v>
      </c>
      <c r="F1825" s="8" t="s">
        <v>35</v>
      </c>
      <c r="G1825" s="8" t="s">
        <v>35</v>
      </c>
      <c r="H1825" t="str">
        <f t="shared" si="28"/>
        <v>YES</v>
      </c>
    </row>
    <row r="1826" spans="1:8" x14ac:dyDescent="0.2">
      <c r="A1826" s="6" t="s">
        <v>1840</v>
      </c>
      <c r="B1826" s="7">
        <v>56</v>
      </c>
      <c r="C1826" s="7">
        <v>0</v>
      </c>
      <c r="D1826" s="7">
        <v>0</v>
      </c>
      <c r="E1826" s="7">
        <v>0</v>
      </c>
      <c r="F1826" s="8" t="s">
        <v>35</v>
      </c>
      <c r="G1826" s="8" t="s">
        <v>35</v>
      </c>
      <c r="H1826" t="str">
        <f t="shared" si="28"/>
        <v>YES</v>
      </c>
    </row>
    <row r="1827" spans="1:8" x14ac:dyDescent="0.2">
      <c r="A1827" s="6" t="s">
        <v>1841</v>
      </c>
      <c r="B1827" s="7">
        <v>56</v>
      </c>
      <c r="C1827" s="7">
        <v>0</v>
      </c>
      <c r="D1827" s="7">
        <v>0</v>
      </c>
      <c r="E1827" s="7">
        <v>0</v>
      </c>
      <c r="F1827" s="8" t="s">
        <v>35</v>
      </c>
      <c r="G1827" s="8" t="s">
        <v>35</v>
      </c>
      <c r="H1827" t="str">
        <f t="shared" si="28"/>
        <v>YES</v>
      </c>
    </row>
    <row r="1828" spans="1:8" x14ac:dyDescent="0.2">
      <c r="A1828" s="6" t="s">
        <v>1842</v>
      </c>
      <c r="B1828" s="7">
        <v>57</v>
      </c>
      <c r="C1828" s="7">
        <v>0</v>
      </c>
      <c r="D1828" s="7">
        <v>0</v>
      </c>
      <c r="E1828" s="7">
        <v>0</v>
      </c>
      <c r="F1828" s="8" t="s">
        <v>35</v>
      </c>
      <c r="G1828" s="8" t="s">
        <v>35</v>
      </c>
      <c r="H1828" t="str">
        <f t="shared" si="28"/>
        <v>YES</v>
      </c>
    </row>
    <row r="1829" spans="1:8" x14ac:dyDescent="0.2">
      <c r="A1829" s="6" t="s">
        <v>1843</v>
      </c>
      <c r="B1829" s="7">
        <v>57</v>
      </c>
      <c r="C1829" s="7">
        <v>0</v>
      </c>
      <c r="D1829" s="7">
        <v>0</v>
      </c>
      <c r="E1829" s="7">
        <v>0</v>
      </c>
      <c r="F1829" s="8" t="s">
        <v>35</v>
      </c>
      <c r="G1829" s="8" t="s">
        <v>35</v>
      </c>
      <c r="H1829" t="str">
        <f t="shared" si="28"/>
        <v>YES</v>
      </c>
    </row>
    <row r="1830" spans="1:8" x14ac:dyDescent="0.2">
      <c r="A1830" s="6" t="s">
        <v>1844</v>
      </c>
      <c r="B1830" s="7">
        <v>58</v>
      </c>
      <c r="C1830" s="7">
        <v>0</v>
      </c>
      <c r="D1830" s="7">
        <v>0</v>
      </c>
      <c r="E1830" s="7">
        <v>0</v>
      </c>
      <c r="F1830" s="8" t="s">
        <v>35</v>
      </c>
      <c r="G1830" s="8" t="s">
        <v>35</v>
      </c>
      <c r="H1830" t="str">
        <f t="shared" si="28"/>
        <v>YES</v>
      </c>
    </row>
    <row r="1831" spans="1:8" x14ac:dyDescent="0.2">
      <c r="A1831" s="6" t="s">
        <v>1845</v>
      </c>
      <c r="B1831" s="7">
        <v>58</v>
      </c>
      <c r="C1831" s="7">
        <v>0</v>
      </c>
      <c r="D1831" s="7">
        <v>0</v>
      </c>
      <c r="E1831" s="7">
        <v>0</v>
      </c>
      <c r="F1831" s="8" t="s">
        <v>35</v>
      </c>
      <c r="G1831" s="8" t="s">
        <v>35</v>
      </c>
      <c r="H1831" t="str">
        <f t="shared" si="28"/>
        <v>YES</v>
      </c>
    </row>
    <row r="1832" spans="1:8" x14ac:dyDescent="0.2">
      <c r="A1832" s="6" t="s">
        <v>1846</v>
      </c>
      <c r="B1832" s="7">
        <v>58</v>
      </c>
      <c r="C1832" s="7">
        <v>0</v>
      </c>
      <c r="D1832" s="7">
        <v>0</v>
      </c>
      <c r="E1832" s="7">
        <v>0</v>
      </c>
      <c r="F1832" s="8" t="s">
        <v>35</v>
      </c>
      <c r="G1832" s="8" t="s">
        <v>35</v>
      </c>
      <c r="H1832" t="str">
        <f t="shared" si="28"/>
        <v>YES</v>
      </c>
    </row>
    <row r="1833" spans="1:8" x14ac:dyDescent="0.2">
      <c r="A1833" s="6" t="s">
        <v>1847</v>
      </c>
      <c r="B1833" s="7">
        <v>59</v>
      </c>
      <c r="C1833" s="7">
        <v>0</v>
      </c>
      <c r="D1833" s="7">
        <v>0</v>
      </c>
      <c r="E1833" s="7">
        <v>0</v>
      </c>
      <c r="F1833" s="8" t="s">
        <v>35</v>
      </c>
      <c r="G1833" s="8" t="s">
        <v>35</v>
      </c>
      <c r="H1833" t="str">
        <f t="shared" si="28"/>
        <v>YES</v>
      </c>
    </row>
    <row r="1834" spans="1:8" x14ac:dyDescent="0.2">
      <c r="A1834" s="6" t="s">
        <v>1848</v>
      </c>
      <c r="B1834" s="7">
        <v>59</v>
      </c>
      <c r="C1834" s="7">
        <v>0</v>
      </c>
      <c r="D1834" s="7">
        <v>0</v>
      </c>
      <c r="E1834" s="7">
        <v>0</v>
      </c>
      <c r="F1834" s="8" t="s">
        <v>35</v>
      </c>
      <c r="G1834" s="8" t="s">
        <v>35</v>
      </c>
      <c r="H1834" t="str">
        <f t="shared" si="28"/>
        <v>YES</v>
      </c>
    </row>
    <row r="1835" spans="1:8" x14ac:dyDescent="0.2">
      <c r="A1835" s="6" t="s">
        <v>1849</v>
      </c>
      <c r="B1835" s="7">
        <v>59</v>
      </c>
      <c r="C1835" s="7">
        <v>0</v>
      </c>
      <c r="D1835" s="7">
        <v>0</v>
      </c>
      <c r="E1835" s="7">
        <v>0</v>
      </c>
      <c r="F1835" s="8" t="s">
        <v>35</v>
      </c>
      <c r="G1835" s="8" t="s">
        <v>35</v>
      </c>
      <c r="H1835" t="str">
        <f t="shared" si="28"/>
        <v>YES</v>
      </c>
    </row>
    <row r="1836" spans="1:8" x14ac:dyDescent="0.2">
      <c r="A1836" s="6" t="s">
        <v>1850</v>
      </c>
      <c r="B1836" s="7">
        <v>59</v>
      </c>
      <c r="C1836" s="7">
        <v>0</v>
      </c>
      <c r="D1836" s="7">
        <v>0</v>
      </c>
      <c r="E1836" s="7">
        <v>0</v>
      </c>
      <c r="F1836" s="8" t="s">
        <v>35</v>
      </c>
      <c r="G1836" s="8" t="s">
        <v>35</v>
      </c>
      <c r="H1836" t="str">
        <f t="shared" si="28"/>
        <v>YES</v>
      </c>
    </row>
    <row r="1837" spans="1:8" x14ac:dyDescent="0.2">
      <c r="A1837" s="6" t="s">
        <v>1851</v>
      </c>
      <c r="B1837" s="7">
        <v>59</v>
      </c>
      <c r="C1837" s="7">
        <v>0</v>
      </c>
      <c r="D1837" s="7">
        <v>0</v>
      </c>
      <c r="E1837" s="7">
        <v>0</v>
      </c>
      <c r="F1837" s="8" t="s">
        <v>35</v>
      </c>
      <c r="G1837" s="8" t="s">
        <v>35</v>
      </c>
      <c r="H1837" t="str">
        <f t="shared" si="28"/>
        <v>YES</v>
      </c>
    </row>
    <row r="1838" spans="1:8" x14ac:dyDescent="0.2">
      <c r="A1838" s="6" t="s">
        <v>1852</v>
      </c>
      <c r="B1838" s="7">
        <v>59</v>
      </c>
      <c r="C1838" s="7">
        <v>0</v>
      </c>
      <c r="D1838" s="7">
        <v>0</v>
      </c>
      <c r="E1838" s="7">
        <v>0</v>
      </c>
      <c r="F1838" s="8" t="s">
        <v>35</v>
      </c>
      <c r="G1838" s="8" t="s">
        <v>35</v>
      </c>
      <c r="H1838" t="str">
        <f t="shared" si="28"/>
        <v>YES</v>
      </c>
    </row>
    <row r="1839" spans="1:8" x14ac:dyDescent="0.2">
      <c r="A1839" s="6" t="s">
        <v>1853</v>
      </c>
      <c r="B1839" s="7">
        <v>60</v>
      </c>
      <c r="C1839" s="7">
        <v>0</v>
      </c>
      <c r="D1839" s="7">
        <v>0</v>
      </c>
      <c r="E1839" s="7">
        <v>0</v>
      </c>
      <c r="F1839" s="8" t="s">
        <v>35</v>
      </c>
      <c r="G1839" s="8" t="s">
        <v>35</v>
      </c>
      <c r="H1839" t="str">
        <f t="shared" si="28"/>
        <v>YES</v>
      </c>
    </row>
    <row r="1840" spans="1:8" x14ac:dyDescent="0.2">
      <c r="A1840" s="6" t="s">
        <v>1854</v>
      </c>
      <c r="B1840" s="7">
        <v>60</v>
      </c>
      <c r="C1840" s="7">
        <v>0</v>
      </c>
      <c r="D1840" s="7">
        <v>0</v>
      </c>
      <c r="E1840" s="7">
        <v>0</v>
      </c>
      <c r="F1840" s="8" t="s">
        <v>35</v>
      </c>
      <c r="G1840" s="8" t="s">
        <v>35</v>
      </c>
      <c r="H1840" t="str">
        <f t="shared" si="28"/>
        <v>YES</v>
      </c>
    </row>
    <row r="1841" spans="1:8" x14ac:dyDescent="0.2">
      <c r="A1841" s="6" t="s">
        <v>1855</v>
      </c>
      <c r="B1841" s="7">
        <v>61</v>
      </c>
      <c r="C1841" s="7">
        <v>0</v>
      </c>
      <c r="D1841" s="7">
        <v>0</v>
      </c>
      <c r="E1841" s="7">
        <v>0</v>
      </c>
      <c r="F1841" s="8" t="s">
        <v>35</v>
      </c>
      <c r="G1841" s="8" t="s">
        <v>35</v>
      </c>
      <c r="H1841" t="str">
        <f t="shared" si="28"/>
        <v>YES</v>
      </c>
    </row>
    <row r="1842" spans="1:8" x14ac:dyDescent="0.2">
      <c r="A1842" s="6" t="s">
        <v>1856</v>
      </c>
      <c r="B1842" s="7">
        <v>61</v>
      </c>
      <c r="C1842" s="7">
        <v>0</v>
      </c>
      <c r="D1842" s="7">
        <v>0</v>
      </c>
      <c r="E1842" s="7">
        <v>0</v>
      </c>
      <c r="F1842" s="8" t="s">
        <v>35</v>
      </c>
      <c r="G1842" s="8" t="s">
        <v>35</v>
      </c>
      <c r="H1842" t="str">
        <f t="shared" si="28"/>
        <v>YES</v>
      </c>
    </row>
    <row r="1843" spans="1:8" x14ac:dyDescent="0.2">
      <c r="A1843" s="6" t="s">
        <v>1857</v>
      </c>
      <c r="B1843" s="7">
        <v>62</v>
      </c>
      <c r="C1843" s="7">
        <v>0</v>
      </c>
      <c r="D1843" s="7">
        <v>0</v>
      </c>
      <c r="E1843" s="7">
        <v>0</v>
      </c>
      <c r="F1843" s="8" t="s">
        <v>35</v>
      </c>
      <c r="G1843" s="8" t="s">
        <v>35</v>
      </c>
      <c r="H1843" t="str">
        <f t="shared" si="28"/>
        <v>YES</v>
      </c>
    </row>
    <row r="1844" spans="1:8" x14ac:dyDescent="0.2">
      <c r="A1844" s="6" t="s">
        <v>1858</v>
      </c>
      <c r="B1844" s="7">
        <v>62</v>
      </c>
      <c r="C1844" s="7">
        <v>0</v>
      </c>
      <c r="D1844" s="7">
        <v>0</v>
      </c>
      <c r="E1844" s="7">
        <v>0</v>
      </c>
      <c r="F1844" s="8" t="s">
        <v>35</v>
      </c>
      <c r="G1844" s="8" t="s">
        <v>35</v>
      </c>
      <c r="H1844" t="str">
        <f t="shared" si="28"/>
        <v>YES</v>
      </c>
    </row>
    <row r="1845" spans="1:8" x14ac:dyDescent="0.2">
      <c r="A1845" s="6" t="s">
        <v>1859</v>
      </c>
      <c r="B1845" s="7">
        <v>62</v>
      </c>
      <c r="C1845" s="7">
        <v>0</v>
      </c>
      <c r="D1845" s="7">
        <v>0</v>
      </c>
      <c r="E1845" s="7">
        <v>0</v>
      </c>
      <c r="F1845" s="8" t="s">
        <v>35</v>
      </c>
      <c r="G1845" s="8" t="s">
        <v>35</v>
      </c>
      <c r="H1845" t="str">
        <f t="shared" si="28"/>
        <v>YES</v>
      </c>
    </row>
    <row r="1846" spans="1:8" x14ac:dyDescent="0.2">
      <c r="A1846" s="6" t="s">
        <v>1860</v>
      </c>
      <c r="B1846" s="7">
        <v>63</v>
      </c>
      <c r="C1846" s="7">
        <v>0</v>
      </c>
      <c r="D1846" s="7">
        <v>0</v>
      </c>
      <c r="E1846" s="7">
        <v>0</v>
      </c>
      <c r="F1846" s="8" t="s">
        <v>35</v>
      </c>
      <c r="G1846" s="8" t="s">
        <v>35</v>
      </c>
      <c r="H1846" t="str">
        <f t="shared" si="28"/>
        <v>YES</v>
      </c>
    </row>
    <row r="1847" spans="1:8" x14ac:dyDescent="0.2">
      <c r="A1847" s="6" t="s">
        <v>1861</v>
      </c>
      <c r="B1847" s="7">
        <v>64</v>
      </c>
      <c r="C1847" s="7">
        <v>0</v>
      </c>
      <c r="D1847" s="7">
        <v>0</v>
      </c>
      <c r="E1847" s="7">
        <v>0</v>
      </c>
      <c r="F1847" s="8" t="s">
        <v>35</v>
      </c>
      <c r="G1847" s="8" t="s">
        <v>35</v>
      </c>
      <c r="H1847" t="str">
        <f t="shared" si="28"/>
        <v>YES</v>
      </c>
    </row>
    <row r="1848" spans="1:8" x14ac:dyDescent="0.2">
      <c r="A1848" s="6" t="s">
        <v>1862</v>
      </c>
      <c r="B1848" s="7">
        <v>64</v>
      </c>
      <c r="C1848" s="7">
        <v>0</v>
      </c>
      <c r="D1848" s="7">
        <v>0</v>
      </c>
      <c r="E1848" s="7">
        <v>0</v>
      </c>
      <c r="F1848" s="8" t="s">
        <v>35</v>
      </c>
      <c r="G1848" s="8" t="s">
        <v>35</v>
      </c>
      <c r="H1848" t="str">
        <f t="shared" si="28"/>
        <v>YES</v>
      </c>
    </row>
    <row r="1849" spans="1:8" x14ac:dyDescent="0.2">
      <c r="A1849" s="6" t="s">
        <v>1863</v>
      </c>
      <c r="B1849" s="7">
        <v>64</v>
      </c>
      <c r="C1849" s="7">
        <v>0</v>
      </c>
      <c r="D1849" s="7">
        <v>0</v>
      </c>
      <c r="E1849" s="7">
        <v>0</v>
      </c>
      <c r="F1849" s="8" t="s">
        <v>35</v>
      </c>
      <c r="G1849" s="8" t="s">
        <v>35</v>
      </c>
      <c r="H1849" t="str">
        <f t="shared" si="28"/>
        <v>YES</v>
      </c>
    </row>
    <row r="1850" spans="1:8" x14ac:dyDescent="0.2">
      <c r="A1850" s="6" t="s">
        <v>1864</v>
      </c>
      <c r="B1850" s="7">
        <v>65</v>
      </c>
      <c r="C1850" s="7">
        <v>0</v>
      </c>
      <c r="D1850" s="7">
        <v>0</v>
      </c>
      <c r="E1850" s="7">
        <v>0</v>
      </c>
      <c r="F1850" s="8" t="s">
        <v>35</v>
      </c>
      <c r="G1850" s="8" t="s">
        <v>35</v>
      </c>
      <c r="H1850" t="str">
        <f t="shared" si="28"/>
        <v>YES</v>
      </c>
    </row>
    <row r="1851" spans="1:8" x14ac:dyDescent="0.2">
      <c r="A1851" s="6" t="s">
        <v>1865</v>
      </c>
      <c r="B1851" s="7">
        <v>65</v>
      </c>
      <c r="C1851" s="7">
        <v>0</v>
      </c>
      <c r="D1851" s="7">
        <v>0</v>
      </c>
      <c r="E1851" s="7">
        <v>0</v>
      </c>
      <c r="F1851" s="8" t="s">
        <v>35</v>
      </c>
      <c r="G1851" s="8" t="s">
        <v>35</v>
      </c>
      <c r="H1851" t="str">
        <f t="shared" si="28"/>
        <v>YES</v>
      </c>
    </row>
    <row r="1852" spans="1:8" x14ac:dyDescent="0.2">
      <c r="A1852" s="6" t="s">
        <v>1866</v>
      </c>
      <c r="B1852" s="7">
        <v>65</v>
      </c>
      <c r="C1852" s="7">
        <v>0</v>
      </c>
      <c r="D1852" s="7">
        <v>0</v>
      </c>
      <c r="E1852" s="7">
        <v>0</v>
      </c>
      <c r="F1852" s="8" t="s">
        <v>35</v>
      </c>
      <c r="G1852" s="8" t="s">
        <v>35</v>
      </c>
      <c r="H1852" t="str">
        <f t="shared" si="28"/>
        <v>YES</v>
      </c>
    </row>
    <row r="1853" spans="1:8" x14ac:dyDescent="0.2">
      <c r="A1853" s="6" t="s">
        <v>1867</v>
      </c>
      <c r="B1853" s="7">
        <v>65</v>
      </c>
      <c r="C1853" s="7">
        <v>0</v>
      </c>
      <c r="D1853" s="7">
        <v>0</v>
      </c>
      <c r="E1853" s="7">
        <v>0</v>
      </c>
      <c r="F1853" s="8" t="s">
        <v>35</v>
      </c>
      <c r="G1853" s="8" t="s">
        <v>35</v>
      </c>
      <c r="H1853" t="str">
        <f t="shared" si="28"/>
        <v>YES</v>
      </c>
    </row>
    <row r="1854" spans="1:8" x14ac:dyDescent="0.2">
      <c r="A1854" s="6" t="s">
        <v>1868</v>
      </c>
      <c r="B1854" s="7">
        <v>65</v>
      </c>
      <c r="C1854" s="7">
        <v>0</v>
      </c>
      <c r="D1854" s="7">
        <v>0</v>
      </c>
      <c r="E1854" s="7">
        <v>0</v>
      </c>
      <c r="F1854" s="8" t="s">
        <v>35</v>
      </c>
      <c r="G1854" s="8" t="s">
        <v>35</v>
      </c>
      <c r="H1854" t="str">
        <f t="shared" si="28"/>
        <v>YES</v>
      </c>
    </row>
    <row r="1855" spans="1:8" x14ac:dyDescent="0.2">
      <c r="A1855" s="6" t="s">
        <v>1869</v>
      </c>
      <c r="B1855" s="7">
        <v>65</v>
      </c>
      <c r="C1855" s="7">
        <v>0</v>
      </c>
      <c r="D1855" s="7">
        <v>0</v>
      </c>
      <c r="E1855" s="7">
        <v>0</v>
      </c>
      <c r="F1855" s="8" t="s">
        <v>35</v>
      </c>
      <c r="G1855" s="8" t="s">
        <v>35</v>
      </c>
      <c r="H1855" t="str">
        <f t="shared" si="28"/>
        <v>YES</v>
      </c>
    </row>
    <row r="1856" spans="1:8" x14ac:dyDescent="0.2">
      <c r="A1856" s="6" t="s">
        <v>1870</v>
      </c>
      <c r="B1856" s="7">
        <v>66</v>
      </c>
      <c r="C1856" s="7">
        <v>0</v>
      </c>
      <c r="D1856" s="7">
        <v>0</v>
      </c>
      <c r="E1856" s="7">
        <v>0</v>
      </c>
      <c r="F1856" s="8" t="s">
        <v>35</v>
      </c>
      <c r="G1856" s="8" t="s">
        <v>35</v>
      </c>
      <c r="H1856" t="str">
        <f t="shared" si="28"/>
        <v>YES</v>
      </c>
    </row>
    <row r="1857" spans="1:8" x14ac:dyDescent="0.2">
      <c r="A1857" s="6" t="s">
        <v>1871</v>
      </c>
      <c r="B1857" s="7">
        <v>66</v>
      </c>
      <c r="C1857" s="7">
        <v>0</v>
      </c>
      <c r="D1857" s="7">
        <v>0</v>
      </c>
      <c r="E1857" s="7">
        <v>0</v>
      </c>
      <c r="F1857" s="8" t="s">
        <v>35</v>
      </c>
      <c r="G1857" s="8" t="s">
        <v>35</v>
      </c>
      <c r="H1857" t="str">
        <f t="shared" si="28"/>
        <v>YES</v>
      </c>
    </row>
    <row r="1858" spans="1:8" x14ac:dyDescent="0.2">
      <c r="A1858" s="6" t="s">
        <v>1872</v>
      </c>
      <c r="B1858" s="7">
        <v>67</v>
      </c>
      <c r="C1858" s="7">
        <v>0</v>
      </c>
      <c r="D1858" s="7">
        <v>0</v>
      </c>
      <c r="E1858" s="7">
        <v>0</v>
      </c>
      <c r="F1858" s="8" t="s">
        <v>35</v>
      </c>
      <c r="G1858" s="8" t="s">
        <v>94</v>
      </c>
      <c r="H1858" t="str">
        <f t="shared" si="28"/>
        <v>NO</v>
      </c>
    </row>
    <row r="1859" spans="1:8" x14ac:dyDescent="0.2">
      <c r="A1859" s="6" t="s">
        <v>1873</v>
      </c>
      <c r="B1859" s="7">
        <v>67</v>
      </c>
      <c r="C1859" s="7">
        <v>0</v>
      </c>
      <c r="D1859" s="7">
        <v>0</v>
      </c>
      <c r="E1859" s="7">
        <v>0</v>
      </c>
      <c r="F1859" s="8" t="s">
        <v>35</v>
      </c>
      <c r="G1859" s="8" t="s">
        <v>35</v>
      </c>
      <c r="H1859" t="str">
        <f t="shared" si="28"/>
        <v>YES</v>
      </c>
    </row>
    <row r="1860" spans="1:8" x14ac:dyDescent="0.2">
      <c r="A1860" s="6" t="s">
        <v>1874</v>
      </c>
      <c r="B1860" s="7">
        <v>67</v>
      </c>
      <c r="C1860" s="7">
        <v>0</v>
      </c>
      <c r="D1860" s="7">
        <v>0</v>
      </c>
      <c r="E1860" s="7">
        <v>0</v>
      </c>
      <c r="F1860" s="8" t="s">
        <v>35</v>
      </c>
      <c r="G1860" s="8" t="s">
        <v>35</v>
      </c>
      <c r="H1860" t="str">
        <f t="shared" si="28"/>
        <v>YES</v>
      </c>
    </row>
    <row r="1861" spans="1:8" x14ac:dyDescent="0.2">
      <c r="A1861" s="6" t="s">
        <v>1875</v>
      </c>
      <c r="B1861" s="7">
        <v>67</v>
      </c>
      <c r="C1861" s="7">
        <v>0</v>
      </c>
      <c r="D1861" s="7">
        <v>0</v>
      </c>
      <c r="E1861" s="7">
        <v>0</v>
      </c>
      <c r="F1861" s="8" t="s">
        <v>35</v>
      </c>
      <c r="G1861" s="8" t="s">
        <v>35</v>
      </c>
      <c r="H1861" t="str">
        <f t="shared" ref="H1861:H1924" si="29">IF(F1861=G1861,"YES","NO")</f>
        <v>YES</v>
      </c>
    </row>
    <row r="1862" spans="1:8" x14ac:dyDescent="0.2">
      <c r="A1862" s="6" t="s">
        <v>1876</v>
      </c>
      <c r="B1862" s="7">
        <v>67</v>
      </c>
      <c r="C1862" s="7">
        <v>0</v>
      </c>
      <c r="D1862" s="7">
        <v>0</v>
      </c>
      <c r="E1862" s="7">
        <v>0</v>
      </c>
      <c r="F1862" s="8" t="s">
        <v>35</v>
      </c>
      <c r="G1862" s="8" t="s">
        <v>35</v>
      </c>
      <c r="H1862" t="str">
        <f t="shared" si="29"/>
        <v>YES</v>
      </c>
    </row>
    <row r="1863" spans="1:8" x14ac:dyDescent="0.2">
      <c r="A1863" s="6" t="s">
        <v>1877</v>
      </c>
      <c r="B1863" s="7">
        <v>67</v>
      </c>
      <c r="C1863" s="7">
        <v>0</v>
      </c>
      <c r="D1863" s="7">
        <v>0</v>
      </c>
      <c r="E1863" s="7">
        <v>0</v>
      </c>
      <c r="F1863" s="8" t="s">
        <v>35</v>
      </c>
      <c r="G1863" s="8" t="s">
        <v>35</v>
      </c>
      <c r="H1863" t="str">
        <f t="shared" si="29"/>
        <v>YES</v>
      </c>
    </row>
    <row r="1864" spans="1:8" x14ac:dyDescent="0.2">
      <c r="A1864" s="6" t="s">
        <v>1878</v>
      </c>
      <c r="B1864" s="7">
        <v>68</v>
      </c>
      <c r="C1864" s="7">
        <v>0</v>
      </c>
      <c r="D1864" s="7">
        <v>0</v>
      </c>
      <c r="E1864" s="7">
        <v>0</v>
      </c>
      <c r="F1864" s="8" t="s">
        <v>35</v>
      </c>
      <c r="G1864" s="8" t="s">
        <v>35</v>
      </c>
      <c r="H1864" t="str">
        <f t="shared" si="29"/>
        <v>YES</v>
      </c>
    </row>
    <row r="1865" spans="1:8" x14ac:dyDescent="0.2">
      <c r="A1865" s="6" t="s">
        <v>1879</v>
      </c>
      <c r="B1865" s="7">
        <v>69</v>
      </c>
      <c r="C1865" s="7">
        <v>0</v>
      </c>
      <c r="D1865" s="7">
        <v>0</v>
      </c>
      <c r="E1865" s="7">
        <v>0</v>
      </c>
      <c r="F1865" s="8" t="s">
        <v>35</v>
      </c>
      <c r="G1865" s="8" t="s">
        <v>35</v>
      </c>
      <c r="H1865" t="str">
        <f t="shared" si="29"/>
        <v>YES</v>
      </c>
    </row>
    <row r="1866" spans="1:8" x14ac:dyDescent="0.2">
      <c r="A1866" s="6" t="s">
        <v>1880</v>
      </c>
      <c r="B1866" s="7">
        <v>70</v>
      </c>
      <c r="C1866" s="7">
        <v>0</v>
      </c>
      <c r="D1866" s="7">
        <v>0</v>
      </c>
      <c r="E1866" s="7">
        <v>0</v>
      </c>
      <c r="F1866" s="8" t="s">
        <v>35</v>
      </c>
      <c r="G1866" s="8" t="s">
        <v>35</v>
      </c>
      <c r="H1866" t="str">
        <f t="shared" si="29"/>
        <v>YES</v>
      </c>
    </row>
    <row r="1867" spans="1:8" x14ac:dyDescent="0.2">
      <c r="A1867" s="6" t="s">
        <v>1881</v>
      </c>
      <c r="B1867" s="7">
        <v>70</v>
      </c>
      <c r="C1867" s="7">
        <v>0</v>
      </c>
      <c r="D1867" s="7">
        <v>0</v>
      </c>
      <c r="E1867" s="7">
        <v>0</v>
      </c>
      <c r="F1867" s="8" t="s">
        <v>35</v>
      </c>
      <c r="G1867" s="8" t="s">
        <v>35</v>
      </c>
      <c r="H1867" t="str">
        <f t="shared" si="29"/>
        <v>YES</v>
      </c>
    </row>
    <row r="1868" spans="1:8" x14ac:dyDescent="0.2">
      <c r="A1868" s="6" t="s">
        <v>1882</v>
      </c>
      <c r="B1868" s="7">
        <v>70</v>
      </c>
      <c r="C1868" s="7">
        <v>0</v>
      </c>
      <c r="D1868" s="7">
        <v>0</v>
      </c>
      <c r="E1868" s="7">
        <v>0</v>
      </c>
      <c r="F1868" s="8" t="s">
        <v>35</v>
      </c>
      <c r="G1868" s="8" t="s">
        <v>35</v>
      </c>
      <c r="H1868" t="str">
        <f t="shared" si="29"/>
        <v>YES</v>
      </c>
    </row>
    <row r="1869" spans="1:8" x14ac:dyDescent="0.2">
      <c r="A1869" s="6" t="s">
        <v>1883</v>
      </c>
      <c r="B1869" s="7">
        <v>71</v>
      </c>
      <c r="C1869" s="7">
        <v>0</v>
      </c>
      <c r="D1869" s="7">
        <v>0</v>
      </c>
      <c r="E1869" s="7">
        <v>0</v>
      </c>
      <c r="F1869" s="8" t="s">
        <v>35</v>
      </c>
      <c r="G1869" s="8" t="s">
        <v>35</v>
      </c>
      <c r="H1869" t="str">
        <f t="shared" si="29"/>
        <v>YES</v>
      </c>
    </row>
    <row r="1870" spans="1:8" x14ac:dyDescent="0.2">
      <c r="A1870" s="6" t="s">
        <v>1884</v>
      </c>
      <c r="B1870" s="7">
        <v>71</v>
      </c>
      <c r="C1870" s="7">
        <v>0</v>
      </c>
      <c r="D1870" s="7">
        <v>0</v>
      </c>
      <c r="E1870" s="7">
        <v>0</v>
      </c>
      <c r="F1870" s="8" t="s">
        <v>35</v>
      </c>
      <c r="G1870" s="8" t="s">
        <v>35</v>
      </c>
      <c r="H1870" t="str">
        <f t="shared" si="29"/>
        <v>YES</v>
      </c>
    </row>
    <row r="1871" spans="1:8" x14ac:dyDescent="0.2">
      <c r="A1871" s="6" t="s">
        <v>1885</v>
      </c>
      <c r="B1871" s="7">
        <v>72</v>
      </c>
      <c r="C1871" s="7">
        <v>0</v>
      </c>
      <c r="D1871" s="7">
        <v>0</v>
      </c>
      <c r="E1871" s="7">
        <v>0</v>
      </c>
      <c r="F1871" s="8" t="s">
        <v>35</v>
      </c>
      <c r="G1871" s="8" t="s">
        <v>35</v>
      </c>
      <c r="H1871" t="str">
        <f t="shared" si="29"/>
        <v>YES</v>
      </c>
    </row>
    <row r="1872" spans="1:8" x14ac:dyDescent="0.2">
      <c r="A1872" s="6" t="s">
        <v>1886</v>
      </c>
      <c r="B1872" s="7">
        <v>72</v>
      </c>
      <c r="C1872" s="7">
        <v>0</v>
      </c>
      <c r="D1872" s="7">
        <v>0</v>
      </c>
      <c r="E1872" s="7">
        <v>0</v>
      </c>
      <c r="F1872" s="8" t="s">
        <v>35</v>
      </c>
      <c r="G1872" s="8" t="s">
        <v>35</v>
      </c>
      <c r="H1872" t="str">
        <f t="shared" si="29"/>
        <v>YES</v>
      </c>
    </row>
    <row r="1873" spans="1:8" x14ac:dyDescent="0.2">
      <c r="A1873" s="6" t="s">
        <v>1887</v>
      </c>
      <c r="B1873" s="7">
        <v>72</v>
      </c>
      <c r="C1873" s="7">
        <v>0</v>
      </c>
      <c r="D1873" s="7">
        <v>0</v>
      </c>
      <c r="E1873" s="7">
        <v>0</v>
      </c>
      <c r="F1873" s="8" t="s">
        <v>35</v>
      </c>
      <c r="G1873" s="8" t="s">
        <v>35</v>
      </c>
      <c r="H1873" t="str">
        <f t="shared" si="29"/>
        <v>YES</v>
      </c>
    </row>
    <row r="1874" spans="1:8" x14ac:dyDescent="0.2">
      <c r="A1874" s="6" t="s">
        <v>1888</v>
      </c>
      <c r="B1874" s="7">
        <v>73</v>
      </c>
      <c r="C1874" s="7">
        <v>0</v>
      </c>
      <c r="D1874" s="7">
        <v>0</v>
      </c>
      <c r="E1874" s="7">
        <v>0</v>
      </c>
      <c r="F1874" s="8" t="s">
        <v>35</v>
      </c>
      <c r="G1874" s="8" t="s">
        <v>17</v>
      </c>
      <c r="H1874" t="str">
        <f t="shared" si="29"/>
        <v>NO</v>
      </c>
    </row>
    <row r="1875" spans="1:8" x14ac:dyDescent="0.2">
      <c r="A1875" s="6" t="s">
        <v>1889</v>
      </c>
      <c r="B1875" s="7">
        <v>74</v>
      </c>
      <c r="C1875" s="7">
        <v>0</v>
      </c>
      <c r="D1875" s="7">
        <v>0</v>
      </c>
      <c r="E1875" s="7">
        <v>0</v>
      </c>
      <c r="F1875" s="8" t="s">
        <v>35</v>
      </c>
      <c r="G1875" s="8" t="s">
        <v>35</v>
      </c>
      <c r="H1875" t="str">
        <f t="shared" si="29"/>
        <v>YES</v>
      </c>
    </row>
    <row r="1876" spans="1:8" x14ac:dyDescent="0.2">
      <c r="A1876" s="6" t="s">
        <v>1890</v>
      </c>
      <c r="B1876" s="7">
        <v>74</v>
      </c>
      <c r="C1876" s="7">
        <v>0</v>
      </c>
      <c r="D1876" s="7">
        <v>0</v>
      </c>
      <c r="E1876" s="7">
        <v>0</v>
      </c>
      <c r="F1876" s="8" t="s">
        <v>35</v>
      </c>
      <c r="G1876" s="8" t="s">
        <v>35</v>
      </c>
      <c r="H1876" t="str">
        <f t="shared" si="29"/>
        <v>YES</v>
      </c>
    </row>
    <row r="1877" spans="1:8" x14ac:dyDescent="0.2">
      <c r="A1877" s="6" t="s">
        <v>1891</v>
      </c>
      <c r="B1877" s="7">
        <v>75</v>
      </c>
      <c r="C1877" s="7">
        <v>0</v>
      </c>
      <c r="D1877" s="7">
        <v>0</v>
      </c>
      <c r="E1877" s="7">
        <v>0</v>
      </c>
      <c r="F1877" s="8" t="s">
        <v>35</v>
      </c>
      <c r="G1877" s="8" t="s">
        <v>35</v>
      </c>
      <c r="H1877" t="str">
        <f t="shared" si="29"/>
        <v>YES</v>
      </c>
    </row>
    <row r="1878" spans="1:8" x14ac:dyDescent="0.2">
      <c r="A1878" s="6" t="s">
        <v>1892</v>
      </c>
      <c r="B1878" s="7">
        <v>75</v>
      </c>
      <c r="C1878" s="7">
        <v>0</v>
      </c>
      <c r="D1878" s="7">
        <v>0</v>
      </c>
      <c r="E1878" s="7">
        <v>0</v>
      </c>
      <c r="F1878" s="8" t="s">
        <v>35</v>
      </c>
      <c r="G1878" s="8" t="s">
        <v>35</v>
      </c>
      <c r="H1878" t="str">
        <f t="shared" si="29"/>
        <v>YES</v>
      </c>
    </row>
    <row r="1879" spans="1:8" x14ac:dyDescent="0.2">
      <c r="A1879" s="6" t="s">
        <v>1893</v>
      </c>
      <c r="B1879" s="7">
        <v>76</v>
      </c>
      <c r="C1879" s="7">
        <v>0</v>
      </c>
      <c r="D1879" s="7">
        <v>0</v>
      </c>
      <c r="E1879" s="7">
        <v>0</v>
      </c>
      <c r="F1879" s="8" t="s">
        <v>35</v>
      </c>
      <c r="G1879" s="8" t="s">
        <v>35</v>
      </c>
      <c r="H1879" t="str">
        <f t="shared" si="29"/>
        <v>YES</v>
      </c>
    </row>
    <row r="1880" spans="1:8" x14ac:dyDescent="0.2">
      <c r="A1880" s="6" t="s">
        <v>1894</v>
      </c>
      <c r="B1880" s="7">
        <v>78</v>
      </c>
      <c r="C1880" s="7">
        <v>0</v>
      </c>
      <c r="D1880" s="7">
        <v>0</v>
      </c>
      <c r="E1880" s="7">
        <v>0</v>
      </c>
      <c r="F1880" s="8" t="s">
        <v>35</v>
      </c>
      <c r="G1880" s="8" t="s">
        <v>35</v>
      </c>
      <c r="H1880" t="str">
        <f t="shared" si="29"/>
        <v>YES</v>
      </c>
    </row>
    <row r="1881" spans="1:8" x14ac:dyDescent="0.2">
      <c r="A1881" s="6" t="s">
        <v>1895</v>
      </c>
      <c r="B1881" s="7">
        <v>78</v>
      </c>
      <c r="C1881" s="7">
        <v>0</v>
      </c>
      <c r="D1881" s="7">
        <v>0</v>
      </c>
      <c r="E1881" s="7">
        <v>0</v>
      </c>
      <c r="F1881" s="8" t="s">
        <v>35</v>
      </c>
      <c r="G1881" s="8" t="s">
        <v>35</v>
      </c>
      <c r="H1881" t="str">
        <f t="shared" si="29"/>
        <v>YES</v>
      </c>
    </row>
    <row r="1882" spans="1:8" x14ac:dyDescent="0.2">
      <c r="A1882" s="6" t="s">
        <v>1896</v>
      </c>
      <c r="B1882" s="7">
        <v>78</v>
      </c>
      <c r="C1882" s="7">
        <v>0</v>
      </c>
      <c r="D1882" s="7">
        <v>0</v>
      </c>
      <c r="E1882" s="7">
        <v>0</v>
      </c>
      <c r="F1882" s="8" t="s">
        <v>35</v>
      </c>
      <c r="G1882" s="8" t="s">
        <v>35</v>
      </c>
      <c r="H1882" t="str">
        <f t="shared" si="29"/>
        <v>YES</v>
      </c>
    </row>
    <row r="1883" spans="1:8" x14ac:dyDescent="0.2">
      <c r="A1883" s="6" t="s">
        <v>1897</v>
      </c>
      <c r="B1883" s="7">
        <v>79</v>
      </c>
      <c r="C1883" s="7">
        <v>0</v>
      </c>
      <c r="D1883" s="7">
        <v>0</v>
      </c>
      <c r="E1883" s="7">
        <v>0</v>
      </c>
      <c r="F1883" s="8" t="s">
        <v>35</v>
      </c>
      <c r="G1883" s="8" t="s">
        <v>35</v>
      </c>
      <c r="H1883" t="str">
        <f t="shared" si="29"/>
        <v>YES</v>
      </c>
    </row>
    <row r="1884" spans="1:8" x14ac:dyDescent="0.2">
      <c r="A1884" s="6" t="s">
        <v>1898</v>
      </c>
      <c r="B1884" s="7">
        <v>79</v>
      </c>
      <c r="C1884" s="7">
        <v>0</v>
      </c>
      <c r="D1884" s="7">
        <v>0</v>
      </c>
      <c r="E1884" s="7">
        <v>0</v>
      </c>
      <c r="F1884" s="8" t="s">
        <v>35</v>
      </c>
      <c r="G1884" s="8" t="s">
        <v>35</v>
      </c>
      <c r="H1884" t="str">
        <f t="shared" si="29"/>
        <v>YES</v>
      </c>
    </row>
    <row r="1885" spans="1:8" x14ac:dyDescent="0.2">
      <c r="A1885" s="6" t="s">
        <v>1899</v>
      </c>
      <c r="B1885" s="7">
        <v>79</v>
      </c>
      <c r="C1885" s="7">
        <v>0</v>
      </c>
      <c r="D1885" s="7">
        <v>0</v>
      </c>
      <c r="E1885" s="7">
        <v>0</v>
      </c>
      <c r="F1885" s="8" t="s">
        <v>35</v>
      </c>
      <c r="G1885" s="8" t="s">
        <v>35</v>
      </c>
      <c r="H1885" t="str">
        <f t="shared" si="29"/>
        <v>YES</v>
      </c>
    </row>
    <row r="1886" spans="1:8" x14ac:dyDescent="0.2">
      <c r="A1886" s="6" t="s">
        <v>1900</v>
      </c>
      <c r="B1886" s="7">
        <v>79</v>
      </c>
      <c r="C1886" s="7">
        <v>0</v>
      </c>
      <c r="D1886" s="7">
        <v>0</v>
      </c>
      <c r="E1886" s="7">
        <v>0</v>
      </c>
      <c r="F1886" s="8" t="s">
        <v>35</v>
      </c>
      <c r="G1886" s="8" t="s">
        <v>35</v>
      </c>
      <c r="H1886" t="str">
        <f t="shared" si="29"/>
        <v>YES</v>
      </c>
    </row>
    <row r="1887" spans="1:8" x14ac:dyDescent="0.2">
      <c r="A1887" s="6" t="s">
        <v>1901</v>
      </c>
      <c r="B1887" s="7">
        <v>80</v>
      </c>
      <c r="C1887" s="7">
        <v>0</v>
      </c>
      <c r="D1887" s="7">
        <v>0</v>
      </c>
      <c r="E1887" s="7">
        <v>0</v>
      </c>
      <c r="F1887" s="8" t="s">
        <v>35</v>
      </c>
      <c r="G1887" s="8" t="s">
        <v>35</v>
      </c>
      <c r="H1887" t="str">
        <f t="shared" si="29"/>
        <v>YES</v>
      </c>
    </row>
    <row r="1888" spans="1:8" x14ac:dyDescent="0.2">
      <c r="A1888" s="6" t="s">
        <v>1902</v>
      </c>
      <c r="B1888" s="7">
        <v>81</v>
      </c>
      <c r="C1888" s="7">
        <v>0</v>
      </c>
      <c r="D1888" s="7">
        <v>0</v>
      </c>
      <c r="E1888" s="7">
        <v>0</v>
      </c>
      <c r="F1888" s="8" t="s">
        <v>35</v>
      </c>
      <c r="G1888" s="8" t="s">
        <v>35</v>
      </c>
      <c r="H1888" t="str">
        <f t="shared" si="29"/>
        <v>YES</v>
      </c>
    </row>
    <row r="1889" spans="1:8" x14ac:dyDescent="0.2">
      <c r="A1889" s="6" t="s">
        <v>1903</v>
      </c>
      <c r="B1889" s="7">
        <v>82</v>
      </c>
      <c r="C1889" s="7">
        <v>0</v>
      </c>
      <c r="D1889" s="7">
        <v>0</v>
      </c>
      <c r="E1889" s="7">
        <v>0</v>
      </c>
      <c r="F1889" s="8" t="s">
        <v>35</v>
      </c>
      <c r="G1889" s="8" t="s">
        <v>35</v>
      </c>
      <c r="H1889" t="str">
        <f t="shared" si="29"/>
        <v>YES</v>
      </c>
    </row>
    <row r="1890" spans="1:8" x14ac:dyDescent="0.2">
      <c r="A1890" s="6" t="s">
        <v>1904</v>
      </c>
      <c r="B1890" s="7">
        <v>84</v>
      </c>
      <c r="C1890" s="7">
        <v>0</v>
      </c>
      <c r="D1890" s="7">
        <v>0</v>
      </c>
      <c r="E1890" s="7">
        <v>0</v>
      </c>
      <c r="F1890" s="8" t="s">
        <v>35</v>
      </c>
      <c r="G1890" s="8" t="s">
        <v>35</v>
      </c>
      <c r="H1890" t="str">
        <f t="shared" si="29"/>
        <v>YES</v>
      </c>
    </row>
    <row r="1891" spans="1:8" x14ac:dyDescent="0.2">
      <c r="A1891" s="6" t="s">
        <v>1905</v>
      </c>
      <c r="B1891" s="7">
        <v>85</v>
      </c>
      <c r="C1891" s="7">
        <v>0</v>
      </c>
      <c r="D1891" s="7">
        <v>0</v>
      </c>
      <c r="E1891" s="7">
        <v>0</v>
      </c>
      <c r="F1891" s="8" t="s">
        <v>35</v>
      </c>
      <c r="G1891" s="8" t="s">
        <v>35</v>
      </c>
      <c r="H1891" t="str">
        <f t="shared" si="29"/>
        <v>YES</v>
      </c>
    </row>
    <row r="1892" spans="1:8" x14ac:dyDescent="0.2">
      <c r="A1892" s="6" t="s">
        <v>1906</v>
      </c>
      <c r="B1892" s="7">
        <v>86</v>
      </c>
      <c r="C1892" s="7">
        <v>0</v>
      </c>
      <c r="D1892" s="7">
        <v>0</v>
      </c>
      <c r="E1892" s="7">
        <v>0</v>
      </c>
      <c r="F1892" s="8" t="s">
        <v>35</v>
      </c>
      <c r="G1892" s="8" t="s">
        <v>35</v>
      </c>
      <c r="H1892" t="str">
        <f t="shared" si="29"/>
        <v>YES</v>
      </c>
    </row>
    <row r="1893" spans="1:8" x14ac:dyDescent="0.2">
      <c r="A1893" s="6" t="s">
        <v>1907</v>
      </c>
      <c r="B1893" s="7">
        <v>87</v>
      </c>
      <c r="C1893" s="7">
        <v>0</v>
      </c>
      <c r="D1893" s="7">
        <v>0</v>
      </c>
      <c r="E1893" s="7">
        <v>0</v>
      </c>
      <c r="F1893" s="8" t="s">
        <v>35</v>
      </c>
      <c r="G1893" s="8" t="s">
        <v>35</v>
      </c>
      <c r="H1893" t="str">
        <f t="shared" si="29"/>
        <v>YES</v>
      </c>
    </row>
    <row r="1894" spans="1:8" x14ac:dyDescent="0.2">
      <c r="A1894" s="6" t="s">
        <v>1908</v>
      </c>
      <c r="B1894" s="7">
        <v>87</v>
      </c>
      <c r="C1894" s="7">
        <v>0</v>
      </c>
      <c r="D1894" s="7">
        <v>0</v>
      </c>
      <c r="E1894" s="7">
        <v>0</v>
      </c>
      <c r="F1894" s="8" t="s">
        <v>35</v>
      </c>
      <c r="G1894" s="8" t="s">
        <v>35</v>
      </c>
      <c r="H1894" t="str">
        <f t="shared" si="29"/>
        <v>YES</v>
      </c>
    </row>
    <row r="1895" spans="1:8" x14ac:dyDescent="0.2">
      <c r="A1895" s="6" t="s">
        <v>1909</v>
      </c>
      <c r="B1895" s="7">
        <v>87</v>
      </c>
      <c r="C1895" s="7">
        <v>0</v>
      </c>
      <c r="D1895" s="7">
        <v>0</v>
      </c>
      <c r="E1895" s="7">
        <v>0</v>
      </c>
      <c r="F1895" s="8" t="s">
        <v>35</v>
      </c>
      <c r="G1895" s="8" t="s">
        <v>35</v>
      </c>
      <c r="H1895" t="str">
        <f t="shared" si="29"/>
        <v>YES</v>
      </c>
    </row>
    <row r="1896" spans="1:8" x14ac:dyDescent="0.2">
      <c r="A1896" s="6" t="s">
        <v>1910</v>
      </c>
      <c r="B1896" s="7">
        <v>87</v>
      </c>
      <c r="C1896" s="7">
        <v>0</v>
      </c>
      <c r="D1896" s="7">
        <v>0</v>
      </c>
      <c r="E1896" s="7">
        <v>0</v>
      </c>
      <c r="F1896" s="8" t="s">
        <v>35</v>
      </c>
      <c r="G1896" s="8" t="s">
        <v>35</v>
      </c>
      <c r="H1896" t="str">
        <f t="shared" si="29"/>
        <v>YES</v>
      </c>
    </row>
    <row r="1897" spans="1:8" x14ac:dyDescent="0.2">
      <c r="A1897" s="6" t="s">
        <v>1911</v>
      </c>
      <c r="B1897" s="7">
        <v>90</v>
      </c>
      <c r="C1897" s="7">
        <v>0</v>
      </c>
      <c r="D1897" s="7">
        <v>0</v>
      </c>
      <c r="E1897" s="7">
        <v>0</v>
      </c>
      <c r="F1897" s="8" t="s">
        <v>35</v>
      </c>
      <c r="G1897" s="8" t="s">
        <v>35</v>
      </c>
      <c r="H1897" t="str">
        <f t="shared" si="29"/>
        <v>YES</v>
      </c>
    </row>
    <row r="1898" spans="1:8" x14ac:dyDescent="0.2">
      <c r="A1898" s="6" t="s">
        <v>1912</v>
      </c>
      <c r="B1898" s="7">
        <v>91</v>
      </c>
      <c r="C1898" s="7">
        <v>0</v>
      </c>
      <c r="D1898" s="7">
        <v>0</v>
      </c>
      <c r="E1898" s="7">
        <v>0</v>
      </c>
      <c r="F1898" s="8" t="s">
        <v>35</v>
      </c>
      <c r="G1898" s="8" t="s">
        <v>35</v>
      </c>
      <c r="H1898" t="str">
        <f t="shared" si="29"/>
        <v>YES</v>
      </c>
    </row>
    <row r="1899" spans="1:8" x14ac:dyDescent="0.2">
      <c r="A1899" s="6" t="s">
        <v>1913</v>
      </c>
      <c r="B1899" s="7">
        <v>92</v>
      </c>
      <c r="C1899" s="7">
        <v>0</v>
      </c>
      <c r="D1899" s="7">
        <v>0</v>
      </c>
      <c r="E1899" s="7">
        <v>0</v>
      </c>
      <c r="F1899" s="8" t="s">
        <v>35</v>
      </c>
      <c r="G1899" s="8" t="s">
        <v>35</v>
      </c>
      <c r="H1899" t="str">
        <f t="shared" si="29"/>
        <v>YES</v>
      </c>
    </row>
    <row r="1900" spans="1:8" x14ac:dyDescent="0.2">
      <c r="A1900" s="6" t="s">
        <v>1914</v>
      </c>
      <c r="B1900" s="7">
        <v>93</v>
      </c>
      <c r="C1900" s="7">
        <v>0</v>
      </c>
      <c r="D1900" s="7">
        <v>0</v>
      </c>
      <c r="E1900" s="7">
        <v>0</v>
      </c>
      <c r="F1900" s="8" t="s">
        <v>35</v>
      </c>
      <c r="G1900" s="8" t="s">
        <v>35</v>
      </c>
      <c r="H1900" t="str">
        <f t="shared" si="29"/>
        <v>YES</v>
      </c>
    </row>
    <row r="1901" spans="1:8" x14ac:dyDescent="0.2">
      <c r="A1901" s="6" t="s">
        <v>1915</v>
      </c>
      <c r="B1901" s="7">
        <v>93</v>
      </c>
      <c r="C1901" s="7">
        <v>0</v>
      </c>
      <c r="D1901" s="7">
        <v>0</v>
      </c>
      <c r="E1901" s="7">
        <v>0</v>
      </c>
      <c r="F1901" s="8" t="s">
        <v>35</v>
      </c>
      <c r="G1901" s="8" t="s">
        <v>35</v>
      </c>
      <c r="H1901" t="str">
        <f t="shared" si="29"/>
        <v>YES</v>
      </c>
    </row>
    <row r="1902" spans="1:8" x14ac:dyDescent="0.2">
      <c r="A1902" s="6" t="s">
        <v>1916</v>
      </c>
      <c r="B1902" s="7">
        <v>93</v>
      </c>
      <c r="C1902" s="7">
        <v>0</v>
      </c>
      <c r="D1902" s="7">
        <v>0</v>
      </c>
      <c r="E1902" s="7">
        <v>0</v>
      </c>
      <c r="F1902" s="8" t="s">
        <v>35</v>
      </c>
      <c r="G1902" s="8" t="s">
        <v>35</v>
      </c>
      <c r="H1902" t="str">
        <f t="shared" si="29"/>
        <v>YES</v>
      </c>
    </row>
    <row r="1903" spans="1:8" x14ac:dyDescent="0.2">
      <c r="A1903" s="6" t="s">
        <v>1917</v>
      </c>
      <c r="B1903" s="7">
        <v>93</v>
      </c>
      <c r="C1903" s="7">
        <v>0</v>
      </c>
      <c r="D1903" s="7">
        <v>0</v>
      </c>
      <c r="E1903" s="7">
        <v>0</v>
      </c>
      <c r="F1903" s="8" t="s">
        <v>35</v>
      </c>
      <c r="G1903" s="8" t="s">
        <v>35</v>
      </c>
      <c r="H1903" t="str">
        <f t="shared" si="29"/>
        <v>YES</v>
      </c>
    </row>
    <row r="1904" spans="1:8" x14ac:dyDescent="0.2">
      <c r="A1904" s="6" t="s">
        <v>1918</v>
      </c>
      <c r="B1904" s="7">
        <v>95</v>
      </c>
      <c r="C1904" s="7">
        <v>0</v>
      </c>
      <c r="D1904" s="7">
        <v>0</v>
      </c>
      <c r="E1904" s="7">
        <v>0</v>
      </c>
      <c r="F1904" s="8" t="s">
        <v>35</v>
      </c>
      <c r="G1904" s="8" t="s">
        <v>35</v>
      </c>
      <c r="H1904" t="str">
        <f t="shared" si="29"/>
        <v>YES</v>
      </c>
    </row>
    <row r="1905" spans="1:8" x14ac:dyDescent="0.2">
      <c r="A1905" s="6" t="s">
        <v>1919</v>
      </c>
      <c r="B1905" s="7">
        <v>96</v>
      </c>
      <c r="C1905" s="7">
        <v>0</v>
      </c>
      <c r="D1905" s="7">
        <v>0</v>
      </c>
      <c r="E1905" s="7">
        <v>0</v>
      </c>
      <c r="F1905" s="8" t="s">
        <v>35</v>
      </c>
      <c r="G1905" s="8" t="s">
        <v>35</v>
      </c>
      <c r="H1905" t="str">
        <f t="shared" si="29"/>
        <v>YES</v>
      </c>
    </row>
    <row r="1906" spans="1:8" x14ac:dyDescent="0.2">
      <c r="A1906" s="6" t="s">
        <v>1920</v>
      </c>
      <c r="B1906" s="7">
        <v>99</v>
      </c>
      <c r="C1906" s="7">
        <v>0</v>
      </c>
      <c r="D1906" s="7">
        <v>0</v>
      </c>
      <c r="E1906" s="7">
        <v>0</v>
      </c>
      <c r="F1906" s="8" t="s">
        <v>35</v>
      </c>
      <c r="G1906" s="8" t="s">
        <v>35</v>
      </c>
      <c r="H1906" t="str">
        <f t="shared" si="29"/>
        <v>YES</v>
      </c>
    </row>
    <row r="1907" spans="1:8" x14ac:dyDescent="0.2">
      <c r="A1907" s="6" t="s">
        <v>1921</v>
      </c>
      <c r="B1907" s="7">
        <v>101</v>
      </c>
      <c r="C1907" s="7">
        <v>0</v>
      </c>
      <c r="D1907" s="7">
        <v>0</v>
      </c>
      <c r="E1907" s="7">
        <v>0</v>
      </c>
      <c r="F1907" s="8" t="s">
        <v>35</v>
      </c>
      <c r="G1907" s="8" t="s">
        <v>35</v>
      </c>
      <c r="H1907" t="str">
        <f t="shared" si="29"/>
        <v>YES</v>
      </c>
    </row>
    <row r="1908" spans="1:8" x14ac:dyDescent="0.2">
      <c r="A1908" s="6" t="s">
        <v>1922</v>
      </c>
      <c r="B1908" s="7">
        <v>102</v>
      </c>
      <c r="C1908" s="7">
        <v>0</v>
      </c>
      <c r="D1908" s="7">
        <v>0</v>
      </c>
      <c r="E1908" s="7">
        <v>0</v>
      </c>
      <c r="F1908" s="8" t="s">
        <v>35</v>
      </c>
      <c r="G1908" s="8" t="s">
        <v>35</v>
      </c>
      <c r="H1908" t="str">
        <f t="shared" si="29"/>
        <v>YES</v>
      </c>
    </row>
    <row r="1909" spans="1:8" x14ac:dyDescent="0.2">
      <c r="A1909" s="6" t="s">
        <v>1923</v>
      </c>
      <c r="B1909" s="7">
        <v>103</v>
      </c>
      <c r="C1909" s="7">
        <v>0</v>
      </c>
      <c r="D1909" s="7">
        <v>0</v>
      </c>
      <c r="E1909" s="7">
        <v>0</v>
      </c>
      <c r="F1909" s="8" t="s">
        <v>35</v>
      </c>
      <c r="G1909" s="8" t="s">
        <v>35</v>
      </c>
      <c r="H1909" t="str">
        <f t="shared" si="29"/>
        <v>YES</v>
      </c>
    </row>
    <row r="1910" spans="1:8" x14ac:dyDescent="0.2">
      <c r="A1910" s="6" t="s">
        <v>1924</v>
      </c>
      <c r="B1910" s="7">
        <v>103</v>
      </c>
      <c r="C1910" s="7">
        <v>0</v>
      </c>
      <c r="D1910" s="7">
        <v>0</v>
      </c>
      <c r="E1910" s="7">
        <v>0</v>
      </c>
      <c r="F1910" s="8" t="s">
        <v>35</v>
      </c>
      <c r="G1910" s="8" t="s">
        <v>35</v>
      </c>
      <c r="H1910" t="str">
        <f t="shared" si="29"/>
        <v>YES</v>
      </c>
    </row>
    <row r="1911" spans="1:8" x14ac:dyDescent="0.2">
      <c r="A1911" s="6" t="s">
        <v>1925</v>
      </c>
      <c r="B1911" s="7">
        <v>103</v>
      </c>
      <c r="C1911" s="7">
        <v>0</v>
      </c>
      <c r="D1911" s="7">
        <v>0</v>
      </c>
      <c r="E1911" s="7">
        <v>0</v>
      </c>
      <c r="F1911" s="8" t="s">
        <v>35</v>
      </c>
      <c r="G1911" s="8" t="s">
        <v>35</v>
      </c>
      <c r="H1911" t="str">
        <f t="shared" si="29"/>
        <v>YES</v>
      </c>
    </row>
    <row r="1912" spans="1:8" x14ac:dyDescent="0.2">
      <c r="A1912" s="6" t="s">
        <v>1926</v>
      </c>
      <c r="B1912" s="7">
        <v>103</v>
      </c>
      <c r="C1912" s="7">
        <v>0</v>
      </c>
      <c r="D1912" s="7">
        <v>0</v>
      </c>
      <c r="E1912" s="7">
        <v>0</v>
      </c>
      <c r="F1912" s="8" t="s">
        <v>35</v>
      </c>
      <c r="G1912" s="8" t="s">
        <v>35</v>
      </c>
      <c r="H1912" t="str">
        <f t="shared" si="29"/>
        <v>YES</v>
      </c>
    </row>
    <row r="1913" spans="1:8" x14ac:dyDescent="0.2">
      <c r="A1913" s="6" t="s">
        <v>1927</v>
      </c>
      <c r="B1913" s="7">
        <v>104</v>
      </c>
      <c r="C1913" s="7">
        <v>0</v>
      </c>
      <c r="D1913" s="7">
        <v>0</v>
      </c>
      <c r="E1913" s="7">
        <v>0</v>
      </c>
      <c r="F1913" s="8" t="s">
        <v>35</v>
      </c>
      <c r="G1913" s="8" t="s">
        <v>35</v>
      </c>
      <c r="H1913" t="str">
        <f t="shared" si="29"/>
        <v>YES</v>
      </c>
    </row>
    <row r="1914" spans="1:8" x14ac:dyDescent="0.2">
      <c r="A1914" s="6" t="s">
        <v>1928</v>
      </c>
      <c r="B1914" s="7">
        <v>104</v>
      </c>
      <c r="C1914" s="7">
        <v>0</v>
      </c>
      <c r="D1914" s="7">
        <v>0</v>
      </c>
      <c r="E1914" s="7">
        <v>0</v>
      </c>
      <c r="F1914" s="8" t="s">
        <v>35</v>
      </c>
      <c r="G1914" s="8" t="s">
        <v>35</v>
      </c>
      <c r="H1914" t="str">
        <f t="shared" si="29"/>
        <v>YES</v>
      </c>
    </row>
    <row r="1915" spans="1:8" x14ac:dyDescent="0.2">
      <c r="A1915" s="6" t="s">
        <v>1929</v>
      </c>
      <c r="B1915" s="7">
        <v>104</v>
      </c>
      <c r="C1915" s="7">
        <v>0</v>
      </c>
      <c r="D1915" s="7">
        <v>0</v>
      </c>
      <c r="E1915" s="7">
        <v>0</v>
      </c>
      <c r="F1915" s="8" t="s">
        <v>35</v>
      </c>
      <c r="G1915" s="8" t="s">
        <v>35</v>
      </c>
      <c r="H1915" t="str">
        <f t="shared" si="29"/>
        <v>YES</v>
      </c>
    </row>
    <row r="1916" spans="1:8" x14ac:dyDescent="0.2">
      <c r="A1916" s="6" t="s">
        <v>1930</v>
      </c>
      <c r="B1916" s="7">
        <v>105</v>
      </c>
      <c r="C1916" s="7">
        <v>0</v>
      </c>
      <c r="D1916" s="7">
        <v>0</v>
      </c>
      <c r="E1916" s="7">
        <v>0</v>
      </c>
      <c r="F1916" s="8" t="s">
        <v>35</v>
      </c>
      <c r="G1916" s="8" t="s">
        <v>35</v>
      </c>
      <c r="H1916" t="str">
        <f t="shared" si="29"/>
        <v>YES</v>
      </c>
    </row>
    <row r="1917" spans="1:8" x14ac:dyDescent="0.2">
      <c r="A1917" s="6" t="s">
        <v>1931</v>
      </c>
      <c r="B1917" s="7">
        <v>106</v>
      </c>
      <c r="C1917" s="7">
        <v>0</v>
      </c>
      <c r="D1917" s="7">
        <v>0</v>
      </c>
      <c r="E1917" s="7">
        <v>0</v>
      </c>
      <c r="F1917" s="8" t="s">
        <v>35</v>
      </c>
      <c r="G1917" s="8" t="s">
        <v>35</v>
      </c>
      <c r="H1917" t="str">
        <f t="shared" si="29"/>
        <v>YES</v>
      </c>
    </row>
    <row r="1918" spans="1:8" x14ac:dyDescent="0.2">
      <c r="A1918" s="6" t="s">
        <v>1932</v>
      </c>
      <c r="B1918" s="7">
        <v>111</v>
      </c>
      <c r="C1918" s="7">
        <v>0</v>
      </c>
      <c r="D1918" s="7">
        <v>0</v>
      </c>
      <c r="E1918" s="7">
        <v>0</v>
      </c>
      <c r="F1918" s="8" t="s">
        <v>35</v>
      </c>
      <c r="G1918" s="8" t="s">
        <v>35</v>
      </c>
      <c r="H1918" t="str">
        <f t="shared" si="29"/>
        <v>YES</v>
      </c>
    </row>
    <row r="1919" spans="1:8" x14ac:dyDescent="0.2">
      <c r="A1919" s="6" t="s">
        <v>1933</v>
      </c>
      <c r="B1919" s="7">
        <v>113</v>
      </c>
      <c r="C1919" s="7">
        <v>0</v>
      </c>
      <c r="D1919" s="7">
        <v>0</v>
      </c>
      <c r="E1919" s="7">
        <v>0</v>
      </c>
      <c r="F1919" s="8" t="s">
        <v>35</v>
      </c>
      <c r="G1919" s="8" t="s">
        <v>35</v>
      </c>
      <c r="H1919" t="str">
        <f t="shared" si="29"/>
        <v>YES</v>
      </c>
    </row>
    <row r="1920" spans="1:8" x14ac:dyDescent="0.2">
      <c r="A1920" s="6" t="s">
        <v>1934</v>
      </c>
      <c r="B1920" s="7">
        <v>113</v>
      </c>
      <c r="C1920" s="7">
        <v>0</v>
      </c>
      <c r="D1920" s="7">
        <v>0</v>
      </c>
      <c r="E1920" s="7">
        <v>0</v>
      </c>
      <c r="F1920" s="8" t="s">
        <v>35</v>
      </c>
      <c r="G1920" s="8" t="s">
        <v>35</v>
      </c>
      <c r="H1920" t="str">
        <f t="shared" si="29"/>
        <v>YES</v>
      </c>
    </row>
    <row r="1921" spans="1:8" x14ac:dyDescent="0.2">
      <c r="A1921" s="6" t="s">
        <v>1935</v>
      </c>
      <c r="B1921" s="7">
        <v>114</v>
      </c>
      <c r="C1921" s="7">
        <v>0</v>
      </c>
      <c r="D1921" s="7">
        <v>0</v>
      </c>
      <c r="E1921" s="7">
        <v>0</v>
      </c>
      <c r="F1921" s="8" t="s">
        <v>35</v>
      </c>
      <c r="G1921" s="8" t="s">
        <v>35</v>
      </c>
      <c r="H1921" t="str">
        <f t="shared" si="29"/>
        <v>YES</v>
      </c>
    </row>
    <row r="1922" spans="1:8" x14ac:dyDescent="0.2">
      <c r="A1922" s="6" t="s">
        <v>1936</v>
      </c>
      <c r="B1922" s="7">
        <v>117</v>
      </c>
      <c r="C1922" s="7">
        <v>0</v>
      </c>
      <c r="D1922" s="7">
        <v>0</v>
      </c>
      <c r="E1922" s="7">
        <v>0</v>
      </c>
      <c r="F1922" s="8" t="s">
        <v>35</v>
      </c>
      <c r="G1922" s="8" t="s">
        <v>35</v>
      </c>
      <c r="H1922" t="str">
        <f t="shared" si="29"/>
        <v>YES</v>
      </c>
    </row>
    <row r="1923" spans="1:8" x14ac:dyDescent="0.2">
      <c r="A1923" s="6" t="s">
        <v>1937</v>
      </c>
      <c r="B1923" s="7">
        <v>118</v>
      </c>
      <c r="C1923" s="7">
        <v>0</v>
      </c>
      <c r="D1923" s="7">
        <v>0</v>
      </c>
      <c r="E1923" s="7">
        <v>0</v>
      </c>
      <c r="F1923" s="8" t="s">
        <v>35</v>
      </c>
      <c r="G1923" s="8" t="s">
        <v>35</v>
      </c>
      <c r="H1923" t="str">
        <f t="shared" si="29"/>
        <v>YES</v>
      </c>
    </row>
    <row r="1924" spans="1:8" x14ac:dyDescent="0.2">
      <c r="A1924" s="6" t="s">
        <v>1938</v>
      </c>
      <c r="B1924" s="7">
        <v>118</v>
      </c>
      <c r="C1924" s="7">
        <v>0</v>
      </c>
      <c r="D1924" s="7">
        <v>0</v>
      </c>
      <c r="E1924" s="7">
        <v>0</v>
      </c>
      <c r="F1924" s="8" t="s">
        <v>35</v>
      </c>
      <c r="G1924" s="8" t="s">
        <v>35</v>
      </c>
      <c r="H1924" t="str">
        <f t="shared" si="29"/>
        <v>YES</v>
      </c>
    </row>
    <row r="1925" spans="1:8" x14ac:dyDescent="0.2">
      <c r="A1925" s="6" t="s">
        <v>1939</v>
      </c>
      <c r="B1925" s="7">
        <v>125</v>
      </c>
      <c r="C1925" s="7">
        <v>0</v>
      </c>
      <c r="D1925" s="7">
        <v>0</v>
      </c>
      <c r="E1925" s="7">
        <v>0</v>
      </c>
      <c r="F1925" s="8" t="s">
        <v>35</v>
      </c>
      <c r="G1925" s="8" t="s">
        <v>35</v>
      </c>
      <c r="H1925" t="str">
        <f t="shared" ref="H1925:H1988" si="30">IF(F1925=G1925,"YES","NO")</f>
        <v>YES</v>
      </c>
    </row>
    <row r="1926" spans="1:8" x14ac:dyDescent="0.2">
      <c r="A1926" s="6" t="s">
        <v>1940</v>
      </c>
      <c r="B1926" s="7">
        <v>126</v>
      </c>
      <c r="C1926" s="7">
        <v>0</v>
      </c>
      <c r="D1926" s="7">
        <v>0</v>
      </c>
      <c r="E1926" s="7">
        <v>0</v>
      </c>
      <c r="F1926" s="8" t="s">
        <v>35</v>
      </c>
      <c r="G1926" s="8" t="s">
        <v>35</v>
      </c>
      <c r="H1926" t="str">
        <f t="shared" si="30"/>
        <v>YES</v>
      </c>
    </row>
    <row r="1927" spans="1:8" x14ac:dyDescent="0.2">
      <c r="A1927" s="6" t="s">
        <v>1941</v>
      </c>
      <c r="B1927" s="7">
        <v>127</v>
      </c>
      <c r="C1927" s="7">
        <v>0</v>
      </c>
      <c r="D1927" s="7">
        <v>0</v>
      </c>
      <c r="E1927" s="7">
        <v>0</v>
      </c>
      <c r="F1927" s="8" t="s">
        <v>35</v>
      </c>
      <c r="G1927" s="8" t="s">
        <v>35</v>
      </c>
      <c r="H1927" t="str">
        <f t="shared" si="30"/>
        <v>YES</v>
      </c>
    </row>
    <row r="1928" spans="1:8" x14ac:dyDescent="0.2">
      <c r="A1928" s="6" t="s">
        <v>1942</v>
      </c>
      <c r="B1928" s="7">
        <v>128</v>
      </c>
      <c r="C1928" s="7">
        <v>0</v>
      </c>
      <c r="D1928" s="7">
        <v>0</v>
      </c>
      <c r="E1928" s="7">
        <v>0</v>
      </c>
      <c r="F1928" s="8" t="s">
        <v>35</v>
      </c>
      <c r="G1928" s="8" t="s">
        <v>35</v>
      </c>
      <c r="H1928" t="str">
        <f t="shared" si="30"/>
        <v>YES</v>
      </c>
    </row>
    <row r="1929" spans="1:8" x14ac:dyDescent="0.2">
      <c r="A1929" s="6" t="s">
        <v>1943</v>
      </c>
      <c r="B1929" s="7">
        <v>128</v>
      </c>
      <c r="C1929" s="7">
        <v>0</v>
      </c>
      <c r="D1929" s="7">
        <v>0</v>
      </c>
      <c r="E1929" s="7">
        <v>0</v>
      </c>
      <c r="F1929" s="8" t="s">
        <v>35</v>
      </c>
      <c r="G1929" s="8" t="s">
        <v>35</v>
      </c>
      <c r="H1929" t="str">
        <f t="shared" si="30"/>
        <v>YES</v>
      </c>
    </row>
    <row r="1930" spans="1:8" x14ac:dyDescent="0.2">
      <c r="A1930" s="6" t="s">
        <v>1944</v>
      </c>
      <c r="B1930" s="7">
        <v>133</v>
      </c>
      <c r="C1930" s="7">
        <v>0</v>
      </c>
      <c r="D1930" s="7">
        <v>0</v>
      </c>
      <c r="E1930" s="7">
        <v>0</v>
      </c>
      <c r="F1930" s="8" t="s">
        <v>35</v>
      </c>
      <c r="G1930" s="8" t="s">
        <v>35</v>
      </c>
      <c r="H1930" t="str">
        <f t="shared" si="30"/>
        <v>YES</v>
      </c>
    </row>
    <row r="1931" spans="1:8" x14ac:dyDescent="0.2">
      <c r="A1931" s="6" t="s">
        <v>1945</v>
      </c>
      <c r="B1931" s="7">
        <v>136</v>
      </c>
      <c r="C1931" s="7">
        <v>0</v>
      </c>
      <c r="D1931" s="7">
        <v>0</v>
      </c>
      <c r="E1931" s="7">
        <v>0</v>
      </c>
      <c r="F1931" s="8" t="s">
        <v>35</v>
      </c>
      <c r="G1931" s="8" t="s">
        <v>35</v>
      </c>
      <c r="H1931" t="str">
        <f t="shared" si="30"/>
        <v>YES</v>
      </c>
    </row>
    <row r="1932" spans="1:8" x14ac:dyDescent="0.2">
      <c r="A1932" s="6" t="s">
        <v>1946</v>
      </c>
      <c r="B1932" s="7">
        <v>136</v>
      </c>
      <c r="C1932" s="7">
        <v>0</v>
      </c>
      <c r="D1932" s="7">
        <v>0</v>
      </c>
      <c r="E1932" s="7">
        <v>0</v>
      </c>
      <c r="F1932" s="8" t="s">
        <v>35</v>
      </c>
      <c r="G1932" s="8" t="s">
        <v>35</v>
      </c>
      <c r="H1932" t="str">
        <f t="shared" si="30"/>
        <v>YES</v>
      </c>
    </row>
    <row r="1933" spans="1:8" x14ac:dyDescent="0.2">
      <c r="A1933" s="6" t="s">
        <v>1947</v>
      </c>
      <c r="B1933" s="7">
        <v>137</v>
      </c>
      <c r="C1933" s="7">
        <v>0</v>
      </c>
      <c r="D1933" s="7">
        <v>0</v>
      </c>
      <c r="E1933" s="7">
        <v>0</v>
      </c>
      <c r="F1933" s="8" t="s">
        <v>35</v>
      </c>
      <c r="G1933" s="8" t="s">
        <v>35</v>
      </c>
      <c r="H1933" t="str">
        <f t="shared" si="30"/>
        <v>YES</v>
      </c>
    </row>
    <row r="1934" spans="1:8" x14ac:dyDescent="0.2">
      <c r="A1934" s="6" t="s">
        <v>1948</v>
      </c>
      <c r="B1934" s="7">
        <v>137</v>
      </c>
      <c r="C1934" s="7">
        <v>0</v>
      </c>
      <c r="D1934" s="7">
        <v>0</v>
      </c>
      <c r="E1934" s="7">
        <v>0</v>
      </c>
      <c r="F1934" s="8" t="s">
        <v>35</v>
      </c>
      <c r="G1934" s="8" t="s">
        <v>35</v>
      </c>
      <c r="H1934" t="str">
        <f t="shared" si="30"/>
        <v>YES</v>
      </c>
    </row>
    <row r="1935" spans="1:8" x14ac:dyDescent="0.2">
      <c r="A1935" s="6" t="s">
        <v>1949</v>
      </c>
      <c r="B1935" s="7">
        <v>138</v>
      </c>
      <c r="C1935" s="7">
        <v>0</v>
      </c>
      <c r="D1935" s="7">
        <v>0</v>
      </c>
      <c r="E1935" s="7">
        <v>0</v>
      </c>
      <c r="F1935" s="8" t="s">
        <v>35</v>
      </c>
      <c r="G1935" s="8" t="s">
        <v>35</v>
      </c>
      <c r="H1935" t="str">
        <f t="shared" si="30"/>
        <v>YES</v>
      </c>
    </row>
    <row r="1936" spans="1:8" x14ac:dyDescent="0.2">
      <c r="A1936" s="6" t="s">
        <v>1950</v>
      </c>
      <c r="B1936" s="7">
        <v>138</v>
      </c>
      <c r="C1936" s="7">
        <v>0</v>
      </c>
      <c r="D1936" s="7">
        <v>0</v>
      </c>
      <c r="E1936" s="7">
        <v>0</v>
      </c>
      <c r="F1936" s="8" t="s">
        <v>35</v>
      </c>
      <c r="G1936" s="8" t="s">
        <v>35</v>
      </c>
      <c r="H1936" t="str">
        <f t="shared" si="30"/>
        <v>YES</v>
      </c>
    </row>
    <row r="1937" spans="1:8" x14ac:dyDescent="0.2">
      <c r="A1937" s="6" t="s">
        <v>1951</v>
      </c>
      <c r="B1937" s="7">
        <v>141</v>
      </c>
      <c r="C1937" s="7">
        <v>0</v>
      </c>
      <c r="D1937" s="7">
        <v>0</v>
      </c>
      <c r="E1937" s="7">
        <v>0</v>
      </c>
      <c r="F1937" s="8" t="s">
        <v>35</v>
      </c>
      <c r="G1937" s="8" t="s">
        <v>35</v>
      </c>
      <c r="H1937" t="str">
        <f t="shared" si="30"/>
        <v>YES</v>
      </c>
    </row>
    <row r="1938" spans="1:8" x14ac:dyDescent="0.2">
      <c r="A1938" s="6" t="s">
        <v>1952</v>
      </c>
      <c r="B1938" s="7">
        <v>143</v>
      </c>
      <c r="C1938" s="7">
        <v>0</v>
      </c>
      <c r="D1938" s="7">
        <v>0</v>
      </c>
      <c r="E1938" s="7">
        <v>0</v>
      </c>
      <c r="F1938" s="8" t="s">
        <v>35</v>
      </c>
      <c r="G1938" s="8" t="s">
        <v>35</v>
      </c>
      <c r="H1938" t="str">
        <f t="shared" si="30"/>
        <v>YES</v>
      </c>
    </row>
    <row r="1939" spans="1:8" x14ac:dyDescent="0.2">
      <c r="A1939" s="6" t="s">
        <v>1953</v>
      </c>
      <c r="B1939" s="7">
        <v>143</v>
      </c>
      <c r="C1939" s="7">
        <v>0</v>
      </c>
      <c r="D1939" s="7">
        <v>0</v>
      </c>
      <c r="E1939" s="7">
        <v>0</v>
      </c>
      <c r="F1939" s="8" t="s">
        <v>35</v>
      </c>
      <c r="G1939" s="8" t="s">
        <v>35</v>
      </c>
      <c r="H1939" t="str">
        <f t="shared" si="30"/>
        <v>YES</v>
      </c>
    </row>
    <row r="1940" spans="1:8" x14ac:dyDescent="0.2">
      <c r="A1940" s="6" t="s">
        <v>1954</v>
      </c>
      <c r="B1940" s="7">
        <v>147</v>
      </c>
      <c r="C1940" s="7">
        <v>0</v>
      </c>
      <c r="D1940" s="7">
        <v>0</v>
      </c>
      <c r="E1940" s="7">
        <v>0</v>
      </c>
      <c r="F1940" s="8" t="s">
        <v>35</v>
      </c>
      <c r="G1940" s="8" t="s">
        <v>35</v>
      </c>
      <c r="H1940" t="str">
        <f t="shared" si="30"/>
        <v>YES</v>
      </c>
    </row>
    <row r="1941" spans="1:8" x14ac:dyDescent="0.2">
      <c r="A1941" s="6" t="s">
        <v>1955</v>
      </c>
      <c r="B1941" s="7">
        <v>151</v>
      </c>
      <c r="C1941" s="7">
        <v>0</v>
      </c>
      <c r="D1941" s="7">
        <v>0</v>
      </c>
      <c r="E1941" s="7">
        <v>0</v>
      </c>
      <c r="F1941" s="8" t="s">
        <v>35</v>
      </c>
      <c r="G1941" s="8" t="s">
        <v>35</v>
      </c>
      <c r="H1941" t="str">
        <f t="shared" si="30"/>
        <v>YES</v>
      </c>
    </row>
    <row r="1942" spans="1:8" x14ac:dyDescent="0.2">
      <c r="A1942" s="6" t="s">
        <v>1956</v>
      </c>
      <c r="B1942" s="7">
        <v>151</v>
      </c>
      <c r="C1942" s="7">
        <v>0</v>
      </c>
      <c r="D1942" s="7">
        <v>0</v>
      </c>
      <c r="E1942" s="7">
        <v>0</v>
      </c>
      <c r="F1942" s="8" t="s">
        <v>35</v>
      </c>
      <c r="G1942" s="8" t="s">
        <v>35</v>
      </c>
      <c r="H1942" t="str">
        <f t="shared" si="30"/>
        <v>YES</v>
      </c>
    </row>
    <row r="1943" spans="1:8" x14ac:dyDescent="0.2">
      <c r="A1943" s="6" t="s">
        <v>1957</v>
      </c>
      <c r="B1943" s="7">
        <v>152</v>
      </c>
      <c r="C1943" s="7">
        <v>0</v>
      </c>
      <c r="D1943" s="7">
        <v>0</v>
      </c>
      <c r="E1943" s="7">
        <v>0</v>
      </c>
      <c r="F1943" s="8" t="s">
        <v>35</v>
      </c>
      <c r="G1943" s="8" t="s">
        <v>35</v>
      </c>
      <c r="H1943" t="str">
        <f t="shared" si="30"/>
        <v>YES</v>
      </c>
    </row>
    <row r="1944" spans="1:8" x14ac:dyDescent="0.2">
      <c r="A1944" s="6" t="s">
        <v>1958</v>
      </c>
      <c r="B1944" s="7">
        <v>153</v>
      </c>
      <c r="C1944" s="7">
        <v>0</v>
      </c>
      <c r="D1944" s="7">
        <v>0</v>
      </c>
      <c r="E1944" s="7">
        <v>0</v>
      </c>
      <c r="F1944" s="8" t="s">
        <v>35</v>
      </c>
      <c r="G1944" s="8" t="s">
        <v>35</v>
      </c>
      <c r="H1944" t="str">
        <f t="shared" si="30"/>
        <v>YES</v>
      </c>
    </row>
    <row r="1945" spans="1:8" x14ac:dyDescent="0.2">
      <c r="A1945" s="6" t="s">
        <v>1959</v>
      </c>
      <c r="B1945" s="7">
        <v>158</v>
      </c>
      <c r="C1945" s="7">
        <v>0</v>
      </c>
      <c r="D1945" s="7">
        <v>0</v>
      </c>
      <c r="E1945" s="7">
        <v>0</v>
      </c>
      <c r="F1945" s="8" t="s">
        <v>35</v>
      </c>
      <c r="G1945" s="8" t="s">
        <v>35</v>
      </c>
      <c r="H1945" t="str">
        <f t="shared" si="30"/>
        <v>YES</v>
      </c>
    </row>
    <row r="1946" spans="1:8" x14ac:dyDescent="0.2">
      <c r="A1946" s="6" t="s">
        <v>1960</v>
      </c>
      <c r="B1946" s="7">
        <v>158</v>
      </c>
      <c r="C1946" s="7">
        <v>0</v>
      </c>
      <c r="D1946" s="7">
        <v>0</v>
      </c>
      <c r="E1946" s="7">
        <v>0</v>
      </c>
      <c r="F1946" s="8" t="s">
        <v>35</v>
      </c>
      <c r="G1946" s="8" t="s">
        <v>35</v>
      </c>
      <c r="H1946" t="str">
        <f t="shared" si="30"/>
        <v>YES</v>
      </c>
    </row>
    <row r="1947" spans="1:8" x14ac:dyDescent="0.2">
      <c r="A1947" s="6" t="s">
        <v>1961</v>
      </c>
      <c r="B1947" s="7">
        <v>162</v>
      </c>
      <c r="C1947" s="7">
        <v>0</v>
      </c>
      <c r="D1947" s="7">
        <v>0</v>
      </c>
      <c r="E1947" s="7">
        <v>0</v>
      </c>
      <c r="F1947" s="8" t="s">
        <v>35</v>
      </c>
      <c r="G1947" s="8" t="s">
        <v>35</v>
      </c>
      <c r="H1947" t="str">
        <f t="shared" si="30"/>
        <v>YES</v>
      </c>
    </row>
    <row r="1948" spans="1:8" x14ac:dyDescent="0.2">
      <c r="A1948" s="6" t="s">
        <v>1962</v>
      </c>
      <c r="B1948" s="7">
        <v>164</v>
      </c>
      <c r="C1948" s="7">
        <v>0</v>
      </c>
      <c r="D1948" s="7">
        <v>0</v>
      </c>
      <c r="E1948" s="7">
        <v>0</v>
      </c>
      <c r="F1948" s="8" t="s">
        <v>35</v>
      </c>
      <c r="G1948" s="8" t="s">
        <v>35</v>
      </c>
      <c r="H1948" t="str">
        <f t="shared" si="30"/>
        <v>YES</v>
      </c>
    </row>
    <row r="1949" spans="1:8" x14ac:dyDescent="0.2">
      <c r="A1949" s="6" t="s">
        <v>1963</v>
      </c>
      <c r="B1949" s="7">
        <v>168</v>
      </c>
      <c r="C1949" s="7">
        <v>0</v>
      </c>
      <c r="D1949" s="7">
        <v>0</v>
      </c>
      <c r="E1949" s="7">
        <v>0</v>
      </c>
      <c r="F1949" s="8" t="s">
        <v>35</v>
      </c>
      <c r="G1949" s="8" t="s">
        <v>35</v>
      </c>
      <c r="H1949" t="str">
        <f t="shared" si="30"/>
        <v>YES</v>
      </c>
    </row>
    <row r="1950" spans="1:8" x14ac:dyDescent="0.2">
      <c r="A1950" s="6" t="s">
        <v>1964</v>
      </c>
      <c r="B1950" s="7">
        <v>171</v>
      </c>
      <c r="C1950" s="7">
        <v>0</v>
      </c>
      <c r="D1950" s="7">
        <v>0</v>
      </c>
      <c r="E1950" s="7">
        <v>0</v>
      </c>
      <c r="F1950" s="8" t="s">
        <v>35</v>
      </c>
      <c r="G1950" s="8" t="s">
        <v>35</v>
      </c>
      <c r="H1950" t="str">
        <f t="shared" si="30"/>
        <v>YES</v>
      </c>
    </row>
    <row r="1951" spans="1:8" x14ac:dyDescent="0.2">
      <c r="A1951" s="6" t="s">
        <v>1965</v>
      </c>
      <c r="B1951" s="7">
        <v>171</v>
      </c>
      <c r="C1951" s="7">
        <v>0</v>
      </c>
      <c r="D1951" s="7">
        <v>0</v>
      </c>
      <c r="E1951" s="7">
        <v>0</v>
      </c>
      <c r="F1951" s="8" t="s">
        <v>35</v>
      </c>
      <c r="G1951" s="8" t="s">
        <v>35</v>
      </c>
      <c r="H1951" t="str">
        <f t="shared" si="30"/>
        <v>YES</v>
      </c>
    </row>
    <row r="1952" spans="1:8" x14ac:dyDescent="0.2">
      <c r="A1952" s="6" t="s">
        <v>1966</v>
      </c>
      <c r="B1952" s="7">
        <v>172</v>
      </c>
      <c r="C1952" s="7">
        <v>0</v>
      </c>
      <c r="D1952" s="7">
        <v>0</v>
      </c>
      <c r="E1952" s="7">
        <v>0</v>
      </c>
      <c r="F1952" s="8" t="s">
        <v>35</v>
      </c>
      <c r="G1952" s="8" t="s">
        <v>35</v>
      </c>
      <c r="H1952" t="str">
        <f t="shared" si="30"/>
        <v>YES</v>
      </c>
    </row>
    <row r="1953" spans="1:8" x14ac:dyDescent="0.2">
      <c r="A1953" s="6" t="s">
        <v>1967</v>
      </c>
      <c r="B1953" s="7">
        <v>174</v>
      </c>
      <c r="C1953" s="7">
        <v>0</v>
      </c>
      <c r="D1953" s="7">
        <v>0</v>
      </c>
      <c r="E1953" s="7">
        <v>0</v>
      </c>
      <c r="F1953" s="8" t="s">
        <v>35</v>
      </c>
      <c r="G1953" s="8" t="s">
        <v>35</v>
      </c>
      <c r="H1953" t="str">
        <f t="shared" si="30"/>
        <v>YES</v>
      </c>
    </row>
    <row r="1954" spans="1:8" x14ac:dyDescent="0.2">
      <c r="A1954" s="6" t="s">
        <v>1968</v>
      </c>
      <c r="B1954" s="7">
        <v>177</v>
      </c>
      <c r="C1954" s="7">
        <v>0</v>
      </c>
      <c r="D1954" s="7">
        <v>0</v>
      </c>
      <c r="E1954" s="7">
        <v>0</v>
      </c>
      <c r="F1954" s="8" t="s">
        <v>35</v>
      </c>
      <c r="G1954" s="8" t="s">
        <v>35</v>
      </c>
      <c r="H1954" t="str">
        <f t="shared" si="30"/>
        <v>YES</v>
      </c>
    </row>
    <row r="1955" spans="1:8" x14ac:dyDescent="0.2">
      <c r="A1955" s="6" t="s">
        <v>1969</v>
      </c>
      <c r="B1955" s="7">
        <v>177</v>
      </c>
      <c r="C1955" s="7">
        <v>0</v>
      </c>
      <c r="D1955" s="7">
        <v>0</v>
      </c>
      <c r="E1955" s="7">
        <v>0</v>
      </c>
      <c r="F1955" s="8" t="s">
        <v>35</v>
      </c>
      <c r="G1955" s="8" t="s">
        <v>35</v>
      </c>
      <c r="H1955" t="str">
        <f t="shared" si="30"/>
        <v>YES</v>
      </c>
    </row>
    <row r="1956" spans="1:8" x14ac:dyDescent="0.2">
      <c r="A1956" s="6" t="s">
        <v>1970</v>
      </c>
      <c r="B1956" s="7">
        <v>181</v>
      </c>
      <c r="C1956" s="7">
        <v>0</v>
      </c>
      <c r="D1956" s="7">
        <v>0</v>
      </c>
      <c r="E1956" s="7">
        <v>0</v>
      </c>
      <c r="F1956" s="8" t="s">
        <v>35</v>
      </c>
      <c r="G1956" s="8" t="s">
        <v>35</v>
      </c>
      <c r="H1956" t="str">
        <f t="shared" si="30"/>
        <v>YES</v>
      </c>
    </row>
    <row r="1957" spans="1:8" x14ac:dyDescent="0.2">
      <c r="A1957" s="6" t="s">
        <v>1971</v>
      </c>
      <c r="B1957" s="7">
        <v>185</v>
      </c>
      <c r="C1957" s="7">
        <v>0</v>
      </c>
      <c r="D1957" s="7">
        <v>0</v>
      </c>
      <c r="E1957" s="7">
        <v>0</v>
      </c>
      <c r="F1957" s="8" t="s">
        <v>35</v>
      </c>
      <c r="G1957" s="8" t="s">
        <v>35</v>
      </c>
      <c r="H1957" t="str">
        <f t="shared" si="30"/>
        <v>YES</v>
      </c>
    </row>
    <row r="1958" spans="1:8" x14ac:dyDescent="0.2">
      <c r="A1958" s="6" t="s">
        <v>1972</v>
      </c>
      <c r="B1958" s="7">
        <v>189</v>
      </c>
      <c r="C1958" s="7">
        <v>0</v>
      </c>
      <c r="D1958" s="7">
        <v>0</v>
      </c>
      <c r="E1958" s="7">
        <v>0</v>
      </c>
      <c r="F1958" s="8" t="s">
        <v>35</v>
      </c>
      <c r="G1958" s="8" t="s">
        <v>35</v>
      </c>
      <c r="H1958" t="str">
        <f t="shared" si="30"/>
        <v>YES</v>
      </c>
    </row>
    <row r="1959" spans="1:8" x14ac:dyDescent="0.2">
      <c r="A1959" s="6" t="s">
        <v>1973</v>
      </c>
      <c r="B1959" s="7">
        <v>190</v>
      </c>
      <c r="C1959" s="7">
        <v>0</v>
      </c>
      <c r="D1959" s="7">
        <v>0</v>
      </c>
      <c r="E1959" s="7">
        <v>0</v>
      </c>
      <c r="F1959" s="8" t="s">
        <v>35</v>
      </c>
      <c r="G1959" s="8" t="s">
        <v>35</v>
      </c>
      <c r="H1959" t="str">
        <f t="shared" si="30"/>
        <v>YES</v>
      </c>
    </row>
    <row r="1960" spans="1:8" x14ac:dyDescent="0.2">
      <c r="A1960" s="6" t="s">
        <v>1974</v>
      </c>
      <c r="B1960" s="7">
        <v>191</v>
      </c>
      <c r="C1960" s="7">
        <v>0</v>
      </c>
      <c r="D1960" s="7">
        <v>0</v>
      </c>
      <c r="E1960" s="7">
        <v>0</v>
      </c>
      <c r="F1960" s="8" t="s">
        <v>35</v>
      </c>
      <c r="G1960" s="8" t="s">
        <v>35</v>
      </c>
      <c r="H1960" t="str">
        <f t="shared" si="30"/>
        <v>YES</v>
      </c>
    </row>
    <row r="1961" spans="1:8" x14ac:dyDescent="0.2">
      <c r="A1961" s="6" t="s">
        <v>1975</v>
      </c>
      <c r="B1961" s="7">
        <v>193</v>
      </c>
      <c r="C1961" s="7">
        <v>0</v>
      </c>
      <c r="D1961" s="7">
        <v>0</v>
      </c>
      <c r="E1961" s="7">
        <v>0</v>
      </c>
      <c r="F1961" s="8" t="s">
        <v>35</v>
      </c>
      <c r="G1961" s="8" t="s">
        <v>35</v>
      </c>
      <c r="H1961" t="str">
        <f t="shared" si="30"/>
        <v>YES</v>
      </c>
    </row>
    <row r="1962" spans="1:8" x14ac:dyDescent="0.2">
      <c r="A1962" s="6" t="s">
        <v>1976</v>
      </c>
      <c r="B1962" s="7">
        <v>198</v>
      </c>
      <c r="C1962" s="7">
        <v>0</v>
      </c>
      <c r="D1962" s="7">
        <v>0</v>
      </c>
      <c r="E1962" s="7">
        <v>0</v>
      </c>
      <c r="F1962" s="8" t="s">
        <v>35</v>
      </c>
      <c r="G1962" s="8" t="s">
        <v>35</v>
      </c>
      <c r="H1962" t="str">
        <f t="shared" si="30"/>
        <v>YES</v>
      </c>
    </row>
    <row r="1963" spans="1:8" x14ac:dyDescent="0.2">
      <c r="A1963" s="6" t="s">
        <v>1977</v>
      </c>
      <c r="B1963" s="7">
        <v>201</v>
      </c>
      <c r="C1963" s="7">
        <v>0</v>
      </c>
      <c r="D1963" s="7">
        <v>0</v>
      </c>
      <c r="E1963" s="7">
        <v>0</v>
      </c>
      <c r="F1963" s="8" t="s">
        <v>35</v>
      </c>
      <c r="G1963" s="8" t="s">
        <v>35</v>
      </c>
      <c r="H1963" t="str">
        <f t="shared" si="30"/>
        <v>YES</v>
      </c>
    </row>
    <row r="1964" spans="1:8" x14ac:dyDescent="0.2">
      <c r="A1964" s="6" t="s">
        <v>1978</v>
      </c>
      <c r="B1964" s="7">
        <v>207</v>
      </c>
      <c r="C1964" s="7">
        <v>0</v>
      </c>
      <c r="D1964" s="7">
        <v>0</v>
      </c>
      <c r="E1964" s="7">
        <v>0</v>
      </c>
      <c r="F1964" s="8" t="s">
        <v>35</v>
      </c>
      <c r="G1964" s="8" t="s">
        <v>35</v>
      </c>
      <c r="H1964" t="str">
        <f t="shared" si="30"/>
        <v>YES</v>
      </c>
    </row>
    <row r="1965" spans="1:8" x14ac:dyDescent="0.2">
      <c r="A1965" s="6" t="s">
        <v>1979</v>
      </c>
      <c r="B1965" s="7">
        <v>208</v>
      </c>
      <c r="C1965" s="7">
        <v>0</v>
      </c>
      <c r="D1965" s="7">
        <v>0</v>
      </c>
      <c r="E1965" s="7">
        <v>0</v>
      </c>
      <c r="F1965" s="8" t="s">
        <v>35</v>
      </c>
      <c r="G1965" s="8" t="s">
        <v>35</v>
      </c>
      <c r="H1965" t="str">
        <f t="shared" si="30"/>
        <v>YES</v>
      </c>
    </row>
    <row r="1966" spans="1:8" x14ac:dyDescent="0.2">
      <c r="A1966" s="6" t="s">
        <v>1980</v>
      </c>
      <c r="B1966" s="7">
        <v>210</v>
      </c>
      <c r="C1966" s="7">
        <v>0</v>
      </c>
      <c r="D1966" s="7">
        <v>0</v>
      </c>
      <c r="E1966" s="7">
        <v>0</v>
      </c>
      <c r="F1966" s="8" t="s">
        <v>35</v>
      </c>
      <c r="G1966" s="8" t="s">
        <v>35</v>
      </c>
      <c r="H1966" t="str">
        <f t="shared" si="30"/>
        <v>YES</v>
      </c>
    </row>
    <row r="1967" spans="1:8" x14ac:dyDescent="0.2">
      <c r="A1967" s="6" t="s">
        <v>1981</v>
      </c>
      <c r="B1967" s="7">
        <v>217</v>
      </c>
      <c r="C1967" s="7">
        <v>0</v>
      </c>
      <c r="D1967" s="7">
        <v>0</v>
      </c>
      <c r="E1967" s="7">
        <v>0</v>
      </c>
      <c r="F1967" s="8" t="s">
        <v>35</v>
      </c>
      <c r="G1967" s="8" t="s">
        <v>35</v>
      </c>
      <c r="H1967" t="str">
        <f t="shared" si="30"/>
        <v>YES</v>
      </c>
    </row>
    <row r="1968" spans="1:8" x14ac:dyDescent="0.2">
      <c r="A1968" s="6" t="s">
        <v>1982</v>
      </c>
      <c r="B1968" s="7">
        <v>219</v>
      </c>
      <c r="C1968" s="7">
        <v>0</v>
      </c>
      <c r="D1968" s="7">
        <v>0</v>
      </c>
      <c r="E1968" s="7">
        <v>0</v>
      </c>
      <c r="F1968" s="8" t="s">
        <v>35</v>
      </c>
      <c r="G1968" s="8" t="s">
        <v>35</v>
      </c>
      <c r="H1968" t="str">
        <f t="shared" si="30"/>
        <v>YES</v>
      </c>
    </row>
    <row r="1969" spans="1:8" x14ac:dyDescent="0.2">
      <c r="A1969" s="6" t="s">
        <v>1983</v>
      </c>
      <c r="B1969" s="7">
        <v>228</v>
      </c>
      <c r="C1969" s="7">
        <v>0</v>
      </c>
      <c r="D1969" s="7">
        <v>0</v>
      </c>
      <c r="E1969" s="7">
        <v>0</v>
      </c>
      <c r="F1969" s="8" t="s">
        <v>35</v>
      </c>
      <c r="G1969" s="8" t="s">
        <v>35</v>
      </c>
      <c r="H1969" t="str">
        <f t="shared" si="30"/>
        <v>YES</v>
      </c>
    </row>
    <row r="1970" spans="1:8" x14ac:dyDescent="0.2">
      <c r="A1970" s="6" t="s">
        <v>1984</v>
      </c>
      <c r="B1970" s="7">
        <v>232</v>
      </c>
      <c r="C1970" s="7">
        <v>0</v>
      </c>
      <c r="D1970" s="7">
        <v>0</v>
      </c>
      <c r="E1970" s="7">
        <v>0</v>
      </c>
      <c r="F1970" s="8" t="s">
        <v>35</v>
      </c>
      <c r="G1970" s="8" t="s">
        <v>35</v>
      </c>
      <c r="H1970" t="str">
        <f t="shared" si="30"/>
        <v>YES</v>
      </c>
    </row>
    <row r="1971" spans="1:8" x14ac:dyDescent="0.2">
      <c r="A1971" s="6" t="s">
        <v>1985</v>
      </c>
      <c r="B1971" s="7">
        <v>232</v>
      </c>
      <c r="C1971" s="7">
        <v>0</v>
      </c>
      <c r="D1971" s="7">
        <v>0</v>
      </c>
      <c r="E1971" s="7">
        <v>0</v>
      </c>
      <c r="F1971" s="8" t="s">
        <v>35</v>
      </c>
      <c r="G1971" s="8" t="s">
        <v>35</v>
      </c>
      <c r="H1971" t="str">
        <f t="shared" si="30"/>
        <v>YES</v>
      </c>
    </row>
    <row r="1972" spans="1:8" x14ac:dyDescent="0.2">
      <c r="A1972" s="6" t="s">
        <v>1986</v>
      </c>
      <c r="B1972" s="7">
        <v>239</v>
      </c>
      <c r="C1972" s="7">
        <v>0</v>
      </c>
      <c r="D1972" s="7">
        <v>0</v>
      </c>
      <c r="E1972" s="7">
        <v>0</v>
      </c>
      <c r="F1972" s="8" t="s">
        <v>35</v>
      </c>
      <c r="G1972" s="8" t="s">
        <v>35</v>
      </c>
      <c r="H1972" t="str">
        <f t="shared" si="30"/>
        <v>YES</v>
      </c>
    </row>
    <row r="1973" spans="1:8" x14ac:dyDescent="0.2">
      <c r="A1973" s="6" t="s">
        <v>1987</v>
      </c>
      <c r="B1973" s="7">
        <v>241</v>
      </c>
      <c r="C1973" s="7">
        <v>0</v>
      </c>
      <c r="D1973" s="7">
        <v>0</v>
      </c>
      <c r="E1973" s="7">
        <v>0</v>
      </c>
      <c r="F1973" s="8" t="s">
        <v>35</v>
      </c>
      <c r="G1973" s="8" t="s">
        <v>35</v>
      </c>
      <c r="H1973" t="str">
        <f t="shared" si="30"/>
        <v>YES</v>
      </c>
    </row>
    <row r="1974" spans="1:8" x14ac:dyDescent="0.2">
      <c r="A1974" s="6" t="s">
        <v>1988</v>
      </c>
      <c r="B1974" s="7">
        <v>241</v>
      </c>
      <c r="C1974" s="7">
        <v>0</v>
      </c>
      <c r="D1974" s="7">
        <v>0</v>
      </c>
      <c r="E1974" s="7">
        <v>0</v>
      </c>
      <c r="F1974" s="8" t="s">
        <v>35</v>
      </c>
      <c r="G1974" s="8" t="s">
        <v>35</v>
      </c>
      <c r="H1974" t="str">
        <f t="shared" si="30"/>
        <v>YES</v>
      </c>
    </row>
    <row r="1975" spans="1:8" x14ac:dyDescent="0.2">
      <c r="A1975" s="6" t="s">
        <v>1989</v>
      </c>
      <c r="B1975" s="7">
        <v>252</v>
      </c>
      <c r="C1975" s="7">
        <v>0</v>
      </c>
      <c r="D1975" s="7">
        <v>0</v>
      </c>
      <c r="E1975" s="7">
        <v>0</v>
      </c>
      <c r="F1975" s="8" t="s">
        <v>35</v>
      </c>
      <c r="G1975" s="8" t="s">
        <v>35</v>
      </c>
      <c r="H1975" t="str">
        <f t="shared" si="30"/>
        <v>YES</v>
      </c>
    </row>
    <row r="1976" spans="1:8" x14ac:dyDescent="0.2">
      <c r="A1976" s="6" t="s">
        <v>1990</v>
      </c>
      <c r="B1976" s="7">
        <v>253</v>
      </c>
      <c r="C1976" s="7">
        <v>0</v>
      </c>
      <c r="D1976" s="7">
        <v>0</v>
      </c>
      <c r="E1976" s="7">
        <v>0</v>
      </c>
      <c r="F1976" s="8" t="s">
        <v>35</v>
      </c>
      <c r="G1976" s="8" t="s">
        <v>35</v>
      </c>
      <c r="H1976" t="str">
        <f t="shared" si="30"/>
        <v>YES</v>
      </c>
    </row>
    <row r="1977" spans="1:8" x14ac:dyDescent="0.2">
      <c r="A1977" s="6" t="s">
        <v>1991</v>
      </c>
      <c r="B1977" s="7">
        <v>267</v>
      </c>
      <c r="C1977" s="7">
        <v>0</v>
      </c>
      <c r="D1977" s="7">
        <v>0</v>
      </c>
      <c r="E1977" s="7">
        <v>0</v>
      </c>
      <c r="F1977" s="8" t="s">
        <v>35</v>
      </c>
      <c r="G1977" s="8" t="s">
        <v>35</v>
      </c>
      <c r="H1977" t="str">
        <f t="shared" si="30"/>
        <v>YES</v>
      </c>
    </row>
    <row r="1978" spans="1:8" x14ac:dyDescent="0.2">
      <c r="A1978" s="6" t="s">
        <v>1992</v>
      </c>
      <c r="B1978" s="7">
        <v>275</v>
      </c>
      <c r="C1978" s="7">
        <v>0</v>
      </c>
      <c r="D1978" s="7">
        <v>0</v>
      </c>
      <c r="E1978" s="7">
        <v>0</v>
      </c>
      <c r="F1978" s="8" t="s">
        <v>35</v>
      </c>
      <c r="G1978" s="8" t="s">
        <v>35</v>
      </c>
      <c r="H1978" t="str">
        <f t="shared" si="30"/>
        <v>YES</v>
      </c>
    </row>
    <row r="1979" spans="1:8" x14ac:dyDescent="0.2">
      <c r="A1979" s="6" t="s">
        <v>1993</v>
      </c>
      <c r="B1979" s="7">
        <v>276</v>
      </c>
      <c r="C1979" s="7">
        <v>0</v>
      </c>
      <c r="D1979" s="7">
        <v>0</v>
      </c>
      <c r="E1979" s="7">
        <v>0</v>
      </c>
      <c r="F1979" s="8" t="s">
        <v>35</v>
      </c>
      <c r="G1979" s="8" t="s">
        <v>35</v>
      </c>
      <c r="H1979" t="str">
        <f t="shared" si="30"/>
        <v>YES</v>
      </c>
    </row>
    <row r="1980" spans="1:8" x14ac:dyDescent="0.2">
      <c r="A1980" s="6" t="s">
        <v>1994</v>
      </c>
      <c r="B1980" s="7">
        <v>281</v>
      </c>
      <c r="C1980" s="7">
        <v>0</v>
      </c>
      <c r="D1980" s="7">
        <v>0</v>
      </c>
      <c r="E1980" s="7">
        <v>0</v>
      </c>
      <c r="F1980" s="8" t="s">
        <v>35</v>
      </c>
      <c r="G1980" s="8" t="s">
        <v>35</v>
      </c>
      <c r="H1980" t="str">
        <f t="shared" si="30"/>
        <v>YES</v>
      </c>
    </row>
    <row r="1981" spans="1:8" x14ac:dyDescent="0.2">
      <c r="A1981" s="6" t="s">
        <v>1995</v>
      </c>
      <c r="B1981" s="7">
        <v>282</v>
      </c>
      <c r="C1981" s="7">
        <v>0</v>
      </c>
      <c r="D1981" s="7">
        <v>0</v>
      </c>
      <c r="E1981" s="7">
        <v>0</v>
      </c>
      <c r="F1981" s="8" t="s">
        <v>35</v>
      </c>
      <c r="G1981" s="8" t="s">
        <v>35</v>
      </c>
      <c r="H1981" t="str">
        <f t="shared" si="30"/>
        <v>YES</v>
      </c>
    </row>
    <row r="1982" spans="1:8" x14ac:dyDescent="0.2">
      <c r="A1982" s="6" t="s">
        <v>1996</v>
      </c>
      <c r="B1982" s="7">
        <v>292</v>
      </c>
      <c r="C1982" s="7">
        <v>0</v>
      </c>
      <c r="D1982" s="7">
        <v>0</v>
      </c>
      <c r="E1982" s="7">
        <v>0</v>
      </c>
      <c r="F1982" s="8" t="s">
        <v>35</v>
      </c>
      <c r="G1982" s="8" t="s">
        <v>35</v>
      </c>
      <c r="H1982" t="str">
        <f t="shared" si="30"/>
        <v>YES</v>
      </c>
    </row>
    <row r="1983" spans="1:8" x14ac:dyDescent="0.2">
      <c r="A1983" s="6" t="s">
        <v>1997</v>
      </c>
      <c r="B1983" s="7">
        <v>296</v>
      </c>
      <c r="C1983" s="7">
        <v>0</v>
      </c>
      <c r="D1983" s="7">
        <v>0</v>
      </c>
      <c r="E1983" s="7">
        <v>0</v>
      </c>
      <c r="F1983" s="8" t="s">
        <v>35</v>
      </c>
      <c r="G1983" s="8" t="s">
        <v>35</v>
      </c>
      <c r="H1983" t="str">
        <f t="shared" si="30"/>
        <v>YES</v>
      </c>
    </row>
    <row r="1984" spans="1:8" x14ac:dyDescent="0.2">
      <c r="A1984" s="6" t="s">
        <v>1998</v>
      </c>
      <c r="B1984" s="7">
        <v>345</v>
      </c>
      <c r="C1984" s="7">
        <v>0</v>
      </c>
      <c r="D1984" s="7">
        <v>0</v>
      </c>
      <c r="E1984" s="7">
        <v>0</v>
      </c>
      <c r="F1984" s="8" t="s">
        <v>35</v>
      </c>
      <c r="G1984" s="8" t="s">
        <v>35</v>
      </c>
      <c r="H1984" t="str">
        <f t="shared" si="30"/>
        <v>YES</v>
      </c>
    </row>
    <row r="1985" spans="1:8" x14ac:dyDescent="0.2">
      <c r="A1985" s="6" t="s">
        <v>1999</v>
      </c>
      <c r="B1985" s="7">
        <v>365</v>
      </c>
      <c r="C1985" s="7">
        <v>0</v>
      </c>
      <c r="D1985" s="7">
        <v>0</v>
      </c>
      <c r="E1985" s="7">
        <v>0</v>
      </c>
      <c r="F1985" s="8" t="s">
        <v>35</v>
      </c>
      <c r="G1985" s="8" t="s">
        <v>35</v>
      </c>
      <c r="H1985" t="str">
        <f t="shared" si="30"/>
        <v>YES</v>
      </c>
    </row>
    <row r="1986" spans="1:8" x14ac:dyDescent="0.2">
      <c r="A1986" s="6" t="s">
        <v>2000</v>
      </c>
      <c r="B1986" s="7">
        <v>370</v>
      </c>
      <c r="C1986" s="7">
        <v>0</v>
      </c>
      <c r="D1986" s="7">
        <v>0</v>
      </c>
      <c r="E1986" s="7">
        <v>0</v>
      </c>
      <c r="F1986" s="8" t="s">
        <v>35</v>
      </c>
      <c r="G1986" s="8" t="s">
        <v>35</v>
      </c>
      <c r="H1986" t="str">
        <f t="shared" si="30"/>
        <v>YES</v>
      </c>
    </row>
    <row r="1987" spans="1:8" x14ac:dyDescent="0.2">
      <c r="A1987" s="6" t="s">
        <v>2001</v>
      </c>
      <c r="B1987" s="7">
        <v>396</v>
      </c>
      <c r="C1987" s="7">
        <v>0</v>
      </c>
      <c r="D1987" s="7">
        <v>0</v>
      </c>
      <c r="E1987" s="7">
        <v>0</v>
      </c>
      <c r="F1987" s="8" t="s">
        <v>35</v>
      </c>
      <c r="G1987" s="8" t="s">
        <v>35</v>
      </c>
      <c r="H1987" t="str">
        <f t="shared" si="30"/>
        <v>YES</v>
      </c>
    </row>
    <row r="1988" spans="1:8" x14ac:dyDescent="0.2">
      <c r="A1988" s="6" t="s">
        <v>2002</v>
      </c>
      <c r="B1988" s="7">
        <v>424</v>
      </c>
      <c r="C1988" s="7">
        <v>0</v>
      </c>
      <c r="D1988" s="7">
        <v>0</v>
      </c>
      <c r="E1988" s="7">
        <v>0</v>
      </c>
      <c r="F1988" s="8" t="s">
        <v>35</v>
      </c>
      <c r="G1988" s="8" t="s">
        <v>35</v>
      </c>
      <c r="H1988" t="str">
        <f t="shared" si="30"/>
        <v>YES</v>
      </c>
    </row>
    <row r="1989" spans="1:8" x14ac:dyDescent="0.2">
      <c r="A1989" s="6" t="s">
        <v>2003</v>
      </c>
      <c r="B1989" s="7">
        <v>439</v>
      </c>
      <c r="C1989" s="7">
        <v>0</v>
      </c>
      <c r="D1989" s="7">
        <v>0</v>
      </c>
      <c r="E1989" s="7">
        <v>0</v>
      </c>
      <c r="F1989" s="8" t="s">
        <v>35</v>
      </c>
      <c r="G1989" s="8" t="s">
        <v>35</v>
      </c>
      <c r="H1989" t="str">
        <f t="shared" ref="H1989:H2052" si="31">IF(F1989=G1989,"YES","NO")</f>
        <v>YES</v>
      </c>
    </row>
    <row r="1990" spans="1:8" x14ac:dyDescent="0.2">
      <c r="A1990" s="6" t="s">
        <v>2004</v>
      </c>
      <c r="B1990" s="7">
        <v>485</v>
      </c>
      <c r="C1990" s="7">
        <v>0</v>
      </c>
      <c r="D1990" s="7">
        <v>0</v>
      </c>
      <c r="E1990" s="7">
        <v>0</v>
      </c>
      <c r="F1990" s="8" t="s">
        <v>35</v>
      </c>
      <c r="G1990" s="8" t="s">
        <v>35</v>
      </c>
      <c r="H1990" t="str">
        <f t="shared" si="31"/>
        <v>YES</v>
      </c>
    </row>
    <row r="1991" spans="1:8" x14ac:dyDescent="0.2">
      <c r="A1991" s="6" t="s">
        <v>2005</v>
      </c>
      <c r="B1991" s="7">
        <v>497</v>
      </c>
      <c r="C1991" s="7">
        <v>0</v>
      </c>
      <c r="D1991" s="7">
        <v>0</v>
      </c>
      <c r="E1991" s="7">
        <v>0</v>
      </c>
      <c r="F1991" s="8" t="s">
        <v>35</v>
      </c>
      <c r="G1991" s="8" t="s">
        <v>35</v>
      </c>
      <c r="H1991" t="str">
        <f t="shared" si="31"/>
        <v>YES</v>
      </c>
    </row>
    <row r="1992" spans="1:8" x14ac:dyDescent="0.2">
      <c r="A1992" s="6" t="s">
        <v>2006</v>
      </c>
      <c r="B1992" s="7">
        <v>544</v>
      </c>
      <c r="C1992" s="7">
        <v>0</v>
      </c>
      <c r="D1992" s="7">
        <v>0</v>
      </c>
      <c r="E1992" s="7">
        <v>0</v>
      </c>
      <c r="F1992" s="8" t="s">
        <v>35</v>
      </c>
      <c r="G1992" s="8" t="s">
        <v>35</v>
      </c>
      <c r="H1992" t="str">
        <f t="shared" si="31"/>
        <v>YES</v>
      </c>
    </row>
    <row r="1993" spans="1:8" x14ac:dyDescent="0.2">
      <c r="A1993" s="6" t="s">
        <v>2007</v>
      </c>
      <c r="B1993" s="7">
        <v>553</v>
      </c>
      <c r="C1993" s="7">
        <v>0</v>
      </c>
      <c r="D1993" s="7">
        <v>0</v>
      </c>
      <c r="E1993" s="7">
        <v>0</v>
      </c>
      <c r="F1993" s="8" t="s">
        <v>35</v>
      </c>
      <c r="G1993" s="8" t="s">
        <v>35</v>
      </c>
      <c r="H1993" t="str">
        <f t="shared" si="31"/>
        <v>YES</v>
      </c>
    </row>
    <row r="1994" spans="1:8" x14ac:dyDescent="0.2">
      <c r="A1994" s="6" t="s">
        <v>2008</v>
      </c>
      <c r="B1994" s="7">
        <v>571</v>
      </c>
      <c r="C1994" s="7">
        <v>0</v>
      </c>
      <c r="D1994" s="7">
        <v>0</v>
      </c>
      <c r="E1994" s="7">
        <v>0</v>
      </c>
      <c r="F1994" s="8" t="s">
        <v>35</v>
      </c>
      <c r="G1994" s="8" t="s">
        <v>35</v>
      </c>
      <c r="H1994" t="str">
        <f t="shared" si="31"/>
        <v>YES</v>
      </c>
    </row>
  </sheetData>
  <dataValidations count="1">
    <dataValidation type="list"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505 F506 F507 F508 F509 F510 F511 F512 F513 F514 F515 F516 F517 F518 F519 F520 F521 F522 F523 F524 F525 F526 F527 F528 F529 F530 F531 F532 F533 F534 F535 F536 F537 F538 F539 F540 F541 F542 F543 F544 F545 F546 F547 F548 F549 F550 F551 F552 F553 F554 F555 F556 F557 F558 F559 F560 F561 F562 F563 F564 F565 F566 F567 F568 F569 F570 F571 F572 F573 F574 F575 F576 F577 F578 F579 F580 F581 F582 F583 F584 F585 F586 F587 F588 F589 F590 F591 F592 F593 F594 F595 F596 F597 F598 F599 F600 F601 F602 F603 F604 F605 F606 F607 F608 F609 F610 F611 F612 F613 F614 F615 F616 F617 F618 F619 F620 F621 F622 F623 F624 F625 F626 F627 F628 F629 F630 F631 F632 F633 F634 F635 F636 F637 F638 F639 F640 F641 F642 F643 F644 F645 F646 F647 F648 F649 F650 F651 F652 F653 F654 F655 F656 F657 F658 F659 F660 F661 F662 F663 F664 F665 F666 F667 F668 F669 F670 F671 F672 F673 F674 F675 F676 F677 F678 F679 F680 F681 F682 F683 F684 F685 F686 F687 F688 F689 F690 F691 F692 F693 F694 F695 F696 F697 F698 F699 F700 F701 F702 F703 F704 F705 F706 F707 F708 F709 F710 F711 F712 F713 F714 F715 F716 F717 F718 F719 F720 F721 F722 F723 F724 F725 F726 F727 F728 F729 F730 F731 F732 F733 F734 F735 F736 F737 F738 F739 F740 F741 F742 F743 F744 F745 F746 F747 F748 F749 F750 F751 F752 F753 F754 F755 F756 F757 F758 F759 F760 F761 F762 F763 F764 F765 F766 F767 F768 F769 F770 F771 F772 F773 F774 F775 F776 F777 F778 F779 F780 F781 F782 F783 F784 F785 F786 F787 F788 F789 F790 F791 F792 F793 F794 F795 F796 F797 F798 F799 F800 F801 F802 F803 F804 F805 F806 F807 F808 F809 F810 F811 F812 F813 F814 F815 F816 F817 F818 F819 F820 F821 F822 F823 F824 F825 F826 F827 F828 F829 F830 F831 F832 F833 F834 F835 F836 F837 F838 F839 F840 F841 F842 F843 F844 F845 F846 F847 F848 F849 F850 F851 F852 F853 F854 F855 F856 F857 F858 F859 F860 F861 F862 F863 F864 F865 F866 F867 F868 F869 F870 F871 F872 F873 F874 F875 F876 F877 F878 F879 F880 F881 F882 F883 F884 F885 F886 F887 F888 F889 F890 F891 F892 F893 F894 F895 F896 F897 F898 F899 F900 F901 F902 F903 F904 F905 F906 F907 F908 F909 F910 F911 F912 F913 F914 F915 F916 F917 F918 F919 F920 F921 F922 F923 F924 F925 F926 F927 F928 F929 F930 F931 F932 F933 F934 F935 F936 F937 F938 F939 F940 F941 F942 F943 F944 F945 F946 F947 F948 F949 F950 F951 F952 F953 F954 F955 F956 F957 F958 F959 F960 F961 F962 F963 F964 F965 F966 F967 F968 F969 F970 F971 F972 F973 F974 F975 F976 F977 F978 F979 F980 F981 F982 F983 F984 F985 F986 F987 F988 F989 F990 F991 F992 F993 F994 F995 F996 F997 F998 F999 F1000 F1001 F1002 F1003 F1004 F1005 F1006 F1007 F1008 F1009 F1010 F1011 F1012 F1013 F1014 F1015 F1016 F1017 F1018 F1019 F1020 F1021 F1022 F1023 F1024 F1025 F1026 F1027 F1028 F1029 F1030 F1031 F1032 F1033 F1034 F1035 F1036 F1037 F1038 F1039 F1040 F1041 F1042 F1043 F1044 F1045 F1046 F1047 F1048 F1049 F1050 F1051 F1052 F1053 F1054 F1055 F1056 F1057 F1058 F1059 F1060 F1061 F1062 F1063 F1064 F1065 F1066 F1067 F1068 F1069 F1070 F1071 F1072 F1073 F1074 F1075 F1076 F1077 F1078 F1079 F1080 F1081 F1082 F1083 F1084 F1085 F1086 F1087 F1088 F1089 F1090 F1091 F1092 F1093 F1094 F1095 F1096 F1097 F1098 F1099 F1100 F1101 F1102 F1103 F1104 F1105 F1106 F1107 F1108 F1109 F1110 F1111 F1112 F1113 F1114 F1115 F1116 F1117 F1118 F1119 F1120 F1121 F1122 F1123 F1124 F1125 F1126 F1127 F1128 F1129 F1130 F1131 F1132 F1133 F1134 F1135 F1136 F1137 F1138 F1139 F1140 F1141 F1142 F1143 F1144 F1145 F1146 F1147 F1148 F1149 F1150 F1151 F1152 F1153 F1154 F1155 F1156 F1157 F1158 F1159 F1160 F1161 F1162 F1163 F1164 F1165 F1166 F1167 F1168 F1169 F1170 F1171 F1172 F1173 F1174 F1175 F1176 F1177 F1178 F1179 F1180 F1181 F1182 F1183 F1184 F1185 F1186 F1187 F1188 F1189 F1190 F1191 F1192 F1193 F1194 F1195 F1196 F1197 F1198 F1199 F1200 F1201 F1202 F1203 F1204 F1205 F1206 F1207 F1208 F1209 F1210 F1211 F1212 F1213 F1214 F1215 F1216 F1217 F1218 F1219 F1220 F1221 F1222 F1223 F1224 F1225 F1226 F1227 F1228 F1229 F1230 F1231 F1232 F1233 F1234 F1235 F1236 F1237 F1238 F1239 F1240 F1241 F1242 F1243 F1244 F1245 F1246 F1247 F1248 F1249 F1250 F1251 F1252 F1253 F1254 F1255 F1256 F1257 F1258 F1259 F1260 F1261 F1262 F1263 F1264 F1265 F1266 F1267 F1268 F1269 F1270 F1271 F1272 F1273 F1274 F1275 F1276 F1277 F1278 F1279 F1280 F1281 F1282 F1283 F1284 F1285 F1286 F1287 F1288 F1289 F1290 F1291 F1292 F1293 F1294 F1295 F1296 F1297 F1298 F1299 F1300 F1301 F1302 F1303 F1304 F1305 F1306 F1307 F1308 F1309 F1310 F1311 F1312 F1313 F1314 F1315 F1316 F1317 F1318 F1319 F1320 F1321 F1322 F1323 F1324 F1325 F1326 F1327 F1328 F1329 F1330 F1331 F1332 F1333 F1334 F1335 F1336 F1337 F1338 F1339 F1340 F1341 F1342 F1343 F1344 F1345 F1346 F1347 F1348 F1349 F1350 F1351 F1352 F1353 F1354 F1355 F1356 F1357 F1358 F1359 F1360 F1361 F1362 F1363 F1364 F1365 F1366 F1367 F1368 F1369 F1370 F1371 F1372 F1373 F1374 F1375 F1376 F1377 F1378 F1379 F1380 F1381 F1382 F1383 F1384 F1385 F1386 F1387 F1388 F1389 F1390 F1391 F1392 F1393 F1394 F1395 F1396 F1397 F1398 F1399 F1400 F1401 F1402 F1403 F1404 F1405 F1406 F1407 F1408 F1409 F1410 F1411 F1412 F1413 F1414 F1415 F1416 F1417 F1418 F1419 F1420 F1421 F1422 F1423 F1424 F1425 F1426 F1427 F1428 F1429 F1430 F1431 F1432 F1433 F1434 F1435 F1436 F1437 F1438 F1439 F1440 F1441 F1442 F1443 F1444 F1445 F1446 F1447 F1448 F1449 F1450 F1451 F1452 F1453 F1454 F1455 F1456 F1457 F1458 F1459 F1460 F1461 F1462 F1463 F1464 F1465 F1466 F1467 F1468 F1469 F1470 F1471 F1472 F1473 F1474 F1475 F1476 F1477 F1478 F1479 F1480 F1481 F1482 F1483 F1484 F1485 F1486 F1487 F1488 F1489 F1490 F1491 F1492 F1493 F1494 F1495 F1496 F1497 F1498 F1499 F1500 F1501 F1502 F1503 F1504 F1505 F1506 F1507 F1508 F1509 F1510 F1511 F1512 F1513 F1514 F1515 F1516 F1517 F1518 F1519 F1520 F1521 F1522 F1523 F1524 F1525 F1526 F1527 F1528 F1529 F1530 F1531 F1532 F1533 F1534 F1535 F1536 F1537 F1538 F1539 F1540 F1541 F1542 F1543 F1544 F1545 F1546 F1547 F1548 F1549 F1550 F1551 F1552 F1553 F1554 F1555 F1556 F1557 F1558 F1559 F1560 F1561 F1562 F1563 F1564 F1565 F1566 F1567 F1568 F1569 F1570 F1571 F1572 F1573 F1574 F1575 F1576 F1577 F1578 F1579 F1580 F1581 F1582 F1583 F1584 F1585 F1586 F1587 F1588 F1589 F1590 F1591 F1592 F1593 F1594 F1595 F1596 F1597 F1598 F1599 F1600 F1601 F1602 F1603 F1604 F1605 F1606 F1607 F1608 F1609 F1610 F1611 F1612 F1613 F1614 F1615 F1616 F1617 F1618 F1619 F1620 F1621 F1622 F1623 F1624 F1625 F1626 F1627 F1628 F1629 F1630 F1631 F1632 F1633 F1634 F1635 F1636 F1637 F1638 F1639 F1640 F1641 F1642 F1643 F1644 F1645 F1646 F1647 F1648 F1649 F1650 F1651 F1652 F1653 F1654 F1655 F1656 F1657 F1658 F1659 F1660 F1661 F1662 F1663 F1664 F1665 F1666 F1667 F1668 F1669 F1670 F1671 F1672 F1673 F1674 F1675 F1676 F1677 F1678 F1679 F1680 F1681 F1682 F1683 F1684 F1685 F1686 F1687 F1688 F1689 F1690 F1691 F1692 F1693 F1694 F1695 F1696 F1697 F1698 F1699 F1700 F1701 F1702 F1703 F1704 F1705 F1706 F1707 F1708 F1709 F1710 F1711 F1712 F1713 F1714 F1715 F1716 F1717 F1718 F1719 F1720 F1721 F1722 F1723 F1724 F1725 F1726 F1727 F1728 F1729 F1730 F1731 F1732 F1733 F1734 F1735 F1736 F1737 F1738 F1739 F1740 F1741 F1742 F1743 F1744 F1745 F1746 F1747 F1748 F1749 F1750 F1751 F1752 F1753 F1754 F1755 F1756 F1757 F1758 F1759 F1760 F1761 F1762 F1763 F1764 F1765 F1766 F1767 F1768 F1769 F1770 F1771 F1772 F1773 F1774 F1775 F1776 F1777 F1778 F1779 F1780 F1781 F1782 F1783 F1784 F1785 F1786 F1787 F1788 F1789 F1790 F1791 F1792 F1793 F1794 F1795 F1796 F1797 F1798 F1799 F1800 F1801 F1802 F1803 F1804 F1805 F1806 F1807 F1808 F1809 F1810 F1811 F1812 F1813 F1814 F1815 F1816 F1817 F1818 F1819 F1820 F1821 F1822 F1823 F1824 F1825 F1826 F1827 F1828 F1829 F1830 F1831 F1832 F1833 F1834 F1835 F1836 F1837 F1838 F1839 F1840 F1841 F1842 F1843 F1844 F1845 F1846 F1847 F1848 F1849 F1850 F1851 F1852 F1853 F1854 F1855 F1856 F1857 F1858 F1859 F1860 F1861 F1862 F1863 F1864 F1865 F1866 F1867 F1868 F1869 F1870 F1871 F1872 F1873 F1874 F1875 F1876 F1877 F1878 F1879 F1880 F1881 F1882 F1883 F1884 F1885 F1886 F1887 F1888 F1889 F1890 F1891 F1892 F1893 F1894 F1895 F1896 F1897 F1898 F1899 F1900 F1901 F1902 F1903 F1904 F1905 F1906 F1907 F1908 F1909 F1910 F1911 F1912 F1913 F1914 F1915 F1916 F1917 F1918 F1919 F1920 F1921 F1922 F1923 F1924 F1925 F1926 F1927 F1928 F1929 F1930 F1931 F1932 F1933 F1934 F1935 F1936 F1937 F1938 F1939 F1940 F1941 F1942 F1943 F1944 F1945 F1946 F1947 F1948 F1949 F1950 F1951 F1952 F1953 F1954 F1955 F1956 F1957 F1958 F1959 F1960 F1961 F1962 F1963 F1964 F1965 F1966 F1967 F1968 F1969 F1970 F1971 F1972 F1973 F1974 F1975 F1976 F1977 F1978 F1979 F1980 F1981 F1982 F1983 F1984 F1985 F1986 F1987 F1988 F1989 F1990 F1991 F1992 F1993 F199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G1004 G1005 G1006 G1007 G1008 G1009 G1010 G1011 G1012 G1013 G1014 G1015 G1016 G1017 G1018 G1019 G1020 G1021 G1022 G1023 G1024 G1025 G1026 G1027 G1028 G1029 G1030 G1031 G1032 G1033 G1034 G1035 G1036 G1037 G1038 G1039 G1040 G1041 G1042 G1043 G1044 G1045 G1046 G1047 G1048 G1049 G1050 G1051 G1052 G1053 G1054 G1055 G1056 G1057 G1058 G1059 G1060 G1061 G1062 G1063 G1064 G1065 G1066 G1067 G1068 G1069 G1070 G1071 G1072 G1073 G1074 G1075 G1076 G1077 G1078 G1079 G1080 G1081 G1082 G1083 G1084 G1085 G1086 G1087 G1088 G1089 G1090 G1091 G1092 G1093 G1094 G1095 G1096 G1097 G1098 G1099 G1100 G1101 G1102 G1103 G1104 G1105 G1106 G1107 G1108 G1109 G1110 G1111 G1112 G1113 G1114 G1115 G1116 G1117 G1118 G1119 G1120 G1121 G1122 G1123 G1124 G1125 G1126 G1127 G1128 G1129 G1130 G1131 G1132 G1133 G1134 G1135 G1136 G1137 G1138 G1139 G1140 G1141 G1142 G1143 G1144 G1145 G1146 G1147 G1148 G1149 G1150 G1151 G1152 G1153 G1154 G1155 G1156 G1157 G1158 G1159 G1160 G1161 G1162 G1163 G1164 G1165 G1166 G1167 G1168 G1169 G1170 G1171 G1172 G1173 G1174 G1175 G1176 G1177 G1178 G1179 G1180 G1181 G1182 G1183 G1184 G1185 G1186 G1187 G1188 G1189 G1190 G1191 G1192 G1193 G1194 G1195 G1196 G1197 G1198 G1199 G1200 G1201 G1202 G1203 G1204 G1205 G1206 G1207 G1208 G1209 G1210 G1211 G1212 G1213 G1214 G1215 G1216 G1217 G1218 G1219 G1220 G1221 G1222 G1223 G1224 G1225 G1226 G1227 G1228 G1229 G1230 G1231 G1232 G1233 G1234 G1235 G1236 G1237 G1238 G1239 G1240 G1241 G1242 G1243 G1244 G1245 G1246 G1247 G1248 G1249 G1250 G1251 G1252 G1253 G1254 G1255 G1256 G1257 G1258 G1259 G1260 G1261 G1262 G1263 G1264 G1265 G1266 G1267 G1268 G1269 G1270 G1271 G1272 G1273 G1274 G1275 G1276 G1277 G1278 G1279 G1280 G1281 G1282 G1283 G1284 G1285 G1286 G1287 G1288 G1289 G1290 G1291 G1292 G1293 G1294 G1295 G1296 G1297 G1298 G1299 G1300 G1301 G1302 G1303 G1304 G1305 G1306 G1307 G1308 G1309 G1310 G1311 G1312 G1313 G1314 G1315 G1316 G1317 G1318 G1319 G1320 G1321 G1322 G1323 G1324 G1325 G1326 G1327 G1328 G1329 G1330 G1331 G1332 G1333 G1334 G1335 G1336 G1337 G1338 G1339 G1340 G1341 G1342 G1343 G1344 G1345 G1346 G1347 G1348 G1349 G1350 G1351 G1352 G1353 G1354 G1355 G1356 G1357 G1358 G1359 G1360 G1361 G1362 G1363 G1364 G1365 G1366 G1367 G1368 G1369 G1370 G1371 G1372 G1373 G1374 G1375 G1376 G1377 G1378 G1379 G1380 G1381 G1382 G1383 G1384 G1385 G1386 G1387 G1388 G1389 G1390 G1391 G1392 G1393 G1394 G1395 G1396 G1397 G1398 G1399 G1400 G1401 G1402 G1403 G1404 G1405 G1406 G1407 G1408 G1409 G1410 G1411 G1412 G1413 G1414 G1415 G1416 G1417 G1418 G1419 G1420 G1421 G1422 G1423 G1424 G1425 G1426 G1427 G1428 G1429 G1430 G1431 G1432 G1433 G1434 G1435 G1436 G1437 G1438 G1439 G1440 G1441 G1442 G1443 G1444 G1445 G1446 G1447 G1448 G1449 G1450 G1451 G1452 G1453 G1454 G1455 G1456 G1457 G1458 G1459 G1460 G1461 G1462 G1463 G1464 G1465 G1466 G1467 G1468 G1469 G1470 G1471 G1472 G1473 G1474 G1475 G1476 G1477 G1478 G1479 G1480 G1481 G1482 G1483 G1484 G1485 G1486 G1487 G1488 G1489 G1490 G1491 G1492 G1493 G1494 G1495 G1496 G1497 G1498 G1499 G1500 G1501 G1502 G1503 G1504 G1505 G1506 G1507 G1508 G1509 G1510 G1511 G1512 G1513 G1514 G1515 G1516 G1517 G1518 G1519 G1520 G1521 G1522 G1523 G1524 G1525 G1526 G1527 G1528 G1529 G1530 G1531 G1532 G1533 G1534 G1535 G1536 G1537 G1538 G1539 G1540 G1541 G1542 G1543 G1544 G1545 G1546 G1547 G1548 G1549 G1550 G1551 G1552 G1553 G1554 G1555 G1556 G1557 G1558 G1559 G1560 G1561 G1562 G1563 G1564 G1565 G1566 G1567 G1568 G1569 G1570 G1571 G1572 G1573 G1574 G1575 G1576 G1577 G1578 G1579 G1580 G1581 G1582 G1583 G1584 G1585 G1586 G1587 G1588 G1589 G1590 G1591 G1592 G1593 G1594 G1595 G1596 G1597 G1598 G1599 G1600 G1601 G1602 G1603 G1604 G1605 G1606 G1607 G1608 G1609 G1610 G1611 G1612 G1613 G1614 G1615 G1616 G1617 G1618 G1619 G1620 G1621 G1622 G1623 G1624 G1625 G1626 G1627 G1628 G1629 G1630 G1631 G1632 G1633 G1634 G1635 G1636 G1637 G1638 G1639 G1640 G1641 G1642 G1643 G1644 G1645 G1646 G1647 G1648 G1649 G1650 G1651 G1652 G1653 G1654 G1655 G1656 G1657 G1658 G1659 G1660 G1661 G1662 G1663 G1664 G1665 G1666 G1667 G1668 G1669 G1670 G1671 G1672 G1673 G1674 G1675 G1676 G1677 G1678 G1679 G1680 G1681 G1682 G1683 G1684 G1685 G1686 G1687 G1688 G1689 G1690 G1691 G1692 G1693 G1694 G1695 G1696 G1697 G1698 G1699 G1700 G1701 G1702 G1703 G1704 G1705 G1706 G1707 G1708 G1709 G1710 G1711 G1712 G1713 G1714 G1715 G1716 G1717 G1718 G1719 G1720 G1721 G1722 G1723 G1724 G1725 G1726 G1727 G1728 G1729 G1730 G1731 G1732 G1733 G1734 G1735 G1736 G1737 G1738 G1739 G1740 G1741 G1742 G1743 G1744 G1745 G1746 G1747 G1748 G1749 G1750 G1751 G1752 G1753 G1754 G1755 G1756 G1757 G1758 G1759 G1760 G1761 G1762 G1763 G1764 G1765 G1766 G1767 G1768 G1769 G1770 G1771 G1772 G1773 G1774 G1775 G1776 G1777 G1778 G1779 G1780 G1781 G1782 G1783 G1784 G1785 G1786 G1787 G1788 G1789 G1790 G1791 G1792 G1793 G1794 G1795 G1796 G1797 G1798 G1799 G1800 G1801 G1802 G1803 G1804 G1805 G1806 G1807 G1808 G1809 G1810 G1811 G1812 G1813 G1814 G1815 G1816 G1817 G1818 G1819 G1820 G1821 G1822 G1823 G1824 G1825 G1826 G1827 G1828 G1829 G1830 G1831 G1832 G1833 G1834 G1835 G1836 G1837 G1838 G1839 G1840 G1841 G1842 G1843 G1844 G1845 G1846 G1847 G1848 G1849 G1850 G1851 G1852 G1853 G1854 G1855 G1856 G1857 G1858 G1859 G1860 G1861 G1862 G1863 G1864 G1865 G1866 G1867 G1868 G1869 G1870 G1871 G1872 G1873 G1874 G1875 G1876 G1877 G1878 G1879 G1880 G1881 G1882 G1883 G1884 G1885 G1886 G1887 G1888 G1889 G1890 G1891 G1892 G1893 G1894 G1895 G1896 G1897 G1898 G1899 G1900 G1901 G1902 G1903 G1904 G1905 G1906 G1907 G1908 G1909 G1910 G1911 G1912 G1913 G1914 G1915 G1916 G1917 G1918 G1919 G1920 G1921 G1922 G1923 G1924 G1925 G1926 G1927 G1928 G1929 G1930 G1931 G1932 G1933 G1934 G1935 G1936 G1937 G1938 G1939 G1940 G1941 G1942 G1943 G1944 G1945 G1946 G1947 G1948 G1949 G1950 G1951 G1952 G1953 G1954 G1955 G1956 G1957 G1958 G1959 G1960 G1961 G1962 G1963 G1964 G1965 G1966 G1967 G1968 G1969 G1970 G1971 G1972 G1973 G1974 G1975 G1976 G1977 G1978 G1979 G1980 G1981 G1982 G1983 G1984 G1985 G1986 G1987 G1988 G1989 G1990 G1991 G1992 G1993 G1994" xr:uid="{00000000-0002-0000-0100-000000000000}">
      <formula1>"High,Medium,Low"</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44"/>
  <sheetViews>
    <sheetView workbookViewId="0">
      <selection activeCell="F24" sqref="F24"/>
    </sheetView>
  </sheetViews>
  <sheetFormatPr baseColWidth="10" defaultColWidth="8.83203125" defaultRowHeight="15" x14ac:dyDescent="0.2"/>
  <cols>
    <col min="1" max="1" width="34" customWidth="1"/>
    <col min="2" max="2" width="16" customWidth="1"/>
    <col min="3" max="5" width="12" customWidth="1"/>
    <col min="9" max="9" width="37.5" customWidth="1"/>
    <col min="12" max="12" width="9.1640625" bestFit="1" customWidth="1"/>
  </cols>
  <sheetData>
    <row r="1" spans="1:9" ht="17" x14ac:dyDescent="0.2">
      <c r="A1" s="3" t="s">
        <v>2009</v>
      </c>
    </row>
    <row r="3" spans="1:9" ht="24" x14ac:dyDescent="0.3">
      <c r="A3" s="9" t="s">
        <v>2010</v>
      </c>
      <c r="B3">
        <f>COUNTA(Claimants!$F$5:$F$1994)</f>
        <v>1990</v>
      </c>
      <c r="I3" s="22" t="s">
        <v>2249</v>
      </c>
    </row>
    <row r="4" spans="1:9" ht="26" x14ac:dyDescent="0.35">
      <c r="A4" s="9" t="s">
        <v>2011</v>
      </c>
      <c r="B4">
        <f>SUMPRODUCT(--(Claimants!$F$5:$F$1994=Claimants!$G$5:$G$1994))</f>
        <v>1864</v>
      </c>
      <c r="I4" s="15" t="s">
        <v>2250</v>
      </c>
    </row>
    <row r="5" spans="1:9" x14ac:dyDescent="0.2">
      <c r="A5" s="9" t="s">
        <v>2012</v>
      </c>
      <c r="B5" s="10">
        <f>B4/B3</f>
        <v>0.93668341708542713</v>
      </c>
    </row>
    <row r="6" spans="1:9" ht="21" x14ac:dyDescent="0.3">
      <c r="I6" s="16" t="s">
        <v>2251</v>
      </c>
    </row>
    <row r="7" spans="1:9" x14ac:dyDescent="0.2">
      <c r="A7" s="9" t="s">
        <v>2013</v>
      </c>
    </row>
    <row r="8" spans="1:9" ht="26" x14ac:dyDescent="0.35">
      <c r="B8" s="11" t="s">
        <v>17</v>
      </c>
      <c r="C8" s="11" t="s">
        <v>94</v>
      </c>
      <c r="D8" s="11" t="s">
        <v>35</v>
      </c>
      <c r="I8" s="15" t="s">
        <v>2252</v>
      </c>
    </row>
    <row r="9" spans="1:9" x14ac:dyDescent="0.2">
      <c r="A9" s="11" t="s">
        <v>17</v>
      </c>
      <c r="B9" s="12">
        <f>SUMPRODUCT(--(Claimants!$F$5:$F$1994="High"),--(Claimants!$G$5:$G$1994="High"))</f>
        <v>178</v>
      </c>
      <c r="C9" s="12">
        <f>SUMPRODUCT(--(Claimants!$F$5:$F$1994="High"),--(Claimants!$G$5:$G$1994="Medium"))</f>
        <v>6</v>
      </c>
      <c r="D9" s="12">
        <f>SUMPRODUCT(--(Claimants!$F$5:$F$1994="High"),--(Claimants!$G$5:$G$1994="Low"))</f>
        <v>35</v>
      </c>
      <c r="E9">
        <f>SUM(B9:D9)</f>
        <v>219</v>
      </c>
    </row>
    <row r="10" spans="1:9" ht="16" x14ac:dyDescent="0.25">
      <c r="A10" s="11" t="s">
        <v>94</v>
      </c>
      <c r="B10" s="12">
        <f>SUMPRODUCT(--(Claimants!$F$5:$F$1994="Medium"),--(Claimants!$G$5:$G$1994="High"))</f>
        <v>9</v>
      </c>
      <c r="C10" s="12">
        <f>SUMPRODUCT(--(Claimants!$F$5:$F$1994="Medium"),--(Claimants!$G$5:$G$1994="Medium"))</f>
        <v>8</v>
      </c>
      <c r="D10" s="12">
        <f>SUMPRODUCT(--(Claimants!$F$5:$F$1994="Medium"),--(Claimants!$G$5:$G$1994="Low"))</f>
        <v>10</v>
      </c>
      <c r="E10">
        <f>SUM(B10:D10)</f>
        <v>27</v>
      </c>
      <c r="I10" s="16" t="s">
        <v>2253</v>
      </c>
    </row>
    <row r="11" spans="1:9" ht="16" x14ac:dyDescent="0.25">
      <c r="A11" s="11" t="s">
        <v>35</v>
      </c>
      <c r="B11" s="12">
        <f>SUMPRODUCT(--(Claimants!$F$5:$F$1994="Low"),--(Claimants!$G$5:$G$1994="High"))</f>
        <v>36</v>
      </c>
      <c r="C11" s="12">
        <f>SUMPRODUCT(--(Claimants!$F$5:$F$1994="Low"),--(Claimants!$G$5:$G$1994="Medium"))</f>
        <v>30</v>
      </c>
      <c r="D11" s="12">
        <f>SUMPRODUCT(--(Claimants!$F$5:$F$1994="Low"),--(Claimants!$G$5:$G$1994="Low"))</f>
        <v>1678</v>
      </c>
      <c r="E11">
        <f>SUM(B11:D11)</f>
        <v>1744</v>
      </c>
      <c r="I11" s="16" t="s">
        <v>2254</v>
      </c>
    </row>
    <row r="12" spans="1:9" ht="16" x14ac:dyDescent="0.25">
      <c r="B12">
        <f>SUM(B9:B11)</f>
        <v>223</v>
      </c>
      <c r="C12">
        <f>SUM(C9:C11)</f>
        <v>44</v>
      </c>
      <c r="D12">
        <f>SUM(D9:D11)</f>
        <v>1723</v>
      </c>
      <c r="I12" s="16" t="s">
        <v>2255</v>
      </c>
    </row>
    <row r="14" spans="1:9" ht="21" x14ac:dyDescent="0.3">
      <c r="A14" s="9" t="s">
        <v>2014</v>
      </c>
      <c r="I14" s="17" t="s">
        <v>2256</v>
      </c>
    </row>
    <row r="15" spans="1:9" x14ac:dyDescent="0.2">
      <c r="A15" s="9" t="s">
        <v>2015</v>
      </c>
      <c r="B15">
        <f>B5</f>
        <v>0.93668341708542713</v>
      </c>
    </row>
    <row r="16" spans="1:9" ht="21" x14ac:dyDescent="0.3">
      <c r="A16" s="9" t="s">
        <v>2016</v>
      </c>
      <c r="B16">
        <f>(E9*B12+E10*C12+E11*D12)/(B3*B3)</f>
        <v>0.77142925683694852</v>
      </c>
      <c r="I16" s="17" t="s">
        <v>2275</v>
      </c>
    </row>
    <row r="17" spans="1:12" ht="21" x14ac:dyDescent="0.3">
      <c r="A17" s="9" t="s">
        <v>2017</v>
      </c>
      <c r="B17" s="13">
        <f>(B15-B16)/(1-B16)</f>
        <v>0.72298911908683849</v>
      </c>
      <c r="I17" s="17" t="s">
        <v>2257</v>
      </c>
    </row>
    <row r="18" spans="1:12" ht="21" x14ac:dyDescent="0.3">
      <c r="A18" s="9" t="s">
        <v>2018</v>
      </c>
      <c r="B18" t="str">
        <f>IF(B17&lt;0,"worse than chance",IF(B17&lt;=0.2,"slight",IF(B17&lt;=0.4,"fair",IF(B17&lt;=0.6,"moderate",IF(B17&lt;=0.8,"substantial","almost perfect")))))</f>
        <v>substantial</v>
      </c>
      <c r="I18" s="17" t="s">
        <v>2276</v>
      </c>
    </row>
    <row r="19" spans="1:12" ht="21" x14ac:dyDescent="0.3">
      <c r="I19" s="17" t="s">
        <v>2258</v>
      </c>
    </row>
    <row r="21" spans="1:12" ht="26" x14ac:dyDescent="0.35">
      <c r="I21" s="15" t="s">
        <v>2259</v>
      </c>
    </row>
    <row r="23" spans="1:12" ht="21" x14ac:dyDescent="0.3">
      <c r="I23" s="17" t="s">
        <v>2260</v>
      </c>
    </row>
    <row r="24" spans="1:12" ht="21" x14ac:dyDescent="0.3">
      <c r="I24" s="17"/>
    </row>
    <row r="25" spans="1:12" ht="16" x14ac:dyDescent="0.25">
      <c r="I25" s="18" t="s">
        <v>2261</v>
      </c>
      <c r="J25" s="18" t="s">
        <v>2262</v>
      </c>
      <c r="K25" s="18" t="s">
        <v>2263</v>
      </c>
      <c r="L25" s="18" t="s">
        <v>2264</v>
      </c>
    </row>
    <row r="26" spans="1:12" ht="16" x14ac:dyDescent="0.25">
      <c r="I26" s="19" t="s">
        <v>17</v>
      </c>
      <c r="J26" s="19">
        <v>219</v>
      </c>
      <c r="K26" s="19">
        <v>223</v>
      </c>
      <c r="L26" s="20">
        <v>47499</v>
      </c>
    </row>
    <row r="27" spans="1:12" ht="16" x14ac:dyDescent="0.25">
      <c r="I27" s="19" t="s">
        <v>94</v>
      </c>
      <c r="J27" s="19">
        <v>27</v>
      </c>
      <c r="K27" s="19">
        <v>38</v>
      </c>
      <c r="L27" s="20">
        <v>1026</v>
      </c>
    </row>
    <row r="28" spans="1:12" ht="16" x14ac:dyDescent="0.25">
      <c r="I28" s="19" t="s">
        <v>35</v>
      </c>
      <c r="J28" s="20">
        <v>1744</v>
      </c>
      <c r="K28" s="20">
        <v>1723</v>
      </c>
      <c r="L28" s="20">
        <v>3004912</v>
      </c>
    </row>
    <row r="29" spans="1:12" ht="16" x14ac:dyDescent="0.25">
      <c r="I29" s="18" t="s">
        <v>2265</v>
      </c>
      <c r="J29" s="19"/>
      <c r="K29" s="19"/>
      <c r="L29" s="21">
        <v>3053437</v>
      </c>
    </row>
    <row r="31" spans="1:12" ht="16" x14ac:dyDescent="0.25">
      <c r="I31" s="16" t="s">
        <v>2266</v>
      </c>
    </row>
    <row r="32" spans="1:12" ht="16" x14ac:dyDescent="0.25">
      <c r="I32" s="16" t="s">
        <v>2267</v>
      </c>
    </row>
    <row r="33" spans="9:9" ht="16" x14ac:dyDescent="0.25">
      <c r="I33" s="16" t="s">
        <v>2268</v>
      </c>
    </row>
    <row r="35" spans="9:9" ht="26" x14ac:dyDescent="0.35">
      <c r="I35" s="15" t="s">
        <v>2269</v>
      </c>
    </row>
    <row r="37" spans="9:9" ht="16" x14ac:dyDescent="0.25">
      <c r="I37" s="16" t="s">
        <v>2270</v>
      </c>
    </row>
    <row r="38" spans="9:9" ht="16" x14ac:dyDescent="0.25">
      <c r="I38" s="16" t="s">
        <v>2271</v>
      </c>
    </row>
    <row r="39" spans="9:9" ht="16" x14ac:dyDescent="0.25">
      <c r="I39" s="16" t="s">
        <v>2272</v>
      </c>
    </row>
    <row r="40" spans="9:9" ht="16" x14ac:dyDescent="0.25">
      <c r="I40" s="16" t="s">
        <v>2277</v>
      </c>
    </row>
    <row r="42" spans="9:9" ht="21" x14ac:dyDescent="0.3">
      <c r="I42" s="17" t="s">
        <v>2273</v>
      </c>
    </row>
    <row r="44" spans="9:9" ht="21" x14ac:dyDescent="0.3">
      <c r="I44" s="17" t="s">
        <v>2274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29"/>
  <sheetViews>
    <sheetView workbookViewId="0">
      <pane ySplit="3" topLeftCell="A4" activePane="bottomLeft" state="frozen"/>
      <selection pane="bottomLeft"/>
    </sheetView>
  </sheetViews>
  <sheetFormatPr baseColWidth="10" defaultColWidth="8.83203125" defaultRowHeight="15" x14ac:dyDescent="0.2"/>
  <cols>
    <col min="1" max="1" width="22" customWidth="1"/>
    <col min="2" max="7" width="12" customWidth="1"/>
  </cols>
  <sheetData>
    <row r="1" spans="1:7" ht="17" x14ac:dyDescent="0.2">
      <c r="A1" s="14" t="s">
        <v>2019</v>
      </c>
    </row>
    <row r="3" spans="1:7" x14ac:dyDescent="0.2">
      <c r="A3" s="5" t="s">
        <v>8</v>
      </c>
      <c r="B3" s="5" t="s">
        <v>9</v>
      </c>
      <c r="C3" s="5" t="s">
        <v>10</v>
      </c>
      <c r="D3" s="5" t="s">
        <v>11</v>
      </c>
      <c r="E3" s="5" t="s">
        <v>12</v>
      </c>
      <c r="F3" s="5" t="s">
        <v>13</v>
      </c>
      <c r="G3" s="5" t="s">
        <v>14</v>
      </c>
    </row>
    <row r="4" spans="1:7" x14ac:dyDescent="0.2">
      <c r="A4" s="6" t="s">
        <v>34</v>
      </c>
      <c r="B4" s="7">
        <v>20</v>
      </c>
      <c r="C4" s="7">
        <v>15</v>
      </c>
      <c r="D4" s="7">
        <v>0.75</v>
      </c>
      <c r="E4" s="7">
        <v>0.53129999999999999</v>
      </c>
      <c r="F4" s="7" t="s">
        <v>17</v>
      </c>
      <c r="G4" s="7" t="s">
        <v>35</v>
      </c>
    </row>
    <row r="5" spans="1:7" x14ac:dyDescent="0.2">
      <c r="A5" s="6" t="s">
        <v>52</v>
      </c>
      <c r="B5" s="7">
        <v>6</v>
      </c>
      <c r="C5" s="7">
        <v>5</v>
      </c>
      <c r="D5" s="7">
        <v>0.83330000000000004</v>
      </c>
      <c r="E5" s="7">
        <v>0.4365</v>
      </c>
      <c r="F5" s="7" t="s">
        <v>17</v>
      </c>
      <c r="G5" s="7" t="s">
        <v>35</v>
      </c>
    </row>
    <row r="6" spans="1:7" x14ac:dyDescent="0.2">
      <c r="A6" s="6" t="s">
        <v>61</v>
      </c>
      <c r="B6" s="7">
        <v>64</v>
      </c>
      <c r="C6" s="7">
        <v>32</v>
      </c>
      <c r="D6" s="7">
        <v>0.5</v>
      </c>
      <c r="E6" s="7">
        <v>0.38100000000000001</v>
      </c>
      <c r="F6" s="7" t="s">
        <v>17</v>
      </c>
      <c r="G6" s="7" t="s">
        <v>35</v>
      </c>
    </row>
    <row r="7" spans="1:7" x14ac:dyDescent="0.2">
      <c r="A7" s="6" t="s">
        <v>65</v>
      </c>
      <c r="B7" s="7">
        <v>129</v>
      </c>
      <c r="C7" s="7">
        <v>59</v>
      </c>
      <c r="D7" s="7">
        <v>0.45739999999999997</v>
      </c>
      <c r="E7" s="7">
        <v>0.37390000000000001</v>
      </c>
      <c r="F7" s="7" t="s">
        <v>17</v>
      </c>
      <c r="G7" s="7" t="s">
        <v>35</v>
      </c>
    </row>
    <row r="8" spans="1:7" x14ac:dyDescent="0.2">
      <c r="A8" s="6" t="s">
        <v>76</v>
      </c>
      <c r="B8" s="7">
        <v>104</v>
      </c>
      <c r="C8" s="7">
        <v>46</v>
      </c>
      <c r="D8" s="7">
        <v>0.44230000000000003</v>
      </c>
      <c r="E8" s="7">
        <v>0.35060000000000002</v>
      </c>
      <c r="F8" s="7" t="s">
        <v>17</v>
      </c>
      <c r="G8" s="7" t="s">
        <v>35</v>
      </c>
    </row>
    <row r="9" spans="1:7" x14ac:dyDescent="0.2">
      <c r="A9" s="6" t="s">
        <v>87</v>
      </c>
      <c r="B9" s="7">
        <v>64</v>
      </c>
      <c r="C9" s="7">
        <v>28</v>
      </c>
      <c r="D9" s="7">
        <v>0.4375</v>
      </c>
      <c r="E9" s="7">
        <v>0.32290000000000002</v>
      </c>
      <c r="F9" s="7" t="s">
        <v>17</v>
      </c>
      <c r="G9" s="7" t="s">
        <v>35</v>
      </c>
    </row>
    <row r="10" spans="1:7" x14ac:dyDescent="0.2">
      <c r="A10" s="6" t="s">
        <v>90</v>
      </c>
      <c r="B10" s="7">
        <v>49</v>
      </c>
      <c r="C10" s="7">
        <v>22</v>
      </c>
      <c r="D10" s="7">
        <v>0.44900000000000001</v>
      </c>
      <c r="E10" s="7">
        <v>0.31850000000000001</v>
      </c>
      <c r="F10" s="7" t="s">
        <v>17</v>
      </c>
      <c r="G10" s="7" t="s">
        <v>35</v>
      </c>
    </row>
    <row r="11" spans="1:7" x14ac:dyDescent="0.2">
      <c r="A11" s="6" t="s">
        <v>93</v>
      </c>
      <c r="B11" s="7">
        <v>4</v>
      </c>
      <c r="C11" s="7">
        <v>3</v>
      </c>
      <c r="D11" s="7">
        <v>0.75</v>
      </c>
      <c r="E11" s="7">
        <v>0.30059999999999998</v>
      </c>
      <c r="F11" s="7" t="s">
        <v>17</v>
      </c>
      <c r="G11" s="7" t="s">
        <v>94</v>
      </c>
    </row>
    <row r="12" spans="1:7" x14ac:dyDescent="0.2">
      <c r="A12" s="6" t="s">
        <v>102</v>
      </c>
      <c r="B12" s="7">
        <v>76</v>
      </c>
      <c r="C12" s="7">
        <v>28</v>
      </c>
      <c r="D12" s="7">
        <v>0.36840000000000001</v>
      </c>
      <c r="E12" s="7">
        <v>0.26879999999999998</v>
      </c>
      <c r="F12" s="7" t="s">
        <v>17</v>
      </c>
      <c r="G12" s="7" t="s">
        <v>35</v>
      </c>
    </row>
    <row r="13" spans="1:7" x14ac:dyDescent="0.2">
      <c r="A13" s="6" t="s">
        <v>125</v>
      </c>
      <c r="B13" s="7">
        <v>29</v>
      </c>
      <c r="C13" s="7">
        <v>11</v>
      </c>
      <c r="D13" s="7">
        <v>0.37930000000000003</v>
      </c>
      <c r="E13" s="7">
        <v>0.22689999999999999</v>
      </c>
      <c r="F13" s="7" t="s">
        <v>17</v>
      </c>
      <c r="G13" s="7" t="s">
        <v>35</v>
      </c>
    </row>
    <row r="14" spans="1:7" x14ac:dyDescent="0.2">
      <c r="A14" s="6" t="s">
        <v>126</v>
      </c>
      <c r="B14" s="7">
        <v>26</v>
      </c>
      <c r="C14" s="7">
        <v>10</v>
      </c>
      <c r="D14" s="7">
        <v>0.3846</v>
      </c>
      <c r="E14" s="7">
        <v>0.2243</v>
      </c>
      <c r="F14" s="7" t="s">
        <v>17</v>
      </c>
      <c r="G14" s="7" t="s">
        <v>35</v>
      </c>
    </row>
    <row r="15" spans="1:7" x14ac:dyDescent="0.2">
      <c r="A15" s="6" t="s">
        <v>127</v>
      </c>
      <c r="B15" s="7">
        <v>257</v>
      </c>
      <c r="C15" s="7">
        <v>70</v>
      </c>
      <c r="D15" s="7">
        <v>0.27239999999999998</v>
      </c>
      <c r="E15" s="7">
        <v>0.22159999999999999</v>
      </c>
      <c r="F15" s="7" t="s">
        <v>17</v>
      </c>
      <c r="G15" s="7" t="s">
        <v>35</v>
      </c>
    </row>
    <row r="16" spans="1:7" x14ac:dyDescent="0.2">
      <c r="A16" s="6" t="s">
        <v>129</v>
      </c>
      <c r="B16" s="7">
        <v>70</v>
      </c>
      <c r="C16" s="7">
        <v>22</v>
      </c>
      <c r="D16" s="7">
        <v>0.31430000000000002</v>
      </c>
      <c r="E16" s="7">
        <v>0.21759999999999999</v>
      </c>
      <c r="F16" s="7" t="s">
        <v>17</v>
      </c>
      <c r="G16" s="7" t="s">
        <v>35</v>
      </c>
    </row>
    <row r="17" spans="1:7" x14ac:dyDescent="0.2">
      <c r="A17" s="6" t="s">
        <v>130</v>
      </c>
      <c r="B17" s="7">
        <v>8</v>
      </c>
      <c r="C17" s="7">
        <v>4</v>
      </c>
      <c r="D17" s="7">
        <v>0.5</v>
      </c>
      <c r="E17" s="7">
        <v>0.2152</v>
      </c>
      <c r="F17" s="7" t="s">
        <v>17</v>
      </c>
      <c r="G17" s="7" t="s">
        <v>94</v>
      </c>
    </row>
    <row r="18" spans="1:7" x14ac:dyDescent="0.2">
      <c r="A18" s="6" t="s">
        <v>134</v>
      </c>
      <c r="B18" s="7">
        <v>191</v>
      </c>
      <c r="C18" s="7">
        <v>51</v>
      </c>
      <c r="D18" s="7">
        <v>0.26700000000000002</v>
      </c>
      <c r="E18" s="7">
        <v>0.20930000000000001</v>
      </c>
      <c r="F18" s="7" t="s">
        <v>17</v>
      </c>
      <c r="G18" s="7" t="s">
        <v>35</v>
      </c>
    </row>
    <row r="19" spans="1:7" x14ac:dyDescent="0.2">
      <c r="A19" s="6" t="s">
        <v>135</v>
      </c>
      <c r="B19" s="7">
        <v>209</v>
      </c>
      <c r="C19" s="7">
        <v>55</v>
      </c>
      <c r="D19" s="7">
        <v>0.26319999999999999</v>
      </c>
      <c r="E19" s="7">
        <v>0.20810000000000001</v>
      </c>
      <c r="F19" s="7" t="s">
        <v>17</v>
      </c>
      <c r="G19" s="7" t="s">
        <v>35</v>
      </c>
    </row>
    <row r="20" spans="1:7" x14ac:dyDescent="0.2">
      <c r="A20" s="6" t="s">
        <v>142</v>
      </c>
      <c r="B20" s="7">
        <v>1</v>
      </c>
      <c r="C20" s="7">
        <v>1</v>
      </c>
      <c r="D20" s="7">
        <v>1</v>
      </c>
      <c r="E20" s="7">
        <v>0.20649999999999999</v>
      </c>
      <c r="F20" s="7" t="s">
        <v>17</v>
      </c>
      <c r="G20" s="7" t="s">
        <v>35</v>
      </c>
    </row>
    <row r="21" spans="1:7" x14ac:dyDescent="0.2">
      <c r="A21" s="6" t="s">
        <v>146</v>
      </c>
      <c r="B21" s="7">
        <v>63</v>
      </c>
      <c r="C21" s="7">
        <v>19</v>
      </c>
      <c r="D21" s="7">
        <v>0.30159999999999998</v>
      </c>
      <c r="E21" s="7">
        <v>0.2024</v>
      </c>
      <c r="F21" s="7" t="s">
        <v>17</v>
      </c>
      <c r="G21" s="7" t="s">
        <v>35</v>
      </c>
    </row>
    <row r="22" spans="1:7" x14ac:dyDescent="0.2">
      <c r="A22" s="6" t="s">
        <v>150</v>
      </c>
      <c r="B22" s="7">
        <v>38</v>
      </c>
      <c r="C22" s="7">
        <v>12</v>
      </c>
      <c r="D22" s="7">
        <v>0.31580000000000003</v>
      </c>
      <c r="E22" s="7">
        <v>0.1908</v>
      </c>
      <c r="F22" s="7" t="s">
        <v>17</v>
      </c>
      <c r="G22" s="7" t="s">
        <v>35</v>
      </c>
    </row>
    <row r="23" spans="1:7" x14ac:dyDescent="0.2">
      <c r="A23" s="6" t="s">
        <v>152</v>
      </c>
      <c r="B23" s="7">
        <v>143</v>
      </c>
      <c r="C23" s="7">
        <v>36</v>
      </c>
      <c r="D23" s="7">
        <v>0.25169999999999998</v>
      </c>
      <c r="E23" s="7">
        <v>0.18770000000000001</v>
      </c>
      <c r="F23" s="7" t="s">
        <v>17</v>
      </c>
      <c r="G23" s="7" t="s">
        <v>35</v>
      </c>
    </row>
    <row r="24" spans="1:7" x14ac:dyDescent="0.2">
      <c r="A24" s="6" t="s">
        <v>154</v>
      </c>
      <c r="B24" s="7">
        <v>6</v>
      </c>
      <c r="C24" s="7">
        <v>3</v>
      </c>
      <c r="D24" s="7">
        <v>0.5</v>
      </c>
      <c r="E24" s="7">
        <v>0.18759999999999999</v>
      </c>
      <c r="F24" s="7" t="s">
        <v>17</v>
      </c>
      <c r="G24" s="7" t="s">
        <v>94</v>
      </c>
    </row>
    <row r="25" spans="1:7" x14ac:dyDescent="0.2">
      <c r="A25" s="6" t="s">
        <v>165</v>
      </c>
      <c r="B25" s="7">
        <v>37</v>
      </c>
      <c r="C25" s="7">
        <v>11</v>
      </c>
      <c r="D25" s="7">
        <v>0.29730000000000001</v>
      </c>
      <c r="E25" s="7">
        <v>0.1749</v>
      </c>
      <c r="F25" s="7" t="s">
        <v>17</v>
      </c>
      <c r="G25" s="7" t="s">
        <v>94</v>
      </c>
    </row>
    <row r="26" spans="1:7" x14ac:dyDescent="0.2">
      <c r="A26" s="6" t="s">
        <v>170</v>
      </c>
      <c r="B26" s="7">
        <v>158</v>
      </c>
      <c r="C26" s="7">
        <v>36</v>
      </c>
      <c r="D26" s="7">
        <v>0.2278</v>
      </c>
      <c r="E26" s="7">
        <v>0.1694</v>
      </c>
      <c r="F26" s="7" t="s">
        <v>17</v>
      </c>
      <c r="G26" s="7" t="s">
        <v>35</v>
      </c>
    </row>
    <row r="27" spans="1:7" x14ac:dyDescent="0.2">
      <c r="A27" s="6" t="s">
        <v>176</v>
      </c>
      <c r="B27" s="7">
        <v>157</v>
      </c>
      <c r="C27" s="7">
        <v>34</v>
      </c>
      <c r="D27" s="7">
        <v>0.21659999999999999</v>
      </c>
      <c r="E27" s="7">
        <v>0.1593</v>
      </c>
      <c r="F27" s="7" t="s">
        <v>17</v>
      </c>
      <c r="G27" s="7" t="s">
        <v>35</v>
      </c>
    </row>
    <row r="28" spans="1:7" x14ac:dyDescent="0.2">
      <c r="A28" s="6" t="s">
        <v>177</v>
      </c>
      <c r="B28" s="7">
        <v>36</v>
      </c>
      <c r="C28" s="7">
        <v>10</v>
      </c>
      <c r="D28" s="7">
        <v>0.27779999999999999</v>
      </c>
      <c r="E28" s="7">
        <v>0.1585</v>
      </c>
      <c r="F28" s="7" t="s">
        <v>17</v>
      </c>
      <c r="G28" s="7" t="s">
        <v>35</v>
      </c>
    </row>
    <row r="29" spans="1:7" x14ac:dyDescent="0.2">
      <c r="A29" s="6" t="s">
        <v>179</v>
      </c>
      <c r="B29" s="7">
        <v>7</v>
      </c>
      <c r="C29" s="7">
        <v>3</v>
      </c>
      <c r="D29" s="7">
        <v>0.42859999999999998</v>
      </c>
      <c r="E29" s="7">
        <v>0.15820000000000001</v>
      </c>
      <c r="F29" s="7" t="s">
        <v>17</v>
      </c>
      <c r="G29" s="7" t="s">
        <v>35</v>
      </c>
    </row>
    <row r="30" spans="1:7" x14ac:dyDescent="0.2">
      <c r="A30" s="6" t="s">
        <v>180</v>
      </c>
      <c r="B30" s="7">
        <v>7</v>
      </c>
      <c r="C30" s="7">
        <v>3</v>
      </c>
      <c r="D30" s="7">
        <v>0.42859999999999998</v>
      </c>
      <c r="E30" s="7">
        <v>0.15820000000000001</v>
      </c>
      <c r="F30" s="7" t="s">
        <v>17</v>
      </c>
      <c r="G30" s="7" t="s">
        <v>35</v>
      </c>
    </row>
    <row r="31" spans="1:7" x14ac:dyDescent="0.2">
      <c r="A31" s="6" t="s">
        <v>181</v>
      </c>
      <c r="B31" s="7">
        <v>7</v>
      </c>
      <c r="C31" s="7">
        <v>3</v>
      </c>
      <c r="D31" s="7">
        <v>0.42859999999999998</v>
      </c>
      <c r="E31" s="7">
        <v>0.15820000000000001</v>
      </c>
      <c r="F31" s="7" t="s">
        <v>17</v>
      </c>
      <c r="G31" s="7" t="s">
        <v>35</v>
      </c>
    </row>
    <row r="32" spans="1:7" x14ac:dyDescent="0.2">
      <c r="A32" s="6" t="s">
        <v>195</v>
      </c>
      <c r="B32" s="7">
        <v>98</v>
      </c>
      <c r="C32" s="7">
        <v>21</v>
      </c>
      <c r="D32" s="7">
        <v>0.21429999999999999</v>
      </c>
      <c r="E32" s="7">
        <v>0.14460000000000001</v>
      </c>
      <c r="F32" s="7" t="s">
        <v>17</v>
      </c>
      <c r="G32" s="7" t="s">
        <v>35</v>
      </c>
    </row>
    <row r="33" spans="1:7" x14ac:dyDescent="0.2">
      <c r="A33" s="6" t="s">
        <v>198</v>
      </c>
      <c r="B33" s="7">
        <v>16</v>
      </c>
      <c r="C33" s="7">
        <v>5</v>
      </c>
      <c r="D33" s="7">
        <v>0.3125</v>
      </c>
      <c r="E33" s="7">
        <v>0.1416</v>
      </c>
      <c r="F33" s="7" t="s">
        <v>17</v>
      </c>
      <c r="G33" s="7" t="s">
        <v>35</v>
      </c>
    </row>
    <row r="34" spans="1:7" x14ac:dyDescent="0.2">
      <c r="A34" s="6" t="s">
        <v>203</v>
      </c>
      <c r="B34" s="7">
        <v>332</v>
      </c>
      <c r="C34" s="7">
        <v>58</v>
      </c>
      <c r="D34" s="7">
        <v>0.17469999999999999</v>
      </c>
      <c r="E34" s="7">
        <v>0.1376</v>
      </c>
      <c r="F34" s="7" t="s">
        <v>17</v>
      </c>
      <c r="G34" s="7" t="s">
        <v>35</v>
      </c>
    </row>
    <row r="35" spans="1:7" x14ac:dyDescent="0.2">
      <c r="A35" s="6" t="s">
        <v>205</v>
      </c>
      <c r="B35" s="7">
        <v>183</v>
      </c>
      <c r="C35" s="7">
        <v>34</v>
      </c>
      <c r="D35" s="7">
        <v>0.18579999999999999</v>
      </c>
      <c r="E35" s="7">
        <v>0.1361</v>
      </c>
      <c r="F35" s="7" t="s">
        <v>17</v>
      </c>
      <c r="G35" s="7" t="s">
        <v>35</v>
      </c>
    </row>
    <row r="36" spans="1:7" x14ac:dyDescent="0.2">
      <c r="A36" s="6" t="s">
        <v>212</v>
      </c>
      <c r="B36" s="7">
        <v>148</v>
      </c>
      <c r="C36" s="7">
        <v>26</v>
      </c>
      <c r="D36" s="7">
        <v>0.1757</v>
      </c>
      <c r="E36" s="7">
        <v>0.12280000000000001</v>
      </c>
      <c r="F36" s="7" t="s">
        <v>17</v>
      </c>
      <c r="G36" s="7" t="s">
        <v>35</v>
      </c>
    </row>
    <row r="37" spans="1:7" x14ac:dyDescent="0.2">
      <c r="A37" s="6" t="s">
        <v>213</v>
      </c>
      <c r="B37" s="7">
        <v>46</v>
      </c>
      <c r="C37" s="7">
        <v>10</v>
      </c>
      <c r="D37" s="7">
        <v>0.21740000000000001</v>
      </c>
      <c r="E37" s="7">
        <v>0.1226</v>
      </c>
      <c r="F37" s="7" t="s">
        <v>17</v>
      </c>
      <c r="G37" s="7" t="s">
        <v>35</v>
      </c>
    </row>
    <row r="38" spans="1:7" x14ac:dyDescent="0.2">
      <c r="A38" s="6" t="s">
        <v>214</v>
      </c>
      <c r="B38" s="7">
        <v>77</v>
      </c>
      <c r="C38" s="7">
        <v>15</v>
      </c>
      <c r="D38" s="7">
        <v>0.1948</v>
      </c>
      <c r="E38" s="7">
        <v>0.12180000000000001</v>
      </c>
      <c r="F38" s="7" t="s">
        <v>17</v>
      </c>
      <c r="G38" s="7" t="s">
        <v>35</v>
      </c>
    </row>
    <row r="39" spans="1:7" x14ac:dyDescent="0.2">
      <c r="A39" s="6" t="s">
        <v>221</v>
      </c>
      <c r="B39" s="7">
        <v>5</v>
      </c>
      <c r="C39" s="7">
        <v>2</v>
      </c>
      <c r="D39" s="7">
        <v>0.4</v>
      </c>
      <c r="E39" s="7">
        <v>0.1176</v>
      </c>
      <c r="F39" s="7" t="s">
        <v>17</v>
      </c>
      <c r="G39" s="7" t="s">
        <v>94</v>
      </c>
    </row>
    <row r="40" spans="1:7" x14ac:dyDescent="0.2">
      <c r="A40" s="6" t="s">
        <v>223</v>
      </c>
      <c r="B40" s="7">
        <v>48</v>
      </c>
      <c r="C40" s="7">
        <v>10</v>
      </c>
      <c r="D40" s="7">
        <v>0.20830000000000001</v>
      </c>
      <c r="E40" s="7">
        <v>0.1173</v>
      </c>
      <c r="F40" s="7" t="s">
        <v>17</v>
      </c>
      <c r="G40" s="7" t="s">
        <v>94</v>
      </c>
    </row>
    <row r="41" spans="1:7" x14ac:dyDescent="0.2">
      <c r="A41" s="6" t="s">
        <v>228</v>
      </c>
      <c r="B41" s="7">
        <v>217</v>
      </c>
      <c r="C41" s="7">
        <v>33</v>
      </c>
      <c r="D41" s="7">
        <v>0.15210000000000001</v>
      </c>
      <c r="E41" s="7">
        <v>0.1104</v>
      </c>
      <c r="F41" s="7" t="s">
        <v>17</v>
      </c>
      <c r="G41" s="7" t="s">
        <v>35</v>
      </c>
    </row>
    <row r="42" spans="1:7" x14ac:dyDescent="0.2">
      <c r="A42" s="6" t="s">
        <v>230</v>
      </c>
      <c r="B42" s="7">
        <v>45</v>
      </c>
      <c r="C42" s="7">
        <v>9</v>
      </c>
      <c r="D42" s="7">
        <v>0.2</v>
      </c>
      <c r="E42" s="7">
        <v>0.109</v>
      </c>
      <c r="F42" s="7" t="s">
        <v>17</v>
      </c>
      <c r="G42" s="7" t="s">
        <v>35</v>
      </c>
    </row>
    <row r="43" spans="1:7" x14ac:dyDescent="0.2">
      <c r="A43" s="6" t="s">
        <v>231</v>
      </c>
      <c r="B43" s="7">
        <v>443</v>
      </c>
      <c r="C43" s="7">
        <v>61</v>
      </c>
      <c r="D43" s="7">
        <v>0.13769999999999999</v>
      </c>
      <c r="E43" s="7">
        <v>0.1087</v>
      </c>
      <c r="F43" s="7" t="s">
        <v>17</v>
      </c>
      <c r="G43" s="7" t="s">
        <v>35</v>
      </c>
    </row>
    <row r="44" spans="1:7" x14ac:dyDescent="0.2">
      <c r="A44" s="6" t="s">
        <v>237</v>
      </c>
      <c r="B44" s="7">
        <v>202</v>
      </c>
      <c r="C44" s="7">
        <v>29</v>
      </c>
      <c r="D44" s="7">
        <v>0.14360000000000001</v>
      </c>
      <c r="E44" s="7">
        <v>0.1019</v>
      </c>
      <c r="F44" s="7" t="s">
        <v>17</v>
      </c>
      <c r="G44" s="7" t="s">
        <v>35</v>
      </c>
    </row>
    <row r="45" spans="1:7" x14ac:dyDescent="0.2">
      <c r="A45" s="6" t="s">
        <v>239</v>
      </c>
      <c r="B45" s="7">
        <v>95</v>
      </c>
      <c r="C45" s="7">
        <v>15</v>
      </c>
      <c r="D45" s="7">
        <v>0.15790000000000001</v>
      </c>
      <c r="E45" s="7">
        <v>9.8100000000000007E-2</v>
      </c>
      <c r="F45" s="7" t="s">
        <v>94</v>
      </c>
      <c r="G45" s="7" t="s">
        <v>17</v>
      </c>
    </row>
    <row r="46" spans="1:7" x14ac:dyDescent="0.2">
      <c r="A46" s="6" t="s">
        <v>240</v>
      </c>
      <c r="B46" s="7">
        <v>6</v>
      </c>
      <c r="C46" s="7">
        <v>2</v>
      </c>
      <c r="D46" s="7">
        <v>0.33329999999999999</v>
      </c>
      <c r="E46" s="7">
        <v>9.6799999999999997E-2</v>
      </c>
      <c r="F46" s="7" t="s">
        <v>94</v>
      </c>
      <c r="G46" s="7" t="s">
        <v>17</v>
      </c>
    </row>
    <row r="47" spans="1:7" x14ac:dyDescent="0.2">
      <c r="A47" s="6" t="s">
        <v>241</v>
      </c>
      <c r="B47" s="7">
        <v>6</v>
      </c>
      <c r="C47" s="7">
        <v>2</v>
      </c>
      <c r="D47" s="7">
        <v>0.33329999999999999</v>
      </c>
      <c r="E47" s="7">
        <v>9.6799999999999997E-2</v>
      </c>
      <c r="F47" s="7" t="s">
        <v>94</v>
      </c>
      <c r="G47" s="7" t="s">
        <v>35</v>
      </c>
    </row>
    <row r="48" spans="1:7" x14ac:dyDescent="0.2">
      <c r="A48" s="6" t="s">
        <v>242</v>
      </c>
      <c r="B48" s="7">
        <v>6</v>
      </c>
      <c r="C48" s="7">
        <v>2</v>
      </c>
      <c r="D48" s="7">
        <v>0.33329999999999999</v>
      </c>
      <c r="E48" s="7">
        <v>9.6799999999999997E-2</v>
      </c>
      <c r="F48" s="7" t="s">
        <v>94</v>
      </c>
      <c r="G48" s="7" t="s">
        <v>35</v>
      </c>
    </row>
    <row r="49" spans="1:7" x14ac:dyDescent="0.2">
      <c r="A49" s="6" t="s">
        <v>243</v>
      </c>
      <c r="B49" s="7">
        <v>73</v>
      </c>
      <c r="C49" s="7">
        <v>12</v>
      </c>
      <c r="D49" s="7">
        <v>0.16439999999999999</v>
      </c>
      <c r="E49" s="7">
        <v>9.6600000000000005E-2</v>
      </c>
      <c r="F49" s="7" t="s">
        <v>94</v>
      </c>
      <c r="G49" s="7" t="s">
        <v>35</v>
      </c>
    </row>
    <row r="50" spans="1:7" x14ac:dyDescent="0.2">
      <c r="A50" s="6" t="s">
        <v>246</v>
      </c>
      <c r="B50" s="7">
        <v>83</v>
      </c>
      <c r="C50" s="7">
        <v>13</v>
      </c>
      <c r="D50" s="7">
        <v>0.15659999999999999</v>
      </c>
      <c r="E50" s="7">
        <v>9.3899999999999997E-2</v>
      </c>
      <c r="F50" s="7" t="s">
        <v>94</v>
      </c>
      <c r="G50" s="7" t="s">
        <v>35</v>
      </c>
    </row>
    <row r="51" spans="1:7" x14ac:dyDescent="0.2">
      <c r="A51" s="6" t="s">
        <v>247</v>
      </c>
      <c r="B51" s="7">
        <v>31</v>
      </c>
      <c r="C51" s="7">
        <v>6</v>
      </c>
      <c r="D51" s="7">
        <v>0.19350000000000001</v>
      </c>
      <c r="E51" s="7">
        <v>9.1899999999999996E-2</v>
      </c>
      <c r="F51" s="7" t="s">
        <v>94</v>
      </c>
      <c r="G51" s="7" t="s">
        <v>35</v>
      </c>
    </row>
    <row r="52" spans="1:7" x14ac:dyDescent="0.2">
      <c r="A52" s="6" t="s">
        <v>248</v>
      </c>
      <c r="B52" s="7">
        <v>18</v>
      </c>
      <c r="C52" s="7">
        <v>4</v>
      </c>
      <c r="D52" s="7">
        <v>0.22220000000000001</v>
      </c>
      <c r="E52" s="7">
        <v>0.09</v>
      </c>
      <c r="F52" s="7" t="s">
        <v>94</v>
      </c>
      <c r="G52" s="7" t="s">
        <v>17</v>
      </c>
    </row>
    <row r="53" spans="1:7" x14ac:dyDescent="0.2">
      <c r="A53" s="6" t="s">
        <v>249</v>
      </c>
      <c r="B53" s="7">
        <v>12</v>
      </c>
      <c r="C53" s="7">
        <v>3</v>
      </c>
      <c r="D53" s="7">
        <v>0.25</v>
      </c>
      <c r="E53" s="7">
        <v>8.8900000000000007E-2</v>
      </c>
      <c r="F53" s="7" t="s">
        <v>94</v>
      </c>
      <c r="G53" s="7" t="s">
        <v>17</v>
      </c>
    </row>
    <row r="54" spans="1:7" x14ac:dyDescent="0.2">
      <c r="A54" s="6" t="s">
        <v>250</v>
      </c>
      <c r="B54" s="7">
        <v>12</v>
      </c>
      <c r="C54" s="7">
        <v>3</v>
      </c>
      <c r="D54" s="7">
        <v>0.25</v>
      </c>
      <c r="E54" s="7">
        <v>8.8900000000000007E-2</v>
      </c>
      <c r="F54" s="7" t="s">
        <v>94</v>
      </c>
      <c r="G54" s="7" t="s">
        <v>35</v>
      </c>
    </row>
    <row r="55" spans="1:7" x14ac:dyDescent="0.2">
      <c r="A55" s="6" t="s">
        <v>251</v>
      </c>
      <c r="B55" s="7">
        <v>33</v>
      </c>
      <c r="C55" s="7">
        <v>6</v>
      </c>
      <c r="D55" s="7">
        <v>0.18179999999999999</v>
      </c>
      <c r="E55" s="7">
        <v>8.6099999999999996E-2</v>
      </c>
      <c r="F55" s="7" t="s">
        <v>94</v>
      </c>
      <c r="G55" s="7" t="s">
        <v>35</v>
      </c>
    </row>
    <row r="56" spans="1:7" x14ac:dyDescent="0.2">
      <c r="A56" s="6" t="s">
        <v>252</v>
      </c>
      <c r="B56" s="7">
        <v>19</v>
      </c>
      <c r="C56" s="7">
        <v>4</v>
      </c>
      <c r="D56" s="7">
        <v>0.21049999999999999</v>
      </c>
      <c r="E56" s="7">
        <v>8.5099999999999995E-2</v>
      </c>
      <c r="F56" s="7" t="s">
        <v>94</v>
      </c>
      <c r="G56" s="7" t="s">
        <v>35</v>
      </c>
    </row>
    <row r="57" spans="1:7" x14ac:dyDescent="0.2">
      <c r="A57" s="6" t="s">
        <v>253</v>
      </c>
      <c r="B57" s="7">
        <v>26</v>
      </c>
      <c r="C57" s="7">
        <v>5</v>
      </c>
      <c r="D57" s="7">
        <v>0.1923</v>
      </c>
      <c r="E57" s="7">
        <v>8.5099999999999995E-2</v>
      </c>
      <c r="F57" s="7" t="s">
        <v>94</v>
      </c>
      <c r="G57" s="7" t="s">
        <v>17</v>
      </c>
    </row>
    <row r="58" spans="1:7" x14ac:dyDescent="0.2">
      <c r="A58" s="6" t="s">
        <v>255</v>
      </c>
      <c r="B58" s="7">
        <v>14</v>
      </c>
      <c r="C58" s="7">
        <v>3</v>
      </c>
      <c r="D58" s="7">
        <v>0.21429999999999999</v>
      </c>
      <c r="E58" s="7">
        <v>7.5700000000000003E-2</v>
      </c>
      <c r="F58" s="7" t="s">
        <v>94</v>
      </c>
      <c r="G58" s="7" t="s">
        <v>35</v>
      </c>
    </row>
    <row r="59" spans="1:7" x14ac:dyDescent="0.2">
      <c r="A59" s="6" t="s">
        <v>256</v>
      </c>
      <c r="B59" s="7">
        <v>14</v>
      </c>
      <c r="C59" s="7">
        <v>3</v>
      </c>
      <c r="D59" s="7">
        <v>0.21429999999999999</v>
      </c>
      <c r="E59" s="7">
        <v>7.5700000000000003E-2</v>
      </c>
      <c r="F59" s="7" t="s">
        <v>94</v>
      </c>
      <c r="G59" s="7" t="s">
        <v>17</v>
      </c>
    </row>
    <row r="60" spans="1:7" x14ac:dyDescent="0.2">
      <c r="A60" s="6" t="s">
        <v>258</v>
      </c>
      <c r="B60" s="7">
        <v>22</v>
      </c>
      <c r="C60" s="7">
        <v>4</v>
      </c>
      <c r="D60" s="7">
        <v>0.18179999999999999</v>
      </c>
      <c r="E60" s="7">
        <v>7.3099999999999998E-2</v>
      </c>
      <c r="F60" s="7" t="s">
        <v>94</v>
      </c>
      <c r="G60" s="7" t="s">
        <v>17</v>
      </c>
    </row>
    <row r="61" spans="1:7" x14ac:dyDescent="0.2">
      <c r="A61" s="6" t="s">
        <v>260</v>
      </c>
      <c r="B61" s="7">
        <v>8</v>
      </c>
      <c r="C61" s="7">
        <v>2</v>
      </c>
      <c r="D61" s="7">
        <v>0.25</v>
      </c>
      <c r="E61" s="7">
        <v>7.1499999999999994E-2</v>
      </c>
      <c r="F61" s="7" t="s">
        <v>94</v>
      </c>
      <c r="G61" s="7" t="s">
        <v>17</v>
      </c>
    </row>
    <row r="62" spans="1:7" x14ac:dyDescent="0.2">
      <c r="A62" s="6" t="s">
        <v>263</v>
      </c>
      <c r="B62" s="7">
        <v>23</v>
      </c>
      <c r="C62" s="7">
        <v>4</v>
      </c>
      <c r="D62" s="7">
        <v>0.1739</v>
      </c>
      <c r="E62" s="7">
        <v>6.9800000000000001E-2</v>
      </c>
      <c r="F62" s="7" t="s">
        <v>94</v>
      </c>
      <c r="G62" s="7" t="s">
        <v>35</v>
      </c>
    </row>
    <row r="63" spans="1:7" x14ac:dyDescent="0.2">
      <c r="A63" s="6" t="s">
        <v>264</v>
      </c>
      <c r="B63" s="7">
        <v>23</v>
      </c>
      <c r="C63" s="7">
        <v>4</v>
      </c>
      <c r="D63" s="7">
        <v>0.1739</v>
      </c>
      <c r="E63" s="7">
        <v>6.9800000000000001E-2</v>
      </c>
      <c r="F63" s="7" t="s">
        <v>94</v>
      </c>
      <c r="G63" s="7" t="s">
        <v>17</v>
      </c>
    </row>
    <row r="64" spans="1:7" x14ac:dyDescent="0.2">
      <c r="A64" s="6" t="s">
        <v>266</v>
      </c>
      <c r="B64" s="7">
        <v>242</v>
      </c>
      <c r="C64" s="7">
        <v>33</v>
      </c>
      <c r="D64" s="7">
        <v>0.13639999999999999</v>
      </c>
      <c r="E64" s="7">
        <v>9.8799999999999999E-2</v>
      </c>
      <c r="F64" s="7" t="s">
        <v>35</v>
      </c>
      <c r="G64" s="7" t="s">
        <v>17</v>
      </c>
    </row>
    <row r="65" spans="1:7" x14ac:dyDescent="0.2">
      <c r="A65" s="6" t="s">
        <v>269</v>
      </c>
      <c r="B65" s="7">
        <v>173</v>
      </c>
      <c r="C65" s="7">
        <v>24</v>
      </c>
      <c r="D65" s="7">
        <v>0.13869999999999999</v>
      </c>
      <c r="E65" s="7">
        <v>9.5000000000000001E-2</v>
      </c>
      <c r="F65" s="7" t="s">
        <v>35</v>
      </c>
      <c r="G65" s="7" t="s">
        <v>17</v>
      </c>
    </row>
    <row r="66" spans="1:7" x14ac:dyDescent="0.2">
      <c r="A66" s="6" t="s">
        <v>271</v>
      </c>
      <c r="B66" s="7">
        <v>2</v>
      </c>
      <c r="C66" s="7">
        <v>1</v>
      </c>
      <c r="D66" s="7">
        <v>0.5</v>
      </c>
      <c r="E66" s="7">
        <v>9.4500000000000001E-2</v>
      </c>
      <c r="F66" s="7" t="s">
        <v>35</v>
      </c>
      <c r="G66" s="7" t="s">
        <v>94</v>
      </c>
    </row>
    <row r="67" spans="1:7" x14ac:dyDescent="0.2">
      <c r="A67" s="6" t="s">
        <v>272</v>
      </c>
      <c r="B67" s="7">
        <v>2</v>
      </c>
      <c r="C67" s="7">
        <v>1</v>
      </c>
      <c r="D67" s="7">
        <v>0.5</v>
      </c>
      <c r="E67" s="7">
        <v>9.4500000000000001E-2</v>
      </c>
      <c r="F67" s="7" t="s">
        <v>35</v>
      </c>
      <c r="G67" s="7" t="s">
        <v>17</v>
      </c>
    </row>
    <row r="68" spans="1:7" x14ac:dyDescent="0.2">
      <c r="A68" s="6" t="s">
        <v>273</v>
      </c>
      <c r="B68" s="7">
        <v>2</v>
      </c>
      <c r="C68" s="7">
        <v>1</v>
      </c>
      <c r="D68" s="7">
        <v>0.5</v>
      </c>
      <c r="E68" s="7">
        <v>9.4500000000000001E-2</v>
      </c>
      <c r="F68" s="7" t="s">
        <v>35</v>
      </c>
      <c r="G68" s="7" t="s">
        <v>94</v>
      </c>
    </row>
    <row r="69" spans="1:7" x14ac:dyDescent="0.2">
      <c r="A69" s="6" t="s">
        <v>275</v>
      </c>
      <c r="B69" s="7">
        <v>401</v>
      </c>
      <c r="C69" s="7">
        <v>49</v>
      </c>
      <c r="D69" s="7">
        <v>0.1222</v>
      </c>
      <c r="E69" s="7">
        <v>9.3700000000000006E-2</v>
      </c>
      <c r="F69" s="7" t="s">
        <v>35</v>
      </c>
      <c r="G69" s="7" t="s">
        <v>17</v>
      </c>
    </row>
    <row r="70" spans="1:7" x14ac:dyDescent="0.2">
      <c r="A70" s="6" t="s">
        <v>277</v>
      </c>
      <c r="B70" s="7">
        <v>697</v>
      </c>
      <c r="C70" s="7">
        <v>79</v>
      </c>
      <c r="D70" s="7">
        <v>0.1133</v>
      </c>
      <c r="E70" s="7">
        <v>9.1899999999999996E-2</v>
      </c>
      <c r="F70" s="7" t="s">
        <v>35</v>
      </c>
      <c r="G70" s="7" t="s">
        <v>17</v>
      </c>
    </row>
    <row r="71" spans="1:7" x14ac:dyDescent="0.2">
      <c r="A71" s="6" t="s">
        <v>288</v>
      </c>
      <c r="B71" s="7">
        <v>62</v>
      </c>
      <c r="C71" s="7">
        <v>9</v>
      </c>
      <c r="D71" s="7">
        <v>0.1452</v>
      </c>
      <c r="E71" s="7">
        <v>7.8299999999999995E-2</v>
      </c>
      <c r="F71" s="7" t="s">
        <v>35</v>
      </c>
      <c r="G71" s="7" t="s">
        <v>17</v>
      </c>
    </row>
    <row r="72" spans="1:7" x14ac:dyDescent="0.2">
      <c r="A72" s="6" t="s">
        <v>296</v>
      </c>
      <c r="B72" s="7">
        <v>50</v>
      </c>
      <c r="C72" s="7">
        <v>7</v>
      </c>
      <c r="D72" s="7">
        <v>0.14000000000000001</v>
      </c>
      <c r="E72" s="7">
        <v>6.9500000000000006E-2</v>
      </c>
      <c r="F72" s="7" t="s">
        <v>35</v>
      </c>
      <c r="G72" s="7" t="s">
        <v>17</v>
      </c>
    </row>
    <row r="73" spans="1:7" x14ac:dyDescent="0.2">
      <c r="A73" s="6" t="s">
        <v>298</v>
      </c>
      <c r="B73" s="7">
        <v>225</v>
      </c>
      <c r="C73" s="7">
        <v>23</v>
      </c>
      <c r="D73" s="7">
        <v>0.1022</v>
      </c>
      <c r="E73" s="7">
        <v>6.9099999999999995E-2</v>
      </c>
      <c r="F73" s="7" t="s">
        <v>35</v>
      </c>
      <c r="G73" s="7" t="s">
        <v>17</v>
      </c>
    </row>
    <row r="74" spans="1:7" x14ac:dyDescent="0.2">
      <c r="A74" s="6" t="s">
        <v>300</v>
      </c>
      <c r="B74" s="7">
        <v>16</v>
      </c>
      <c r="C74" s="7">
        <v>3</v>
      </c>
      <c r="D74" s="7">
        <v>0.1875</v>
      </c>
      <c r="E74" s="7">
        <v>6.59E-2</v>
      </c>
      <c r="F74" s="7" t="s">
        <v>35</v>
      </c>
      <c r="G74" s="7" t="s">
        <v>94</v>
      </c>
    </row>
    <row r="75" spans="1:7" x14ac:dyDescent="0.2">
      <c r="A75" s="6" t="s">
        <v>304</v>
      </c>
      <c r="B75" s="7">
        <v>54</v>
      </c>
      <c r="C75" s="7">
        <v>7</v>
      </c>
      <c r="D75" s="7">
        <v>0.12959999999999999</v>
      </c>
      <c r="E75" s="7">
        <v>6.4199999999999993E-2</v>
      </c>
      <c r="F75" s="7" t="s">
        <v>35</v>
      </c>
      <c r="G75" s="7" t="s">
        <v>94</v>
      </c>
    </row>
    <row r="76" spans="1:7" x14ac:dyDescent="0.2">
      <c r="A76" s="6" t="s">
        <v>306</v>
      </c>
      <c r="B76" s="7">
        <v>25</v>
      </c>
      <c r="C76" s="7">
        <v>4</v>
      </c>
      <c r="D76" s="7">
        <v>0.16</v>
      </c>
      <c r="E76" s="7">
        <v>6.4000000000000001E-2</v>
      </c>
      <c r="F76" s="7" t="s">
        <v>35</v>
      </c>
      <c r="G76" s="7" t="s">
        <v>17</v>
      </c>
    </row>
    <row r="77" spans="1:7" x14ac:dyDescent="0.2">
      <c r="A77" s="6" t="s">
        <v>308</v>
      </c>
      <c r="B77" s="7">
        <v>44</v>
      </c>
      <c r="C77" s="7">
        <v>6</v>
      </c>
      <c r="D77" s="7">
        <v>0.13639999999999999</v>
      </c>
      <c r="E77" s="7">
        <v>6.4000000000000001E-2</v>
      </c>
      <c r="F77" s="7" t="s">
        <v>35</v>
      </c>
      <c r="G77" s="7" t="s">
        <v>17</v>
      </c>
    </row>
    <row r="78" spans="1:7" x14ac:dyDescent="0.2">
      <c r="A78" s="6" t="s">
        <v>310</v>
      </c>
      <c r="B78" s="7">
        <v>300</v>
      </c>
      <c r="C78" s="7">
        <v>27</v>
      </c>
      <c r="D78" s="7">
        <v>0.09</v>
      </c>
      <c r="E78" s="7">
        <v>6.2600000000000003E-2</v>
      </c>
      <c r="F78" s="7" t="s">
        <v>35</v>
      </c>
      <c r="G78" s="7" t="s">
        <v>17</v>
      </c>
    </row>
    <row r="79" spans="1:7" x14ac:dyDescent="0.2">
      <c r="A79" s="6" t="s">
        <v>313</v>
      </c>
      <c r="B79" s="7">
        <v>3</v>
      </c>
      <c r="C79" s="7">
        <v>1</v>
      </c>
      <c r="D79" s="7">
        <v>0.33329999999999999</v>
      </c>
      <c r="E79" s="7">
        <v>6.1499999999999999E-2</v>
      </c>
      <c r="F79" s="7" t="s">
        <v>35</v>
      </c>
      <c r="G79" s="7" t="s">
        <v>94</v>
      </c>
    </row>
    <row r="80" spans="1:7" x14ac:dyDescent="0.2">
      <c r="A80" s="6" t="s">
        <v>314</v>
      </c>
      <c r="B80" s="7">
        <v>3</v>
      </c>
      <c r="C80" s="7">
        <v>1</v>
      </c>
      <c r="D80" s="7">
        <v>0.33329999999999999</v>
      </c>
      <c r="E80" s="7">
        <v>6.1499999999999999E-2</v>
      </c>
      <c r="F80" s="7" t="s">
        <v>35</v>
      </c>
      <c r="G80" s="7" t="s">
        <v>94</v>
      </c>
    </row>
    <row r="81" spans="1:7" x14ac:dyDescent="0.2">
      <c r="A81" s="6" t="s">
        <v>315</v>
      </c>
      <c r="B81" s="7">
        <v>3</v>
      </c>
      <c r="C81" s="7">
        <v>1</v>
      </c>
      <c r="D81" s="7">
        <v>0.33329999999999999</v>
      </c>
      <c r="E81" s="7">
        <v>6.1499999999999999E-2</v>
      </c>
      <c r="F81" s="7" t="s">
        <v>35</v>
      </c>
      <c r="G81" s="7" t="s">
        <v>94</v>
      </c>
    </row>
    <row r="82" spans="1:7" x14ac:dyDescent="0.2">
      <c r="A82" s="6" t="s">
        <v>316</v>
      </c>
      <c r="B82" s="7">
        <v>3</v>
      </c>
      <c r="C82" s="7">
        <v>1</v>
      </c>
      <c r="D82" s="7">
        <v>0.33329999999999999</v>
      </c>
      <c r="E82" s="7">
        <v>6.1499999999999999E-2</v>
      </c>
      <c r="F82" s="7" t="s">
        <v>35</v>
      </c>
      <c r="G82" s="7" t="s">
        <v>94</v>
      </c>
    </row>
    <row r="83" spans="1:7" x14ac:dyDescent="0.2">
      <c r="A83" s="6" t="s">
        <v>320</v>
      </c>
      <c r="B83" s="7">
        <v>27</v>
      </c>
      <c r="C83" s="7">
        <v>4</v>
      </c>
      <c r="D83" s="7">
        <v>0.14810000000000001</v>
      </c>
      <c r="E83" s="7">
        <v>5.9200000000000003E-2</v>
      </c>
      <c r="F83" s="7" t="s">
        <v>35</v>
      </c>
      <c r="G83" s="7" t="s">
        <v>17</v>
      </c>
    </row>
    <row r="84" spans="1:7" x14ac:dyDescent="0.2">
      <c r="A84" s="6" t="s">
        <v>322</v>
      </c>
      <c r="B84" s="7">
        <v>291</v>
      </c>
      <c r="C84" s="7">
        <v>25</v>
      </c>
      <c r="D84" s="7">
        <v>8.5900000000000004E-2</v>
      </c>
      <c r="E84" s="7">
        <v>5.8900000000000001E-2</v>
      </c>
      <c r="F84" s="7" t="s">
        <v>35</v>
      </c>
      <c r="G84" s="7" t="s">
        <v>17</v>
      </c>
    </row>
    <row r="85" spans="1:7" x14ac:dyDescent="0.2">
      <c r="A85" s="6" t="s">
        <v>330</v>
      </c>
      <c r="B85" s="7">
        <v>49</v>
      </c>
      <c r="C85" s="7">
        <v>6</v>
      </c>
      <c r="D85" s="7">
        <v>0.12239999999999999</v>
      </c>
      <c r="E85" s="7">
        <v>5.7299999999999997E-2</v>
      </c>
      <c r="F85" s="7" t="s">
        <v>35</v>
      </c>
      <c r="G85" s="7" t="s">
        <v>94</v>
      </c>
    </row>
    <row r="86" spans="1:7" x14ac:dyDescent="0.2">
      <c r="A86" s="6" t="s">
        <v>334</v>
      </c>
      <c r="B86" s="7">
        <v>10</v>
      </c>
      <c r="C86" s="7">
        <v>2</v>
      </c>
      <c r="D86" s="7">
        <v>0.2</v>
      </c>
      <c r="E86" s="7">
        <v>5.67E-2</v>
      </c>
      <c r="F86" s="7" t="s">
        <v>35</v>
      </c>
      <c r="G86" s="7" t="s">
        <v>94</v>
      </c>
    </row>
    <row r="87" spans="1:7" x14ac:dyDescent="0.2">
      <c r="A87" s="6" t="s">
        <v>335</v>
      </c>
      <c r="B87" s="7">
        <v>10</v>
      </c>
      <c r="C87" s="7">
        <v>2</v>
      </c>
      <c r="D87" s="7">
        <v>0.2</v>
      </c>
      <c r="E87" s="7">
        <v>5.67E-2</v>
      </c>
      <c r="F87" s="7" t="s">
        <v>35</v>
      </c>
      <c r="G87" s="7" t="s">
        <v>94</v>
      </c>
    </row>
    <row r="88" spans="1:7" x14ac:dyDescent="0.2">
      <c r="A88" s="6" t="s">
        <v>337</v>
      </c>
      <c r="B88" s="7">
        <v>207</v>
      </c>
      <c r="C88" s="7">
        <v>18</v>
      </c>
      <c r="D88" s="7">
        <v>8.6999999999999994E-2</v>
      </c>
      <c r="E88" s="7">
        <v>5.57E-2</v>
      </c>
      <c r="F88" s="7" t="s">
        <v>35</v>
      </c>
      <c r="G88" s="7" t="s">
        <v>17</v>
      </c>
    </row>
    <row r="89" spans="1:7" x14ac:dyDescent="0.2">
      <c r="A89" s="6" t="s">
        <v>339</v>
      </c>
      <c r="B89" s="7">
        <v>29</v>
      </c>
      <c r="C89" s="7">
        <v>4</v>
      </c>
      <c r="D89" s="7">
        <v>0.13789999999999999</v>
      </c>
      <c r="E89" s="7">
        <v>5.5E-2</v>
      </c>
      <c r="F89" s="7" t="s">
        <v>35</v>
      </c>
      <c r="G89" s="7" t="s">
        <v>17</v>
      </c>
    </row>
    <row r="90" spans="1:7" x14ac:dyDescent="0.2">
      <c r="A90" s="6" t="s">
        <v>340</v>
      </c>
      <c r="B90" s="7">
        <v>29</v>
      </c>
      <c r="C90" s="7">
        <v>4</v>
      </c>
      <c r="D90" s="7">
        <v>0.13789999999999999</v>
      </c>
      <c r="E90" s="7">
        <v>5.5E-2</v>
      </c>
      <c r="F90" s="7" t="s">
        <v>35</v>
      </c>
      <c r="G90" s="7" t="s">
        <v>17</v>
      </c>
    </row>
    <row r="91" spans="1:7" x14ac:dyDescent="0.2">
      <c r="A91" s="6" t="s">
        <v>341</v>
      </c>
      <c r="B91" s="7">
        <v>52</v>
      </c>
      <c r="C91" s="7">
        <v>6</v>
      </c>
      <c r="D91" s="7">
        <v>0.1154</v>
      </c>
      <c r="E91" s="7">
        <v>5.3999999999999999E-2</v>
      </c>
      <c r="F91" s="7" t="s">
        <v>35</v>
      </c>
      <c r="G91" s="7" t="s">
        <v>94</v>
      </c>
    </row>
    <row r="92" spans="1:7" x14ac:dyDescent="0.2">
      <c r="A92" s="6" t="s">
        <v>344</v>
      </c>
      <c r="B92" s="7">
        <v>31</v>
      </c>
      <c r="C92" s="7">
        <v>4</v>
      </c>
      <c r="D92" s="7">
        <v>0.129</v>
      </c>
      <c r="E92" s="7">
        <v>5.1299999999999998E-2</v>
      </c>
      <c r="F92" s="7" t="s">
        <v>35</v>
      </c>
      <c r="G92" s="7" t="s">
        <v>17</v>
      </c>
    </row>
    <row r="93" spans="1:7" x14ac:dyDescent="0.2">
      <c r="A93" s="6" t="s">
        <v>349</v>
      </c>
      <c r="B93" s="7">
        <v>143</v>
      </c>
      <c r="C93" s="7">
        <v>12</v>
      </c>
      <c r="D93" s="7">
        <v>8.3900000000000002E-2</v>
      </c>
      <c r="E93" s="7">
        <v>4.87E-2</v>
      </c>
      <c r="F93" s="7" t="s">
        <v>35</v>
      </c>
      <c r="G93" s="7" t="s">
        <v>17</v>
      </c>
    </row>
    <row r="94" spans="1:7" x14ac:dyDescent="0.2">
      <c r="A94" s="6" t="s">
        <v>354</v>
      </c>
      <c r="B94" s="7">
        <v>12</v>
      </c>
      <c r="C94" s="7">
        <v>2</v>
      </c>
      <c r="D94" s="7">
        <v>0.16669999999999999</v>
      </c>
      <c r="E94" s="7">
        <v>4.7E-2</v>
      </c>
      <c r="F94" s="7" t="s">
        <v>35</v>
      </c>
      <c r="G94" s="7" t="s">
        <v>17</v>
      </c>
    </row>
    <row r="95" spans="1:7" x14ac:dyDescent="0.2">
      <c r="A95" s="6" t="s">
        <v>355</v>
      </c>
      <c r="B95" s="7">
        <v>47</v>
      </c>
      <c r="C95" s="7">
        <v>5</v>
      </c>
      <c r="D95" s="7">
        <v>0.10639999999999999</v>
      </c>
      <c r="E95" s="7">
        <v>4.6300000000000001E-2</v>
      </c>
      <c r="F95" s="7" t="s">
        <v>35</v>
      </c>
      <c r="G95" s="7" t="s">
        <v>17</v>
      </c>
    </row>
    <row r="96" spans="1:7" x14ac:dyDescent="0.2">
      <c r="A96" s="6" t="s">
        <v>357</v>
      </c>
      <c r="B96" s="7">
        <v>4</v>
      </c>
      <c r="C96" s="7">
        <v>1</v>
      </c>
      <c r="D96" s="7">
        <v>0.25</v>
      </c>
      <c r="E96" s="7">
        <v>4.5600000000000002E-2</v>
      </c>
      <c r="F96" s="7" t="s">
        <v>35</v>
      </c>
      <c r="G96" s="7" t="s">
        <v>94</v>
      </c>
    </row>
    <row r="97" spans="1:7" x14ac:dyDescent="0.2">
      <c r="A97" s="6" t="s">
        <v>358</v>
      </c>
      <c r="B97" s="7">
        <v>4</v>
      </c>
      <c r="C97" s="7">
        <v>1</v>
      </c>
      <c r="D97" s="7">
        <v>0.25</v>
      </c>
      <c r="E97" s="7">
        <v>4.5600000000000002E-2</v>
      </c>
      <c r="F97" s="7" t="s">
        <v>35</v>
      </c>
      <c r="G97" s="7" t="s">
        <v>94</v>
      </c>
    </row>
    <row r="98" spans="1:7" x14ac:dyDescent="0.2">
      <c r="A98" s="6" t="s">
        <v>359</v>
      </c>
      <c r="B98" s="7">
        <v>4</v>
      </c>
      <c r="C98" s="7">
        <v>1</v>
      </c>
      <c r="D98" s="7">
        <v>0.25</v>
      </c>
      <c r="E98" s="7">
        <v>4.5600000000000002E-2</v>
      </c>
      <c r="F98" s="7" t="s">
        <v>35</v>
      </c>
      <c r="G98" s="7" t="s">
        <v>94</v>
      </c>
    </row>
    <row r="99" spans="1:7" x14ac:dyDescent="0.2">
      <c r="A99" s="6" t="s">
        <v>361</v>
      </c>
      <c r="B99" s="7">
        <v>4</v>
      </c>
      <c r="C99" s="7">
        <v>1</v>
      </c>
      <c r="D99" s="7">
        <v>0.25</v>
      </c>
      <c r="E99" s="7">
        <v>4.5600000000000002E-2</v>
      </c>
      <c r="F99" s="7" t="s">
        <v>35</v>
      </c>
      <c r="G99" s="7" t="s">
        <v>94</v>
      </c>
    </row>
    <row r="100" spans="1:7" x14ac:dyDescent="0.2">
      <c r="A100" s="6" t="s">
        <v>362</v>
      </c>
      <c r="B100" s="7">
        <v>4</v>
      </c>
      <c r="C100" s="7">
        <v>1</v>
      </c>
      <c r="D100" s="7">
        <v>0.25</v>
      </c>
      <c r="E100" s="7">
        <v>4.5600000000000002E-2</v>
      </c>
      <c r="F100" s="7" t="s">
        <v>35</v>
      </c>
      <c r="G100" s="7" t="s">
        <v>94</v>
      </c>
    </row>
    <row r="101" spans="1:7" x14ac:dyDescent="0.2">
      <c r="A101" s="6" t="s">
        <v>363</v>
      </c>
      <c r="B101" s="7">
        <v>4</v>
      </c>
      <c r="C101" s="7">
        <v>1</v>
      </c>
      <c r="D101" s="7">
        <v>0.25</v>
      </c>
      <c r="E101" s="7">
        <v>4.5600000000000002E-2</v>
      </c>
      <c r="F101" s="7" t="s">
        <v>35</v>
      </c>
      <c r="G101" s="7" t="s">
        <v>17</v>
      </c>
    </row>
    <row r="102" spans="1:7" x14ac:dyDescent="0.2">
      <c r="A102" s="6" t="s">
        <v>378</v>
      </c>
      <c r="B102" s="7">
        <v>115</v>
      </c>
      <c r="C102" s="7">
        <v>9</v>
      </c>
      <c r="D102" s="7">
        <v>7.8299999999999995E-2</v>
      </c>
      <c r="E102" s="7">
        <v>4.1700000000000001E-2</v>
      </c>
      <c r="F102" s="7" t="s">
        <v>35</v>
      </c>
      <c r="G102" s="7" t="s">
        <v>17</v>
      </c>
    </row>
    <row r="103" spans="1:7" x14ac:dyDescent="0.2">
      <c r="A103" s="6" t="s">
        <v>393</v>
      </c>
      <c r="B103" s="7">
        <v>5</v>
      </c>
      <c r="C103" s="7">
        <v>1</v>
      </c>
      <c r="D103" s="7">
        <v>0.2</v>
      </c>
      <c r="E103" s="7">
        <v>3.6200000000000003E-2</v>
      </c>
      <c r="F103" s="7" t="s">
        <v>35</v>
      </c>
      <c r="G103" s="7" t="s">
        <v>94</v>
      </c>
    </row>
    <row r="104" spans="1:7" x14ac:dyDescent="0.2">
      <c r="A104" s="6" t="s">
        <v>397</v>
      </c>
      <c r="B104" s="7">
        <v>154</v>
      </c>
      <c r="C104" s="7">
        <v>10</v>
      </c>
      <c r="D104" s="7">
        <v>6.4899999999999999E-2</v>
      </c>
      <c r="E104" s="7">
        <v>3.5700000000000003E-2</v>
      </c>
      <c r="F104" s="7" t="s">
        <v>35</v>
      </c>
      <c r="G104" s="7" t="s">
        <v>17</v>
      </c>
    </row>
    <row r="105" spans="1:7" x14ac:dyDescent="0.2">
      <c r="A105" s="6" t="s">
        <v>413</v>
      </c>
      <c r="B105" s="7">
        <v>86</v>
      </c>
      <c r="C105" s="7">
        <v>6</v>
      </c>
      <c r="D105" s="7">
        <v>6.9800000000000001E-2</v>
      </c>
      <c r="E105" s="7">
        <v>3.2399999999999998E-2</v>
      </c>
      <c r="F105" s="7" t="s">
        <v>35</v>
      </c>
      <c r="G105" s="7" t="s">
        <v>94</v>
      </c>
    </row>
    <row r="106" spans="1:7" x14ac:dyDescent="0.2">
      <c r="A106" s="6" t="s">
        <v>415</v>
      </c>
      <c r="B106" s="7">
        <v>109</v>
      </c>
      <c r="C106" s="7">
        <v>7</v>
      </c>
      <c r="D106" s="7">
        <v>6.4199999999999993E-2</v>
      </c>
      <c r="E106" s="7">
        <v>3.15E-2</v>
      </c>
      <c r="F106" s="7" t="s">
        <v>35</v>
      </c>
      <c r="G106" s="7" t="s">
        <v>17</v>
      </c>
    </row>
    <row r="107" spans="1:7" x14ac:dyDescent="0.2">
      <c r="A107" s="6" t="s">
        <v>427</v>
      </c>
      <c r="B107" s="7">
        <v>6</v>
      </c>
      <c r="C107" s="7">
        <v>1</v>
      </c>
      <c r="D107" s="7">
        <v>0.16669999999999999</v>
      </c>
      <c r="E107" s="7">
        <v>3.0099999999999998E-2</v>
      </c>
      <c r="F107" s="7" t="s">
        <v>35</v>
      </c>
      <c r="G107" s="7" t="s">
        <v>17</v>
      </c>
    </row>
    <row r="108" spans="1:7" x14ac:dyDescent="0.2">
      <c r="A108" s="6" t="s">
        <v>428</v>
      </c>
      <c r="B108" s="7">
        <v>6</v>
      </c>
      <c r="C108" s="7">
        <v>1</v>
      </c>
      <c r="D108" s="7">
        <v>0.16669999999999999</v>
      </c>
      <c r="E108" s="7">
        <v>3.0099999999999998E-2</v>
      </c>
      <c r="F108" s="7" t="s">
        <v>35</v>
      </c>
      <c r="G108" s="7" t="s">
        <v>94</v>
      </c>
    </row>
    <row r="109" spans="1:7" x14ac:dyDescent="0.2">
      <c r="A109" s="6" t="s">
        <v>455</v>
      </c>
      <c r="B109" s="7">
        <v>23</v>
      </c>
      <c r="C109" s="7">
        <v>2</v>
      </c>
      <c r="D109" s="7">
        <v>8.6999999999999994E-2</v>
      </c>
      <c r="E109" s="7">
        <v>2.4199999999999999E-2</v>
      </c>
      <c r="F109" s="7" t="s">
        <v>35</v>
      </c>
      <c r="G109" s="7" t="s">
        <v>94</v>
      </c>
    </row>
    <row r="110" spans="1:7" x14ac:dyDescent="0.2">
      <c r="A110" s="6" t="s">
        <v>476</v>
      </c>
      <c r="B110" s="7">
        <v>9</v>
      </c>
      <c r="C110" s="7">
        <v>1</v>
      </c>
      <c r="D110" s="7">
        <v>0.1111</v>
      </c>
      <c r="E110" s="7">
        <v>1.9900000000000001E-2</v>
      </c>
      <c r="F110" s="7" t="s">
        <v>35</v>
      </c>
      <c r="G110" s="7" t="s">
        <v>94</v>
      </c>
    </row>
    <row r="111" spans="1:7" x14ac:dyDescent="0.2">
      <c r="A111" s="6" t="s">
        <v>478</v>
      </c>
      <c r="B111" s="7">
        <v>9</v>
      </c>
      <c r="C111" s="7">
        <v>1</v>
      </c>
      <c r="D111" s="7">
        <v>0.1111</v>
      </c>
      <c r="E111" s="7">
        <v>1.9900000000000001E-2</v>
      </c>
      <c r="F111" s="7" t="s">
        <v>35</v>
      </c>
      <c r="G111" s="7" t="s">
        <v>17</v>
      </c>
    </row>
    <row r="112" spans="1:7" x14ac:dyDescent="0.2">
      <c r="A112" s="6" t="s">
        <v>487</v>
      </c>
      <c r="B112" s="7">
        <v>10</v>
      </c>
      <c r="C112" s="7">
        <v>1</v>
      </c>
      <c r="D112" s="7">
        <v>0.1</v>
      </c>
      <c r="E112" s="7">
        <v>1.7899999999999999E-2</v>
      </c>
      <c r="F112" s="7" t="s">
        <v>35</v>
      </c>
      <c r="G112" s="7" t="s">
        <v>94</v>
      </c>
    </row>
    <row r="113" spans="1:7" x14ac:dyDescent="0.2">
      <c r="A113" s="6" t="s">
        <v>498</v>
      </c>
      <c r="B113" s="7">
        <v>67</v>
      </c>
      <c r="C113" s="7">
        <v>3</v>
      </c>
      <c r="D113" s="7">
        <v>4.48E-2</v>
      </c>
      <c r="E113" s="7">
        <v>1.5299999999999999E-2</v>
      </c>
      <c r="F113" s="7" t="s">
        <v>35</v>
      </c>
      <c r="G113" s="7" t="s">
        <v>17</v>
      </c>
    </row>
    <row r="114" spans="1:7" x14ac:dyDescent="0.2">
      <c r="A114" s="6" t="s">
        <v>499</v>
      </c>
      <c r="B114" s="7">
        <v>104</v>
      </c>
      <c r="C114" s="7">
        <v>4</v>
      </c>
      <c r="D114" s="7">
        <v>3.85E-2</v>
      </c>
      <c r="E114" s="7">
        <v>1.5100000000000001E-2</v>
      </c>
      <c r="F114" s="7" t="s">
        <v>35</v>
      </c>
      <c r="G114" s="7" t="s">
        <v>17</v>
      </c>
    </row>
    <row r="115" spans="1:7" x14ac:dyDescent="0.2">
      <c r="A115" s="6" t="s">
        <v>528</v>
      </c>
      <c r="B115" s="7">
        <v>51</v>
      </c>
      <c r="C115" s="7">
        <v>2</v>
      </c>
      <c r="D115" s="7">
        <v>3.9199999999999999E-2</v>
      </c>
      <c r="E115" s="7">
        <v>1.0800000000000001E-2</v>
      </c>
      <c r="F115" s="7" t="s">
        <v>35</v>
      </c>
      <c r="G115" s="7" t="s">
        <v>17</v>
      </c>
    </row>
    <row r="116" spans="1:7" x14ac:dyDescent="0.2">
      <c r="A116" s="6" t="s">
        <v>552</v>
      </c>
      <c r="B116" s="7">
        <v>21</v>
      </c>
      <c r="C116" s="7">
        <v>1</v>
      </c>
      <c r="D116" s="7">
        <v>4.7600000000000003E-2</v>
      </c>
      <c r="E116" s="7">
        <v>8.5000000000000006E-3</v>
      </c>
      <c r="F116" s="7" t="s">
        <v>35</v>
      </c>
      <c r="G116" s="7" t="s">
        <v>94</v>
      </c>
    </row>
    <row r="117" spans="1:7" x14ac:dyDescent="0.2">
      <c r="A117" s="6" t="s">
        <v>600</v>
      </c>
      <c r="B117" s="7">
        <v>52</v>
      </c>
      <c r="C117" s="7">
        <v>1</v>
      </c>
      <c r="D117" s="7">
        <v>1.9199999999999998E-2</v>
      </c>
      <c r="E117" s="7">
        <v>3.3999999999999998E-3</v>
      </c>
      <c r="F117" s="7" t="s">
        <v>35</v>
      </c>
      <c r="G117" s="7" t="s">
        <v>94</v>
      </c>
    </row>
    <row r="118" spans="1:7" x14ac:dyDescent="0.2">
      <c r="A118" s="6" t="s">
        <v>604</v>
      </c>
      <c r="B118" s="7">
        <v>56</v>
      </c>
      <c r="C118" s="7">
        <v>1</v>
      </c>
      <c r="D118" s="7">
        <v>1.7899999999999999E-2</v>
      </c>
      <c r="E118" s="7">
        <v>3.2000000000000002E-3</v>
      </c>
      <c r="F118" s="7" t="s">
        <v>35</v>
      </c>
      <c r="G118" s="7" t="s">
        <v>17</v>
      </c>
    </row>
    <row r="119" spans="1:7" x14ac:dyDescent="0.2">
      <c r="A119" s="6" t="s">
        <v>1080</v>
      </c>
      <c r="B119" s="7">
        <v>3</v>
      </c>
      <c r="C119" s="7">
        <v>0</v>
      </c>
      <c r="D119" s="7">
        <v>0</v>
      </c>
      <c r="E119" s="7">
        <v>0</v>
      </c>
      <c r="F119" s="7" t="s">
        <v>35</v>
      </c>
      <c r="G119" s="7" t="s">
        <v>94</v>
      </c>
    </row>
    <row r="120" spans="1:7" x14ac:dyDescent="0.2">
      <c r="A120" s="6" t="s">
        <v>1172</v>
      </c>
      <c r="B120" s="7">
        <v>4</v>
      </c>
      <c r="C120" s="7">
        <v>0</v>
      </c>
      <c r="D120" s="7">
        <v>0</v>
      </c>
      <c r="E120" s="7">
        <v>0</v>
      </c>
      <c r="F120" s="7" t="s">
        <v>35</v>
      </c>
      <c r="G120" s="7" t="s">
        <v>17</v>
      </c>
    </row>
    <row r="121" spans="1:7" x14ac:dyDescent="0.2">
      <c r="A121" s="6" t="s">
        <v>1221</v>
      </c>
      <c r="B121" s="7">
        <v>5</v>
      </c>
      <c r="C121" s="7">
        <v>0</v>
      </c>
      <c r="D121" s="7">
        <v>0</v>
      </c>
      <c r="E121" s="7">
        <v>0</v>
      </c>
      <c r="F121" s="7" t="s">
        <v>35</v>
      </c>
      <c r="G121" s="7" t="s">
        <v>94</v>
      </c>
    </row>
    <row r="122" spans="1:7" x14ac:dyDescent="0.2">
      <c r="A122" s="6" t="s">
        <v>1313</v>
      </c>
      <c r="B122" s="7">
        <v>6</v>
      </c>
      <c r="C122" s="7">
        <v>0</v>
      </c>
      <c r="D122" s="7">
        <v>0</v>
      </c>
      <c r="E122" s="7">
        <v>0</v>
      </c>
      <c r="F122" s="7" t="s">
        <v>35</v>
      </c>
      <c r="G122" s="7" t="s">
        <v>17</v>
      </c>
    </row>
    <row r="123" spans="1:7" x14ac:dyDescent="0.2">
      <c r="A123" s="6" t="s">
        <v>1436</v>
      </c>
      <c r="B123" s="7">
        <v>10</v>
      </c>
      <c r="C123" s="7">
        <v>0</v>
      </c>
      <c r="D123" s="7">
        <v>0</v>
      </c>
      <c r="E123" s="7">
        <v>0</v>
      </c>
      <c r="F123" s="7" t="s">
        <v>35</v>
      </c>
      <c r="G123" s="7" t="s">
        <v>17</v>
      </c>
    </row>
    <row r="124" spans="1:7" x14ac:dyDescent="0.2">
      <c r="A124" s="6" t="s">
        <v>1480</v>
      </c>
      <c r="B124" s="7">
        <v>12</v>
      </c>
      <c r="C124" s="7">
        <v>0</v>
      </c>
      <c r="D124" s="7">
        <v>0</v>
      </c>
      <c r="E124" s="7">
        <v>0</v>
      </c>
      <c r="F124" s="7" t="s">
        <v>35</v>
      </c>
      <c r="G124" s="7" t="s">
        <v>94</v>
      </c>
    </row>
    <row r="125" spans="1:7" x14ac:dyDescent="0.2">
      <c r="A125" s="6" t="s">
        <v>1593</v>
      </c>
      <c r="B125" s="7">
        <v>18</v>
      </c>
      <c r="C125" s="7">
        <v>0</v>
      </c>
      <c r="D125" s="7">
        <v>0</v>
      </c>
      <c r="E125" s="7">
        <v>0</v>
      </c>
      <c r="F125" s="7" t="s">
        <v>35</v>
      </c>
      <c r="G125" s="7" t="s">
        <v>94</v>
      </c>
    </row>
    <row r="126" spans="1:7" x14ac:dyDescent="0.2">
      <c r="A126" s="6" t="s">
        <v>1632</v>
      </c>
      <c r="B126" s="7">
        <v>20</v>
      </c>
      <c r="C126" s="7">
        <v>0</v>
      </c>
      <c r="D126" s="7">
        <v>0</v>
      </c>
      <c r="E126" s="7">
        <v>0</v>
      </c>
      <c r="F126" s="7" t="s">
        <v>35</v>
      </c>
      <c r="G126" s="7" t="s">
        <v>17</v>
      </c>
    </row>
    <row r="127" spans="1:7" x14ac:dyDescent="0.2">
      <c r="A127" s="6" t="s">
        <v>1692</v>
      </c>
      <c r="B127" s="7">
        <v>26</v>
      </c>
      <c r="C127" s="7">
        <v>0</v>
      </c>
      <c r="D127" s="7">
        <v>0</v>
      </c>
      <c r="E127" s="7">
        <v>0</v>
      </c>
      <c r="F127" s="7" t="s">
        <v>35</v>
      </c>
      <c r="G127" s="7" t="s">
        <v>17</v>
      </c>
    </row>
    <row r="128" spans="1:7" x14ac:dyDescent="0.2">
      <c r="A128" s="6" t="s">
        <v>1872</v>
      </c>
      <c r="B128" s="7">
        <v>67</v>
      </c>
      <c r="C128" s="7">
        <v>0</v>
      </c>
      <c r="D128" s="7">
        <v>0</v>
      </c>
      <c r="E128" s="7">
        <v>0</v>
      </c>
      <c r="F128" s="7" t="s">
        <v>35</v>
      </c>
      <c r="G128" s="7" t="s">
        <v>94</v>
      </c>
    </row>
    <row r="129" spans="1:7" x14ac:dyDescent="0.2">
      <c r="A129" s="6" t="s">
        <v>1888</v>
      </c>
      <c r="B129" s="7">
        <v>73</v>
      </c>
      <c r="C129" s="7">
        <v>0</v>
      </c>
      <c r="D129" s="7">
        <v>0</v>
      </c>
      <c r="E129" s="7">
        <v>0</v>
      </c>
      <c r="F129" s="7" t="s">
        <v>35</v>
      </c>
      <c r="G129" s="7" t="s">
        <v>17</v>
      </c>
    </row>
  </sheetData>
  <autoFilter ref="A3:G129"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29"/>
  <sheetViews>
    <sheetView workbookViewId="0">
      <pane ySplit="4" topLeftCell="A5" activePane="bottomLeft" state="frozen"/>
      <selection pane="bottomLeft"/>
    </sheetView>
  </sheetViews>
  <sheetFormatPr baseColWidth="10" defaultColWidth="8.83203125" defaultRowHeight="15" x14ac:dyDescent="0.2"/>
  <cols>
    <col min="1" max="1" width="22" customWidth="1"/>
    <col min="2" max="7" width="12" customWidth="1"/>
    <col min="8" max="8" width="9" customWidth="1"/>
  </cols>
  <sheetData>
    <row r="1" spans="1:8" ht="17" x14ac:dyDescent="0.2">
      <c r="A1" s="3" t="s">
        <v>2020</v>
      </c>
    </row>
    <row r="2" spans="1:8" x14ac:dyDescent="0.2">
      <c r="A2" s="4" t="s">
        <v>7</v>
      </c>
    </row>
    <row r="4" spans="1:8" x14ac:dyDescent="0.2">
      <c r="A4" s="5" t="s">
        <v>2021</v>
      </c>
      <c r="B4" s="5" t="s">
        <v>9</v>
      </c>
      <c r="C4" s="5" t="s">
        <v>10</v>
      </c>
      <c r="D4" s="5" t="s">
        <v>11</v>
      </c>
      <c r="E4" s="5" t="s">
        <v>12</v>
      </c>
      <c r="F4" s="5" t="s">
        <v>13</v>
      </c>
      <c r="G4" s="5" t="s">
        <v>14</v>
      </c>
      <c r="H4" s="5" t="s">
        <v>15</v>
      </c>
    </row>
    <row r="5" spans="1:8" x14ac:dyDescent="0.2">
      <c r="A5" s="6" t="s">
        <v>2022</v>
      </c>
      <c r="B5" s="7">
        <v>4</v>
      </c>
      <c r="C5" s="7">
        <v>4</v>
      </c>
      <c r="D5" s="7">
        <v>1</v>
      </c>
      <c r="E5" s="7">
        <v>0.5101</v>
      </c>
      <c r="F5" s="8" t="s">
        <v>17</v>
      </c>
      <c r="G5" s="8" t="s">
        <v>17</v>
      </c>
      <c r="H5" t="str">
        <f t="shared" ref="H5:H68" si="0">IF(F5=G5,"YES","NO")</f>
        <v>YES</v>
      </c>
    </row>
    <row r="6" spans="1:8" x14ac:dyDescent="0.2">
      <c r="A6" s="6" t="s">
        <v>2023</v>
      </c>
      <c r="B6" s="7">
        <v>7</v>
      </c>
      <c r="C6" s="7">
        <v>5</v>
      </c>
      <c r="D6" s="7">
        <v>0.71430000000000005</v>
      </c>
      <c r="E6" s="7">
        <v>0.3589</v>
      </c>
      <c r="F6" s="8" t="s">
        <v>17</v>
      </c>
      <c r="G6" s="8" t="s">
        <v>35</v>
      </c>
      <c r="H6" t="str">
        <f t="shared" si="0"/>
        <v>NO</v>
      </c>
    </row>
    <row r="7" spans="1:8" x14ac:dyDescent="0.2">
      <c r="A7" s="6" t="s">
        <v>2024</v>
      </c>
      <c r="B7" s="7">
        <v>2</v>
      </c>
      <c r="C7" s="7">
        <v>2</v>
      </c>
      <c r="D7" s="7">
        <v>1</v>
      </c>
      <c r="E7" s="7">
        <v>0.34239999999999998</v>
      </c>
      <c r="F7" s="8" t="s">
        <v>17</v>
      </c>
      <c r="G7" s="8" t="s">
        <v>17</v>
      </c>
      <c r="H7" t="str">
        <f t="shared" si="0"/>
        <v>YES</v>
      </c>
    </row>
    <row r="8" spans="1:8" x14ac:dyDescent="0.2">
      <c r="A8" s="6" t="s">
        <v>2025</v>
      </c>
      <c r="B8" s="7">
        <v>347</v>
      </c>
      <c r="C8" s="7">
        <v>131</v>
      </c>
      <c r="D8" s="7">
        <v>0.3775</v>
      </c>
      <c r="E8" s="7">
        <v>0.3281</v>
      </c>
      <c r="F8" s="8" t="s">
        <v>17</v>
      </c>
      <c r="G8" s="8" t="s">
        <v>17</v>
      </c>
      <c r="H8" t="str">
        <f t="shared" si="0"/>
        <v>YES</v>
      </c>
    </row>
    <row r="9" spans="1:8" x14ac:dyDescent="0.2">
      <c r="A9" s="6" t="s">
        <v>2026</v>
      </c>
      <c r="B9" s="7">
        <v>1151</v>
      </c>
      <c r="C9" s="7">
        <v>367</v>
      </c>
      <c r="D9" s="7">
        <v>0.31890000000000002</v>
      </c>
      <c r="E9" s="7">
        <v>0.29260000000000003</v>
      </c>
      <c r="F9" s="8" t="s">
        <v>17</v>
      </c>
      <c r="G9" s="8" t="s">
        <v>17</v>
      </c>
      <c r="H9" t="str">
        <f t="shared" si="0"/>
        <v>YES</v>
      </c>
    </row>
    <row r="10" spans="1:8" x14ac:dyDescent="0.2">
      <c r="A10" s="6" t="s">
        <v>2027</v>
      </c>
      <c r="B10" s="7">
        <v>672</v>
      </c>
      <c r="C10" s="7">
        <v>216</v>
      </c>
      <c r="D10" s="7">
        <v>0.32140000000000002</v>
      </c>
      <c r="E10" s="7">
        <v>0.28720000000000001</v>
      </c>
      <c r="F10" s="8" t="s">
        <v>17</v>
      </c>
      <c r="G10" s="8" t="s">
        <v>17</v>
      </c>
      <c r="H10" t="str">
        <f t="shared" si="0"/>
        <v>YES</v>
      </c>
    </row>
    <row r="11" spans="1:8" x14ac:dyDescent="0.2">
      <c r="A11" s="6" t="s">
        <v>2028</v>
      </c>
      <c r="B11" s="7">
        <v>394</v>
      </c>
      <c r="C11" s="7">
        <v>121</v>
      </c>
      <c r="D11" s="7">
        <v>0.30709999999999998</v>
      </c>
      <c r="E11" s="7">
        <v>0.2636</v>
      </c>
      <c r="F11" s="8" t="s">
        <v>17</v>
      </c>
      <c r="G11" s="8" t="s">
        <v>17</v>
      </c>
      <c r="H11" t="str">
        <f t="shared" si="0"/>
        <v>YES</v>
      </c>
    </row>
    <row r="12" spans="1:8" x14ac:dyDescent="0.2">
      <c r="A12" s="6" t="s">
        <v>2029</v>
      </c>
      <c r="B12" s="7">
        <v>991</v>
      </c>
      <c r="C12" s="7">
        <v>288</v>
      </c>
      <c r="D12" s="7">
        <v>0.29060000000000002</v>
      </c>
      <c r="E12" s="7">
        <v>0.26319999999999999</v>
      </c>
      <c r="F12" s="8" t="s">
        <v>17</v>
      </c>
      <c r="G12" s="8" t="s">
        <v>17</v>
      </c>
      <c r="H12" t="str">
        <f t="shared" si="0"/>
        <v>YES</v>
      </c>
    </row>
    <row r="13" spans="1:8" x14ac:dyDescent="0.2">
      <c r="A13" s="6" t="s">
        <v>2030</v>
      </c>
      <c r="B13" s="7">
        <v>7</v>
      </c>
      <c r="C13" s="7">
        <v>4</v>
      </c>
      <c r="D13" s="7">
        <v>0.57140000000000002</v>
      </c>
      <c r="E13" s="7">
        <v>0.2505</v>
      </c>
      <c r="F13" s="8" t="s">
        <v>17</v>
      </c>
      <c r="G13" s="8" t="s">
        <v>17</v>
      </c>
      <c r="H13" t="str">
        <f t="shared" si="0"/>
        <v>YES</v>
      </c>
    </row>
    <row r="14" spans="1:8" x14ac:dyDescent="0.2">
      <c r="A14" s="6" t="s">
        <v>2031</v>
      </c>
      <c r="B14" s="7">
        <v>132</v>
      </c>
      <c r="C14" s="7">
        <v>42</v>
      </c>
      <c r="D14" s="7">
        <v>0.31819999999999998</v>
      </c>
      <c r="E14" s="7">
        <v>0.24479999999999999</v>
      </c>
      <c r="F14" s="8" t="s">
        <v>17</v>
      </c>
      <c r="G14" s="8" t="s">
        <v>17</v>
      </c>
      <c r="H14" t="str">
        <f t="shared" si="0"/>
        <v>YES</v>
      </c>
    </row>
    <row r="15" spans="1:8" x14ac:dyDescent="0.2">
      <c r="A15" s="6" t="s">
        <v>2032</v>
      </c>
      <c r="B15" s="7">
        <v>3641</v>
      </c>
      <c r="C15" s="7">
        <v>878</v>
      </c>
      <c r="D15" s="7">
        <v>0.24110000000000001</v>
      </c>
      <c r="E15" s="7">
        <v>0.22750000000000001</v>
      </c>
      <c r="F15" s="8" t="s">
        <v>17</v>
      </c>
      <c r="G15" s="8" t="s">
        <v>17</v>
      </c>
      <c r="H15" t="str">
        <f t="shared" si="0"/>
        <v>YES</v>
      </c>
    </row>
    <row r="16" spans="1:8" x14ac:dyDescent="0.2">
      <c r="A16" s="6" t="s">
        <v>2033</v>
      </c>
      <c r="B16" s="7">
        <v>29</v>
      </c>
      <c r="C16" s="7">
        <v>11</v>
      </c>
      <c r="D16" s="7">
        <v>0.37930000000000003</v>
      </c>
      <c r="E16" s="7">
        <v>0.22689999999999999</v>
      </c>
      <c r="F16" s="8" t="s">
        <v>17</v>
      </c>
      <c r="G16" s="8" t="s">
        <v>35</v>
      </c>
      <c r="H16" t="str">
        <f t="shared" si="0"/>
        <v>NO</v>
      </c>
    </row>
    <row r="17" spans="1:8" x14ac:dyDescent="0.2">
      <c r="A17" s="6" t="s">
        <v>2034</v>
      </c>
      <c r="B17" s="7">
        <v>421</v>
      </c>
      <c r="C17" s="7">
        <v>111</v>
      </c>
      <c r="D17" s="7">
        <v>0.26369999999999999</v>
      </c>
      <c r="E17" s="7">
        <v>0.2238</v>
      </c>
      <c r="F17" s="8" t="s">
        <v>17</v>
      </c>
      <c r="G17" s="8" t="s">
        <v>17</v>
      </c>
      <c r="H17" t="str">
        <f t="shared" si="0"/>
        <v>YES</v>
      </c>
    </row>
    <row r="18" spans="1:8" x14ac:dyDescent="0.2">
      <c r="A18" s="6" t="s">
        <v>2035</v>
      </c>
      <c r="B18" s="7">
        <v>1</v>
      </c>
      <c r="C18" s="7">
        <v>1</v>
      </c>
      <c r="D18" s="7">
        <v>1</v>
      </c>
      <c r="E18" s="7">
        <v>0.20649999999999999</v>
      </c>
      <c r="F18" s="8" t="s">
        <v>17</v>
      </c>
      <c r="G18" s="8" t="s">
        <v>17</v>
      </c>
      <c r="H18" t="str">
        <f t="shared" si="0"/>
        <v>YES</v>
      </c>
    </row>
    <row r="19" spans="1:8" x14ac:dyDescent="0.2">
      <c r="A19" s="6" t="s">
        <v>2036</v>
      </c>
      <c r="B19" s="7">
        <v>1</v>
      </c>
      <c r="C19" s="7">
        <v>1</v>
      </c>
      <c r="D19" s="7">
        <v>1</v>
      </c>
      <c r="E19" s="7">
        <v>0.20649999999999999</v>
      </c>
      <c r="F19" s="8" t="s">
        <v>17</v>
      </c>
      <c r="G19" s="8" t="s">
        <v>17</v>
      </c>
      <c r="H19" t="str">
        <f t="shared" si="0"/>
        <v>YES</v>
      </c>
    </row>
    <row r="20" spans="1:8" x14ac:dyDescent="0.2">
      <c r="A20" s="6" t="s">
        <v>2037</v>
      </c>
      <c r="B20" s="7">
        <v>1150</v>
      </c>
      <c r="C20" s="7">
        <v>264</v>
      </c>
      <c r="D20" s="7">
        <v>0.2296</v>
      </c>
      <c r="E20" s="7">
        <v>0.20619999999999999</v>
      </c>
      <c r="F20" s="8" t="s">
        <v>17</v>
      </c>
      <c r="G20" s="8" t="s">
        <v>17</v>
      </c>
      <c r="H20" t="str">
        <f t="shared" si="0"/>
        <v>YES</v>
      </c>
    </row>
    <row r="21" spans="1:8" x14ac:dyDescent="0.2">
      <c r="A21" s="6" t="s">
        <v>2038</v>
      </c>
      <c r="B21" s="7">
        <v>493</v>
      </c>
      <c r="C21" s="7">
        <v>104</v>
      </c>
      <c r="D21" s="7">
        <v>0.21099999999999999</v>
      </c>
      <c r="E21" s="7">
        <v>0.1772</v>
      </c>
      <c r="F21" s="8" t="s">
        <v>17</v>
      </c>
      <c r="G21" s="8" t="s">
        <v>17</v>
      </c>
      <c r="H21" t="str">
        <f t="shared" si="0"/>
        <v>YES</v>
      </c>
    </row>
    <row r="22" spans="1:8" x14ac:dyDescent="0.2">
      <c r="A22" s="6" t="s">
        <v>2039</v>
      </c>
      <c r="B22" s="7">
        <v>288</v>
      </c>
      <c r="C22" s="7">
        <v>62</v>
      </c>
      <c r="D22" s="7">
        <v>0.21529999999999999</v>
      </c>
      <c r="E22" s="7">
        <v>0.17169999999999999</v>
      </c>
      <c r="F22" s="8" t="s">
        <v>17</v>
      </c>
      <c r="G22" s="8" t="s">
        <v>17</v>
      </c>
      <c r="H22" t="str">
        <f t="shared" si="0"/>
        <v>YES</v>
      </c>
    </row>
    <row r="23" spans="1:8" x14ac:dyDescent="0.2">
      <c r="A23" s="6" t="s">
        <v>2040</v>
      </c>
      <c r="B23" s="7">
        <v>2331</v>
      </c>
      <c r="C23" s="7">
        <v>432</v>
      </c>
      <c r="D23" s="7">
        <v>0.18529999999999999</v>
      </c>
      <c r="E23" s="7">
        <v>0.1701</v>
      </c>
      <c r="F23" s="8" t="s">
        <v>17</v>
      </c>
      <c r="G23" s="8" t="s">
        <v>17</v>
      </c>
      <c r="H23" t="str">
        <f t="shared" si="0"/>
        <v>YES</v>
      </c>
    </row>
    <row r="24" spans="1:8" x14ac:dyDescent="0.2">
      <c r="A24" s="6" t="s">
        <v>2041</v>
      </c>
      <c r="B24" s="7">
        <v>845</v>
      </c>
      <c r="C24" s="7">
        <v>161</v>
      </c>
      <c r="D24" s="7">
        <v>0.1905</v>
      </c>
      <c r="E24" s="7">
        <v>0.16550000000000001</v>
      </c>
      <c r="F24" s="8" t="s">
        <v>17</v>
      </c>
      <c r="G24" s="8" t="s">
        <v>17</v>
      </c>
      <c r="H24" t="str">
        <f t="shared" si="0"/>
        <v>YES</v>
      </c>
    </row>
    <row r="25" spans="1:8" x14ac:dyDescent="0.2">
      <c r="A25" s="6" t="s">
        <v>2042</v>
      </c>
      <c r="B25" s="7">
        <v>93</v>
      </c>
      <c r="C25" s="7">
        <v>21</v>
      </c>
      <c r="D25" s="7">
        <v>0.2258</v>
      </c>
      <c r="E25" s="7">
        <v>0.1527</v>
      </c>
      <c r="F25" s="8" t="s">
        <v>17</v>
      </c>
      <c r="G25" s="8" t="s">
        <v>17</v>
      </c>
      <c r="H25" t="str">
        <f t="shared" si="0"/>
        <v>YES</v>
      </c>
    </row>
    <row r="26" spans="1:8" x14ac:dyDescent="0.2">
      <c r="A26" s="6" t="s">
        <v>2043</v>
      </c>
      <c r="B26" s="7">
        <v>26823</v>
      </c>
      <c r="C26" s="7">
        <v>4149</v>
      </c>
      <c r="D26" s="7">
        <v>0.1547</v>
      </c>
      <c r="E26" s="7">
        <v>0.15040000000000001</v>
      </c>
      <c r="F26" s="8" t="s">
        <v>17</v>
      </c>
      <c r="G26" s="8" t="s">
        <v>17</v>
      </c>
      <c r="H26" t="str">
        <f t="shared" si="0"/>
        <v>YES</v>
      </c>
    </row>
    <row r="27" spans="1:8" x14ac:dyDescent="0.2">
      <c r="A27" s="6" t="s">
        <v>2044</v>
      </c>
      <c r="B27" s="7">
        <v>43</v>
      </c>
      <c r="C27" s="7">
        <v>11</v>
      </c>
      <c r="D27" s="7">
        <v>0.25580000000000003</v>
      </c>
      <c r="E27" s="7">
        <v>0.14929999999999999</v>
      </c>
      <c r="F27" s="8" t="s">
        <v>17</v>
      </c>
      <c r="G27" s="8" t="s">
        <v>17</v>
      </c>
      <c r="H27" t="str">
        <f t="shared" si="0"/>
        <v>YES</v>
      </c>
    </row>
    <row r="28" spans="1:8" x14ac:dyDescent="0.2">
      <c r="A28" s="6" t="s">
        <v>2045</v>
      </c>
      <c r="B28" s="7">
        <v>86</v>
      </c>
      <c r="C28" s="7">
        <v>19</v>
      </c>
      <c r="D28" s="7">
        <v>0.22090000000000001</v>
      </c>
      <c r="E28" s="7">
        <v>0.1462</v>
      </c>
      <c r="F28" s="8" t="s">
        <v>17</v>
      </c>
      <c r="G28" s="8" t="s">
        <v>17</v>
      </c>
      <c r="H28" t="str">
        <f t="shared" si="0"/>
        <v>YES</v>
      </c>
    </row>
    <row r="29" spans="1:8" x14ac:dyDescent="0.2">
      <c r="A29" s="6" t="s">
        <v>2046</v>
      </c>
      <c r="B29" s="7">
        <v>861</v>
      </c>
      <c r="C29" s="7">
        <v>140</v>
      </c>
      <c r="D29" s="7">
        <v>0.16259999999999999</v>
      </c>
      <c r="E29" s="7">
        <v>0.13950000000000001</v>
      </c>
      <c r="F29" s="8" t="s">
        <v>17</v>
      </c>
      <c r="G29" s="8" t="s">
        <v>17</v>
      </c>
      <c r="H29" t="str">
        <f t="shared" si="0"/>
        <v>YES</v>
      </c>
    </row>
    <row r="30" spans="1:8" x14ac:dyDescent="0.2">
      <c r="A30" s="6" t="s">
        <v>2047</v>
      </c>
      <c r="B30" s="7">
        <v>1294</v>
      </c>
      <c r="C30" s="7">
        <v>204</v>
      </c>
      <c r="D30" s="7">
        <v>0.15770000000000001</v>
      </c>
      <c r="E30" s="7">
        <v>0.13880000000000001</v>
      </c>
      <c r="F30" s="8" t="s">
        <v>17</v>
      </c>
      <c r="G30" s="8" t="s">
        <v>17</v>
      </c>
      <c r="H30" t="str">
        <f t="shared" si="0"/>
        <v>YES</v>
      </c>
    </row>
    <row r="31" spans="1:8" x14ac:dyDescent="0.2">
      <c r="A31" s="6" t="s">
        <v>2048</v>
      </c>
      <c r="B31" s="7">
        <v>1021</v>
      </c>
      <c r="C31" s="7">
        <v>162</v>
      </c>
      <c r="D31" s="7">
        <v>0.15870000000000001</v>
      </c>
      <c r="E31" s="7">
        <v>0.13750000000000001</v>
      </c>
      <c r="F31" s="8" t="s">
        <v>17</v>
      </c>
      <c r="G31" s="8" t="s">
        <v>17</v>
      </c>
      <c r="H31" t="str">
        <f t="shared" si="0"/>
        <v>YES</v>
      </c>
    </row>
    <row r="32" spans="1:8" x14ac:dyDescent="0.2">
      <c r="A32" s="6" t="s">
        <v>2049</v>
      </c>
      <c r="B32" s="7">
        <v>1394</v>
      </c>
      <c r="C32" s="7">
        <v>211</v>
      </c>
      <c r="D32" s="7">
        <v>0.15140000000000001</v>
      </c>
      <c r="E32" s="7">
        <v>0.13350000000000001</v>
      </c>
      <c r="F32" s="8" t="s">
        <v>17</v>
      </c>
      <c r="G32" s="8" t="s">
        <v>17</v>
      </c>
      <c r="H32" t="str">
        <f t="shared" si="0"/>
        <v>YES</v>
      </c>
    </row>
    <row r="33" spans="1:8" x14ac:dyDescent="0.2">
      <c r="A33" s="6" t="s">
        <v>2050</v>
      </c>
      <c r="B33" s="7">
        <v>4441</v>
      </c>
      <c r="C33" s="7">
        <v>609</v>
      </c>
      <c r="D33" s="7">
        <v>0.1371</v>
      </c>
      <c r="E33" s="7">
        <v>0.1273</v>
      </c>
      <c r="F33" s="8" t="s">
        <v>17</v>
      </c>
      <c r="G33" s="8" t="s">
        <v>17</v>
      </c>
      <c r="H33" t="str">
        <f t="shared" si="0"/>
        <v>YES</v>
      </c>
    </row>
    <row r="34" spans="1:8" x14ac:dyDescent="0.2">
      <c r="A34" s="6" t="s">
        <v>2051</v>
      </c>
      <c r="B34" s="7">
        <v>18</v>
      </c>
      <c r="C34" s="7">
        <v>5</v>
      </c>
      <c r="D34" s="7">
        <v>0.27779999999999999</v>
      </c>
      <c r="E34" s="7">
        <v>0.125</v>
      </c>
      <c r="F34" s="8" t="s">
        <v>17</v>
      </c>
      <c r="G34" s="8" t="s">
        <v>17</v>
      </c>
      <c r="H34" t="str">
        <f t="shared" si="0"/>
        <v>YES</v>
      </c>
    </row>
    <row r="35" spans="1:8" x14ac:dyDescent="0.2">
      <c r="A35" s="6" t="s">
        <v>2052</v>
      </c>
      <c r="B35" s="7">
        <v>595</v>
      </c>
      <c r="C35" s="7">
        <v>90</v>
      </c>
      <c r="D35" s="7">
        <v>0.15129999999999999</v>
      </c>
      <c r="E35" s="7">
        <v>0.12470000000000001</v>
      </c>
      <c r="F35" s="8" t="s">
        <v>17</v>
      </c>
      <c r="G35" s="8" t="s">
        <v>35</v>
      </c>
      <c r="H35" t="str">
        <f t="shared" si="0"/>
        <v>NO</v>
      </c>
    </row>
    <row r="36" spans="1:8" x14ac:dyDescent="0.2">
      <c r="A36" s="6" t="s">
        <v>2053</v>
      </c>
      <c r="B36" s="7">
        <v>30</v>
      </c>
      <c r="C36" s="7">
        <v>7</v>
      </c>
      <c r="D36" s="7">
        <v>0.23330000000000001</v>
      </c>
      <c r="E36" s="7">
        <v>0.1179</v>
      </c>
      <c r="F36" s="8" t="s">
        <v>17</v>
      </c>
      <c r="G36" s="8" t="s">
        <v>35</v>
      </c>
      <c r="H36" t="str">
        <f t="shared" si="0"/>
        <v>NO</v>
      </c>
    </row>
    <row r="37" spans="1:8" x14ac:dyDescent="0.2">
      <c r="A37" s="6" t="s">
        <v>2054</v>
      </c>
      <c r="B37" s="7">
        <v>5</v>
      </c>
      <c r="C37" s="7">
        <v>2</v>
      </c>
      <c r="D37" s="7">
        <v>0.4</v>
      </c>
      <c r="E37" s="7">
        <v>0.1176</v>
      </c>
      <c r="F37" s="8" t="s">
        <v>17</v>
      </c>
      <c r="G37" s="8" t="s">
        <v>35</v>
      </c>
      <c r="H37" t="str">
        <f t="shared" si="0"/>
        <v>NO</v>
      </c>
    </row>
    <row r="38" spans="1:8" x14ac:dyDescent="0.2">
      <c r="A38" s="6" t="s">
        <v>2055</v>
      </c>
      <c r="B38" s="7">
        <v>48</v>
      </c>
      <c r="C38" s="7">
        <v>10</v>
      </c>
      <c r="D38" s="7">
        <v>0.20830000000000001</v>
      </c>
      <c r="E38" s="7">
        <v>0.1173</v>
      </c>
      <c r="F38" s="8" t="s">
        <v>17</v>
      </c>
      <c r="G38" s="8" t="s">
        <v>94</v>
      </c>
      <c r="H38" t="str">
        <f t="shared" si="0"/>
        <v>NO</v>
      </c>
    </row>
    <row r="39" spans="1:8" x14ac:dyDescent="0.2">
      <c r="A39" s="6" t="s">
        <v>2056</v>
      </c>
      <c r="B39" s="7">
        <v>68</v>
      </c>
      <c r="C39" s="7">
        <v>13</v>
      </c>
      <c r="D39" s="7">
        <v>0.19120000000000001</v>
      </c>
      <c r="E39" s="7">
        <v>0.1153</v>
      </c>
      <c r="F39" s="8" t="s">
        <v>17</v>
      </c>
      <c r="G39" s="8" t="s">
        <v>35</v>
      </c>
      <c r="H39" t="str">
        <f t="shared" si="0"/>
        <v>NO</v>
      </c>
    </row>
    <row r="40" spans="1:8" x14ac:dyDescent="0.2">
      <c r="A40" s="6" t="s">
        <v>2057</v>
      </c>
      <c r="B40" s="7">
        <v>3950</v>
      </c>
      <c r="C40" s="7">
        <v>455</v>
      </c>
      <c r="D40" s="7">
        <v>0.1152</v>
      </c>
      <c r="E40" s="7">
        <v>0.1056</v>
      </c>
      <c r="F40" s="8" t="s">
        <v>17</v>
      </c>
      <c r="G40" s="8" t="s">
        <v>35</v>
      </c>
      <c r="H40" t="str">
        <f t="shared" si="0"/>
        <v>NO</v>
      </c>
    </row>
    <row r="41" spans="1:8" x14ac:dyDescent="0.2">
      <c r="A41" s="6" t="s">
        <v>2058</v>
      </c>
      <c r="B41" s="7">
        <v>1055</v>
      </c>
      <c r="C41" s="7">
        <v>122</v>
      </c>
      <c r="D41" s="7">
        <v>0.11559999999999999</v>
      </c>
      <c r="E41" s="7">
        <v>9.7699999999999995E-2</v>
      </c>
      <c r="F41" s="8" t="s">
        <v>35</v>
      </c>
      <c r="G41" s="8" t="s">
        <v>35</v>
      </c>
      <c r="H41" t="str">
        <f t="shared" si="0"/>
        <v>YES</v>
      </c>
    </row>
    <row r="42" spans="1:8" x14ac:dyDescent="0.2">
      <c r="A42" s="6" t="s">
        <v>2059</v>
      </c>
      <c r="B42" s="7">
        <v>559</v>
      </c>
      <c r="C42" s="7">
        <v>68</v>
      </c>
      <c r="D42" s="7">
        <v>0.1216</v>
      </c>
      <c r="E42" s="7">
        <v>9.7100000000000006E-2</v>
      </c>
      <c r="F42" s="8" t="s">
        <v>35</v>
      </c>
      <c r="G42" s="8" t="s">
        <v>35</v>
      </c>
      <c r="H42" t="str">
        <f t="shared" si="0"/>
        <v>YES</v>
      </c>
    </row>
    <row r="43" spans="1:8" x14ac:dyDescent="0.2">
      <c r="A43" s="6" t="s">
        <v>2060</v>
      </c>
      <c r="B43" s="7">
        <v>1892</v>
      </c>
      <c r="C43" s="7">
        <v>199</v>
      </c>
      <c r="D43" s="7">
        <v>0.1052</v>
      </c>
      <c r="E43" s="7">
        <v>9.2100000000000001E-2</v>
      </c>
      <c r="F43" s="8" t="s">
        <v>35</v>
      </c>
      <c r="G43" s="8" t="s">
        <v>35</v>
      </c>
      <c r="H43" t="str">
        <f t="shared" si="0"/>
        <v>YES</v>
      </c>
    </row>
    <row r="44" spans="1:8" x14ac:dyDescent="0.2">
      <c r="A44" s="6" t="s">
        <v>2061</v>
      </c>
      <c r="B44" s="7">
        <v>6148</v>
      </c>
      <c r="C44" s="7">
        <v>601</v>
      </c>
      <c r="D44" s="7">
        <v>9.7799999999999998E-2</v>
      </c>
      <c r="E44" s="7">
        <v>9.06E-2</v>
      </c>
      <c r="F44" s="8" t="s">
        <v>35</v>
      </c>
      <c r="G44" s="8" t="s">
        <v>35</v>
      </c>
      <c r="H44" t="str">
        <f t="shared" si="0"/>
        <v>YES</v>
      </c>
    </row>
    <row r="45" spans="1:8" x14ac:dyDescent="0.2">
      <c r="A45" s="6" t="s">
        <v>2062</v>
      </c>
      <c r="B45" s="7">
        <v>635</v>
      </c>
      <c r="C45" s="7">
        <v>71</v>
      </c>
      <c r="D45" s="7">
        <v>0.1118</v>
      </c>
      <c r="E45" s="7">
        <v>8.9599999999999999E-2</v>
      </c>
      <c r="F45" s="8" t="s">
        <v>35</v>
      </c>
      <c r="G45" s="8" t="s">
        <v>17</v>
      </c>
      <c r="H45" t="str">
        <f t="shared" si="0"/>
        <v>NO</v>
      </c>
    </row>
    <row r="46" spans="1:8" x14ac:dyDescent="0.2">
      <c r="A46" s="6" t="s">
        <v>2063</v>
      </c>
      <c r="B46" s="7">
        <v>2732</v>
      </c>
      <c r="C46" s="7">
        <v>271</v>
      </c>
      <c r="D46" s="7">
        <v>9.9199999999999997E-2</v>
      </c>
      <c r="E46" s="7">
        <v>8.8499999999999995E-2</v>
      </c>
      <c r="F46" s="8" t="s">
        <v>35</v>
      </c>
      <c r="G46" s="8" t="s">
        <v>35</v>
      </c>
      <c r="H46" t="str">
        <f t="shared" si="0"/>
        <v>YES</v>
      </c>
    </row>
    <row r="47" spans="1:8" x14ac:dyDescent="0.2">
      <c r="A47" s="6" t="s">
        <v>2064</v>
      </c>
      <c r="B47" s="7">
        <v>237</v>
      </c>
      <c r="C47" s="7">
        <v>28</v>
      </c>
      <c r="D47" s="7">
        <v>0.1181</v>
      </c>
      <c r="E47" s="7">
        <v>8.3000000000000004E-2</v>
      </c>
      <c r="F47" s="8" t="s">
        <v>35</v>
      </c>
      <c r="G47" s="8" t="s">
        <v>35</v>
      </c>
      <c r="H47" t="str">
        <f t="shared" si="0"/>
        <v>YES</v>
      </c>
    </row>
    <row r="48" spans="1:8" x14ac:dyDescent="0.2">
      <c r="A48" s="6" t="s">
        <v>2065</v>
      </c>
      <c r="B48" s="7">
        <v>7</v>
      </c>
      <c r="C48" s="7">
        <v>2</v>
      </c>
      <c r="D48" s="7">
        <v>0.28570000000000001</v>
      </c>
      <c r="E48" s="7">
        <v>8.2199999999999995E-2</v>
      </c>
      <c r="F48" s="8" t="s">
        <v>35</v>
      </c>
      <c r="G48" s="8" t="s">
        <v>94</v>
      </c>
      <c r="H48" t="str">
        <f t="shared" si="0"/>
        <v>NO</v>
      </c>
    </row>
    <row r="49" spans="1:8" x14ac:dyDescent="0.2">
      <c r="A49" s="6" t="s">
        <v>2066</v>
      </c>
      <c r="B49" s="7">
        <v>879</v>
      </c>
      <c r="C49" s="7">
        <v>85</v>
      </c>
      <c r="D49" s="7">
        <v>9.6699999999999994E-2</v>
      </c>
      <c r="E49" s="7">
        <v>7.8899999999999998E-2</v>
      </c>
      <c r="F49" s="8" t="s">
        <v>35</v>
      </c>
      <c r="G49" s="8" t="s">
        <v>35</v>
      </c>
      <c r="H49" t="str">
        <f t="shared" si="0"/>
        <v>YES</v>
      </c>
    </row>
    <row r="50" spans="1:8" x14ac:dyDescent="0.2">
      <c r="A50" s="6" t="s">
        <v>2067</v>
      </c>
      <c r="B50" s="7">
        <v>1055</v>
      </c>
      <c r="C50" s="7">
        <v>100</v>
      </c>
      <c r="D50" s="7">
        <v>9.4799999999999995E-2</v>
      </c>
      <c r="E50" s="7">
        <v>7.8600000000000003E-2</v>
      </c>
      <c r="F50" s="8" t="s">
        <v>35</v>
      </c>
      <c r="G50" s="8" t="s">
        <v>17</v>
      </c>
      <c r="H50" t="str">
        <f t="shared" si="0"/>
        <v>NO</v>
      </c>
    </row>
    <row r="51" spans="1:8" x14ac:dyDescent="0.2">
      <c r="A51" s="6" t="s">
        <v>2068</v>
      </c>
      <c r="B51" s="7">
        <v>1749</v>
      </c>
      <c r="C51" s="7">
        <v>155</v>
      </c>
      <c r="D51" s="7">
        <v>8.8599999999999998E-2</v>
      </c>
      <c r="E51" s="7">
        <v>7.6200000000000004E-2</v>
      </c>
      <c r="F51" s="8" t="s">
        <v>35</v>
      </c>
      <c r="G51" s="8" t="s">
        <v>35</v>
      </c>
      <c r="H51" t="str">
        <f t="shared" si="0"/>
        <v>YES</v>
      </c>
    </row>
    <row r="52" spans="1:8" x14ac:dyDescent="0.2">
      <c r="A52" s="6" t="s">
        <v>2069</v>
      </c>
      <c r="B52" s="7">
        <v>487</v>
      </c>
      <c r="C52" s="7">
        <v>46</v>
      </c>
      <c r="D52" s="7">
        <v>9.4500000000000001E-2</v>
      </c>
      <c r="E52" s="7">
        <v>7.1599999999999997E-2</v>
      </c>
      <c r="F52" s="8" t="s">
        <v>35</v>
      </c>
      <c r="G52" s="8" t="s">
        <v>35</v>
      </c>
      <c r="H52" t="str">
        <f t="shared" si="0"/>
        <v>YES</v>
      </c>
    </row>
    <row r="53" spans="1:8" x14ac:dyDescent="0.2">
      <c r="A53" s="6" t="s">
        <v>2070</v>
      </c>
      <c r="B53" s="7">
        <v>1258</v>
      </c>
      <c r="C53" s="7">
        <v>104</v>
      </c>
      <c r="D53" s="7">
        <v>8.2699999999999996E-2</v>
      </c>
      <c r="E53" s="7">
        <v>6.8699999999999997E-2</v>
      </c>
      <c r="F53" s="8" t="s">
        <v>35</v>
      </c>
      <c r="G53" s="8" t="s">
        <v>35</v>
      </c>
      <c r="H53" t="str">
        <f t="shared" si="0"/>
        <v>YES</v>
      </c>
    </row>
    <row r="54" spans="1:8" x14ac:dyDescent="0.2">
      <c r="A54" s="6" t="s">
        <v>2071</v>
      </c>
      <c r="B54" s="7">
        <v>515</v>
      </c>
      <c r="C54" s="7">
        <v>45</v>
      </c>
      <c r="D54" s="7">
        <v>8.7400000000000005E-2</v>
      </c>
      <c r="E54" s="7">
        <v>6.59E-2</v>
      </c>
      <c r="F54" s="8" t="s">
        <v>35</v>
      </c>
      <c r="G54" s="8" t="s">
        <v>35</v>
      </c>
      <c r="H54" t="str">
        <f t="shared" si="0"/>
        <v>YES</v>
      </c>
    </row>
    <row r="55" spans="1:8" x14ac:dyDescent="0.2">
      <c r="A55" s="6" t="s">
        <v>2072</v>
      </c>
      <c r="B55" s="7">
        <v>118</v>
      </c>
      <c r="C55" s="7">
        <v>13</v>
      </c>
      <c r="D55" s="7">
        <v>0.11020000000000001</v>
      </c>
      <c r="E55" s="7">
        <v>6.5500000000000003E-2</v>
      </c>
      <c r="F55" s="8" t="s">
        <v>35</v>
      </c>
      <c r="G55" s="8" t="s">
        <v>35</v>
      </c>
      <c r="H55" t="str">
        <f t="shared" si="0"/>
        <v>YES</v>
      </c>
    </row>
    <row r="56" spans="1:8" x14ac:dyDescent="0.2">
      <c r="A56" s="6" t="s">
        <v>2073</v>
      </c>
      <c r="B56" s="7">
        <v>2264</v>
      </c>
      <c r="C56" s="7">
        <v>170</v>
      </c>
      <c r="D56" s="7">
        <v>7.51E-2</v>
      </c>
      <c r="E56" s="7">
        <v>6.4899999999999999E-2</v>
      </c>
      <c r="F56" s="8" t="s">
        <v>35</v>
      </c>
      <c r="G56" s="8" t="s">
        <v>35</v>
      </c>
      <c r="H56" t="str">
        <f t="shared" si="0"/>
        <v>YES</v>
      </c>
    </row>
    <row r="57" spans="1:8" x14ac:dyDescent="0.2">
      <c r="A57" s="6" t="s">
        <v>2074</v>
      </c>
      <c r="B57" s="7">
        <v>819</v>
      </c>
      <c r="C57" s="7">
        <v>67</v>
      </c>
      <c r="D57" s="7">
        <v>8.1799999999999998E-2</v>
      </c>
      <c r="E57" s="7">
        <v>6.4899999999999999E-2</v>
      </c>
      <c r="F57" s="8" t="s">
        <v>35</v>
      </c>
      <c r="G57" s="8" t="s">
        <v>35</v>
      </c>
      <c r="H57" t="str">
        <f t="shared" si="0"/>
        <v>YES</v>
      </c>
    </row>
    <row r="58" spans="1:8" x14ac:dyDescent="0.2">
      <c r="A58" s="6" t="s">
        <v>2075</v>
      </c>
      <c r="B58" s="7">
        <v>2615</v>
      </c>
      <c r="C58" s="7">
        <v>193</v>
      </c>
      <c r="D58" s="7">
        <v>7.3800000000000004E-2</v>
      </c>
      <c r="E58" s="7">
        <v>6.4399999999999999E-2</v>
      </c>
      <c r="F58" s="8" t="s">
        <v>35</v>
      </c>
      <c r="G58" s="8" t="s">
        <v>35</v>
      </c>
      <c r="H58" t="str">
        <f t="shared" si="0"/>
        <v>YES</v>
      </c>
    </row>
    <row r="59" spans="1:8" x14ac:dyDescent="0.2">
      <c r="A59" s="6" t="s">
        <v>2076</v>
      </c>
      <c r="B59" s="7">
        <v>226</v>
      </c>
      <c r="C59" s="7">
        <v>21</v>
      </c>
      <c r="D59" s="7">
        <v>9.2899999999999996E-2</v>
      </c>
      <c r="E59" s="7">
        <v>6.1600000000000002E-2</v>
      </c>
      <c r="F59" s="8" t="s">
        <v>35</v>
      </c>
      <c r="G59" s="8" t="s">
        <v>17</v>
      </c>
      <c r="H59" t="str">
        <f t="shared" si="0"/>
        <v>NO</v>
      </c>
    </row>
    <row r="60" spans="1:8" x14ac:dyDescent="0.2">
      <c r="A60" s="6" t="s">
        <v>2077</v>
      </c>
      <c r="B60" s="7">
        <v>3</v>
      </c>
      <c r="C60" s="7">
        <v>1</v>
      </c>
      <c r="D60" s="7">
        <v>0.33329999999999999</v>
      </c>
      <c r="E60" s="7">
        <v>6.1499999999999999E-2</v>
      </c>
      <c r="F60" s="8" t="s">
        <v>35</v>
      </c>
      <c r="G60" s="8" t="s">
        <v>35</v>
      </c>
      <c r="H60" t="str">
        <f t="shared" si="0"/>
        <v>YES</v>
      </c>
    </row>
    <row r="61" spans="1:8" x14ac:dyDescent="0.2">
      <c r="A61" s="6" t="s">
        <v>2078</v>
      </c>
      <c r="B61" s="7">
        <v>2721</v>
      </c>
      <c r="C61" s="7">
        <v>189</v>
      </c>
      <c r="D61" s="7">
        <v>6.9500000000000006E-2</v>
      </c>
      <c r="E61" s="7">
        <v>6.0499999999999998E-2</v>
      </c>
      <c r="F61" s="8" t="s">
        <v>35</v>
      </c>
      <c r="G61" s="8" t="s">
        <v>35</v>
      </c>
      <c r="H61" t="str">
        <f t="shared" si="0"/>
        <v>YES</v>
      </c>
    </row>
    <row r="62" spans="1:8" x14ac:dyDescent="0.2">
      <c r="A62" s="6" t="s">
        <v>2079</v>
      </c>
      <c r="B62" s="7">
        <v>27</v>
      </c>
      <c r="C62" s="7">
        <v>4</v>
      </c>
      <c r="D62" s="7">
        <v>0.14810000000000001</v>
      </c>
      <c r="E62" s="7">
        <v>5.9200000000000003E-2</v>
      </c>
      <c r="F62" s="8" t="s">
        <v>35</v>
      </c>
      <c r="G62" s="8" t="s">
        <v>17</v>
      </c>
      <c r="H62" t="str">
        <f t="shared" si="0"/>
        <v>NO</v>
      </c>
    </row>
    <row r="63" spans="1:8" x14ac:dyDescent="0.2">
      <c r="A63" s="6" t="s">
        <v>2080</v>
      </c>
      <c r="B63" s="7">
        <v>212</v>
      </c>
      <c r="C63" s="7">
        <v>19</v>
      </c>
      <c r="D63" s="7">
        <v>8.9599999999999999E-2</v>
      </c>
      <c r="E63" s="7">
        <v>5.8099999999999999E-2</v>
      </c>
      <c r="F63" s="8" t="s">
        <v>35</v>
      </c>
      <c r="G63" s="8" t="s">
        <v>17</v>
      </c>
      <c r="H63" t="str">
        <f t="shared" si="0"/>
        <v>NO</v>
      </c>
    </row>
    <row r="64" spans="1:8" x14ac:dyDescent="0.2">
      <c r="A64" s="6" t="s">
        <v>2081</v>
      </c>
      <c r="B64" s="7">
        <v>297</v>
      </c>
      <c r="C64" s="7">
        <v>25</v>
      </c>
      <c r="D64" s="7">
        <v>8.4199999999999997E-2</v>
      </c>
      <c r="E64" s="7">
        <v>5.7700000000000001E-2</v>
      </c>
      <c r="F64" s="8" t="s">
        <v>35</v>
      </c>
      <c r="G64" s="8" t="s">
        <v>35</v>
      </c>
      <c r="H64" t="str">
        <f t="shared" si="0"/>
        <v>YES</v>
      </c>
    </row>
    <row r="65" spans="1:8" x14ac:dyDescent="0.2">
      <c r="A65" s="6" t="s">
        <v>2082</v>
      </c>
      <c r="B65" s="7">
        <v>99</v>
      </c>
      <c r="C65" s="7">
        <v>10</v>
      </c>
      <c r="D65" s="7">
        <v>0.10100000000000001</v>
      </c>
      <c r="E65" s="7">
        <v>5.5800000000000002E-2</v>
      </c>
      <c r="F65" s="8" t="s">
        <v>35</v>
      </c>
      <c r="G65" s="8" t="s">
        <v>35</v>
      </c>
      <c r="H65" t="str">
        <f t="shared" si="0"/>
        <v>YES</v>
      </c>
    </row>
    <row r="66" spans="1:8" x14ac:dyDescent="0.2">
      <c r="A66" s="6" t="s">
        <v>2083</v>
      </c>
      <c r="B66" s="7">
        <v>534</v>
      </c>
      <c r="C66" s="7">
        <v>39</v>
      </c>
      <c r="D66" s="7">
        <v>7.2999999999999995E-2</v>
      </c>
      <c r="E66" s="7">
        <v>5.3900000000000003E-2</v>
      </c>
      <c r="F66" s="8" t="s">
        <v>35</v>
      </c>
      <c r="G66" s="8" t="s">
        <v>35</v>
      </c>
      <c r="H66" t="str">
        <f t="shared" si="0"/>
        <v>YES</v>
      </c>
    </row>
    <row r="67" spans="1:8" x14ac:dyDescent="0.2">
      <c r="A67" s="6" t="s">
        <v>2084</v>
      </c>
      <c r="B67" s="7">
        <v>1128</v>
      </c>
      <c r="C67" s="7">
        <v>71</v>
      </c>
      <c r="D67" s="7">
        <v>6.2899999999999998E-2</v>
      </c>
      <c r="E67" s="7">
        <v>5.0200000000000002E-2</v>
      </c>
      <c r="F67" s="8" t="s">
        <v>35</v>
      </c>
      <c r="G67" s="8" t="s">
        <v>35</v>
      </c>
      <c r="H67" t="str">
        <f t="shared" si="0"/>
        <v>YES</v>
      </c>
    </row>
    <row r="68" spans="1:8" x14ac:dyDescent="0.2">
      <c r="A68" s="6" t="s">
        <v>2085</v>
      </c>
      <c r="B68" s="7">
        <v>655</v>
      </c>
      <c r="C68" s="7">
        <v>43</v>
      </c>
      <c r="D68" s="7">
        <v>6.5600000000000006E-2</v>
      </c>
      <c r="E68" s="7">
        <v>4.9099999999999998E-2</v>
      </c>
      <c r="F68" s="8" t="s">
        <v>35</v>
      </c>
      <c r="G68" s="8" t="s">
        <v>35</v>
      </c>
      <c r="H68" t="str">
        <f t="shared" si="0"/>
        <v>YES</v>
      </c>
    </row>
    <row r="69" spans="1:8" x14ac:dyDescent="0.2">
      <c r="A69" s="6" t="s">
        <v>2086</v>
      </c>
      <c r="B69" s="7">
        <v>727</v>
      </c>
      <c r="C69" s="7">
        <v>45</v>
      </c>
      <c r="D69" s="7">
        <v>6.1899999999999997E-2</v>
      </c>
      <c r="E69" s="7">
        <v>4.6600000000000003E-2</v>
      </c>
      <c r="F69" s="8" t="s">
        <v>35</v>
      </c>
      <c r="G69" s="8" t="s">
        <v>35</v>
      </c>
      <c r="H69" t="str">
        <f t="shared" ref="H69:H132" si="1">IF(F69=G69,"YES","NO")</f>
        <v>YES</v>
      </c>
    </row>
    <row r="70" spans="1:8" x14ac:dyDescent="0.2">
      <c r="A70" s="6" t="s">
        <v>2087</v>
      </c>
      <c r="B70" s="7">
        <v>4</v>
      </c>
      <c r="C70" s="7">
        <v>1</v>
      </c>
      <c r="D70" s="7">
        <v>0.25</v>
      </c>
      <c r="E70" s="7">
        <v>4.5600000000000002E-2</v>
      </c>
      <c r="F70" s="8" t="s">
        <v>35</v>
      </c>
      <c r="G70" s="8" t="s">
        <v>35</v>
      </c>
      <c r="H70" t="str">
        <f t="shared" si="1"/>
        <v>YES</v>
      </c>
    </row>
    <row r="71" spans="1:8" x14ac:dyDescent="0.2">
      <c r="A71" s="6" t="s">
        <v>2088</v>
      </c>
      <c r="B71" s="7">
        <v>210</v>
      </c>
      <c r="C71" s="7">
        <v>15</v>
      </c>
      <c r="D71" s="7">
        <v>7.1400000000000005E-2</v>
      </c>
      <c r="E71" s="7">
        <v>4.3799999999999999E-2</v>
      </c>
      <c r="F71" s="8" t="s">
        <v>35</v>
      </c>
      <c r="G71" s="8" t="s">
        <v>35</v>
      </c>
      <c r="H71" t="str">
        <f t="shared" si="1"/>
        <v>YES</v>
      </c>
    </row>
    <row r="72" spans="1:8" x14ac:dyDescent="0.2">
      <c r="A72" s="6" t="s">
        <v>2089</v>
      </c>
      <c r="B72" s="7">
        <v>131</v>
      </c>
      <c r="C72" s="7">
        <v>10</v>
      </c>
      <c r="D72" s="7">
        <v>7.6300000000000007E-2</v>
      </c>
      <c r="E72" s="7">
        <v>4.2000000000000003E-2</v>
      </c>
      <c r="F72" s="8" t="s">
        <v>35</v>
      </c>
      <c r="G72" s="8" t="s">
        <v>35</v>
      </c>
      <c r="H72" t="str">
        <f t="shared" si="1"/>
        <v>YES</v>
      </c>
    </row>
    <row r="73" spans="1:8" x14ac:dyDescent="0.2">
      <c r="A73" s="6" t="s">
        <v>2090</v>
      </c>
      <c r="B73" s="7">
        <v>804</v>
      </c>
      <c r="C73" s="7">
        <v>44</v>
      </c>
      <c r="D73" s="7">
        <v>5.4699999999999999E-2</v>
      </c>
      <c r="E73" s="7">
        <v>4.1000000000000002E-2</v>
      </c>
      <c r="F73" s="8" t="s">
        <v>35</v>
      </c>
      <c r="G73" s="8" t="s">
        <v>35</v>
      </c>
      <c r="H73" t="str">
        <f t="shared" si="1"/>
        <v>YES</v>
      </c>
    </row>
    <row r="74" spans="1:8" x14ac:dyDescent="0.2">
      <c r="A74" s="6" t="s">
        <v>2091</v>
      </c>
      <c r="B74" s="7">
        <v>314</v>
      </c>
      <c r="C74" s="7">
        <v>19</v>
      </c>
      <c r="D74" s="7">
        <v>6.0499999999999998E-2</v>
      </c>
      <c r="E74" s="7">
        <v>3.9100000000000003E-2</v>
      </c>
      <c r="F74" s="8" t="s">
        <v>35</v>
      </c>
      <c r="G74" s="8" t="s">
        <v>35</v>
      </c>
      <c r="H74" t="str">
        <f t="shared" si="1"/>
        <v>YES</v>
      </c>
    </row>
    <row r="75" spans="1:8" x14ac:dyDescent="0.2">
      <c r="A75" s="6" t="s">
        <v>2092</v>
      </c>
      <c r="B75" s="7">
        <v>306</v>
      </c>
      <c r="C75" s="7">
        <v>18</v>
      </c>
      <c r="D75" s="7">
        <v>5.8799999999999998E-2</v>
      </c>
      <c r="E75" s="7">
        <v>3.7499999999999999E-2</v>
      </c>
      <c r="F75" s="8" t="s">
        <v>35</v>
      </c>
      <c r="G75" s="8" t="s">
        <v>17</v>
      </c>
      <c r="H75" t="str">
        <f t="shared" si="1"/>
        <v>NO</v>
      </c>
    </row>
    <row r="76" spans="1:8" x14ac:dyDescent="0.2">
      <c r="A76" s="6" t="s">
        <v>2093</v>
      </c>
      <c r="B76" s="7">
        <v>2387</v>
      </c>
      <c r="C76" s="7">
        <v>105</v>
      </c>
      <c r="D76" s="7">
        <v>4.3999999999999997E-2</v>
      </c>
      <c r="E76" s="7">
        <v>3.6499999999999998E-2</v>
      </c>
      <c r="F76" s="8" t="s">
        <v>35</v>
      </c>
      <c r="G76" s="8" t="s">
        <v>35</v>
      </c>
      <c r="H76" t="str">
        <f t="shared" si="1"/>
        <v>YES</v>
      </c>
    </row>
    <row r="77" spans="1:8" x14ac:dyDescent="0.2">
      <c r="A77" s="6" t="s">
        <v>2094</v>
      </c>
      <c r="B77" s="7">
        <v>5</v>
      </c>
      <c r="C77" s="7">
        <v>1</v>
      </c>
      <c r="D77" s="7">
        <v>0.2</v>
      </c>
      <c r="E77" s="7">
        <v>3.6200000000000003E-2</v>
      </c>
      <c r="F77" s="8" t="s">
        <v>35</v>
      </c>
      <c r="G77" s="8" t="s">
        <v>35</v>
      </c>
      <c r="H77" t="str">
        <f t="shared" si="1"/>
        <v>YES</v>
      </c>
    </row>
    <row r="78" spans="1:8" x14ac:dyDescent="0.2">
      <c r="A78" s="6" t="s">
        <v>2095</v>
      </c>
      <c r="B78" s="7">
        <v>173</v>
      </c>
      <c r="C78" s="7">
        <v>11</v>
      </c>
      <c r="D78" s="7">
        <v>6.3600000000000004E-2</v>
      </c>
      <c r="E78" s="7">
        <v>3.5900000000000001E-2</v>
      </c>
      <c r="F78" s="8" t="s">
        <v>35</v>
      </c>
      <c r="G78" s="8" t="s">
        <v>17</v>
      </c>
      <c r="H78" t="str">
        <f t="shared" si="1"/>
        <v>NO</v>
      </c>
    </row>
    <row r="79" spans="1:8" x14ac:dyDescent="0.2">
      <c r="A79" s="6" t="s">
        <v>2096</v>
      </c>
      <c r="B79" s="7">
        <v>29</v>
      </c>
      <c r="C79" s="7">
        <v>3</v>
      </c>
      <c r="D79" s="7">
        <v>0.10340000000000001</v>
      </c>
      <c r="E79" s="7">
        <v>3.5799999999999998E-2</v>
      </c>
      <c r="F79" s="8" t="s">
        <v>35</v>
      </c>
      <c r="G79" s="8" t="s">
        <v>35</v>
      </c>
      <c r="H79" t="str">
        <f t="shared" si="1"/>
        <v>YES</v>
      </c>
    </row>
    <row r="80" spans="1:8" x14ac:dyDescent="0.2">
      <c r="A80" s="6" t="s">
        <v>2097</v>
      </c>
      <c r="B80" s="7">
        <v>6937</v>
      </c>
      <c r="C80" s="7">
        <v>278</v>
      </c>
      <c r="D80" s="7">
        <v>4.0099999999999997E-2</v>
      </c>
      <c r="E80" s="7">
        <v>3.5700000000000003E-2</v>
      </c>
      <c r="F80" s="8" t="s">
        <v>35</v>
      </c>
      <c r="G80" s="8" t="s">
        <v>35</v>
      </c>
      <c r="H80" t="str">
        <f t="shared" si="1"/>
        <v>YES</v>
      </c>
    </row>
    <row r="81" spans="1:8" x14ac:dyDescent="0.2">
      <c r="A81" s="6" t="s">
        <v>2098</v>
      </c>
      <c r="B81" s="7">
        <v>162</v>
      </c>
      <c r="C81" s="7">
        <v>10</v>
      </c>
      <c r="D81" s="7">
        <v>6.1699999999999998E-2</v>
      </c>
      <c r="E81" s="7">
        <v>3.39E-2</v>
      </c>
      <c r="F81" s="8" t="s">
        <v>35</v>
      </c>
      <c r="G81" s="8" t="s">
        <v>35</v>
      </c>
      <c r="H81" t="str">
        <f t="shared" si="1"/>
        <v>YES</v>
      </c>
    </row>
    <row r="82" spans="1:8" x14ac:dyDescent="0.2">
      <c r="A82" s="6" t="s">
        <v>2099</v>
      </c>
      <c r="B82" s="7">
        <v>102</v>
      </c>
      <c r="C82" s="7">
        <v>7</v>
      </c>
      <c r="D82" s="7">
        <v>6.8599999999999994E-2</v>
      </c>
      <c r="E82" s="7">
        <v>3.3599999999999998E-2</v>
      </c>
      <c r="F82" s="8" t="s">
        <v>35</v>
      </c>
      <c r="G82" s="8" t="s">
        <v>35</v>
      </c>
      <c r="H82" t="str">
        <f t="shared" si="1"/>
        <v>YES</v>
      </c>
    </row>
    <row r="83" spans="1:8" x14ac:dyDescent="0.2">
      <c r="A83" s="6" t="s">
        <v>2100</v>
      </c>
      <c r="B83" s="7">
        <v>47</v>
      </c>
      <c r="C83" s="7">
        <v>4</v>
      </c>
      <c r="D83" s="7">
        <v>8.5099999999999995E-2</v>
      </c>
      <c r="E83" s="7">
        <v>3.3599999999999998E-2</v>
      </c>
      <c r="F83" s="8" t="s">
        <v>35</v>
      </c>
      <c r="G83" s="8" t="s">
        <v>35</v>
      </c>
      <c r="H83" t="str">
        <f t="shared" si="1"/>
        <v>YES</v>
      </c>
    </row>
    <row r="84" spans="1:8" x14ac:dyDescent="0.2">
      <c r="A84" s="6" t="s">
        <v>2101</v>
      </c>
      <c r="B84" s="7">
        <v>17</v>
      </c>
      <c r="C84" s="7">
        <v>2</v>
      </c>
      <c r="D84" s="7">
        <v>0.1176</v>
      </c>
      <c r="E84" s="7">
        <v>3.2899999999999999E-2</v>
      </c>
      <c r="F84" s="8" t="s">
        <v>35</v>
      </c>
      <c r="G84" s="8" t="s">
        <v>35</v>
      </c>
      <c r="H84" t="str">
        <f t="shared" si="1"/>
        <v>YES</v>
      </c>
    </row>
    <row r="85" spans="1:8" x14ac:dyDescent="0.2">
      <c r="A85" s="6" t="s">
        <v>2102</v>
      </c>
      <c r="B85" s="7">
        <v>71</v>
      </c>
      <c r="C85" s="7">
        <v>5</v>
      </c>
      <c r="D85" s="7">
        <v>7.0400000000000004E-2</v>
      </c>
      <c r="E85" s="7">
        <v>3.0499999999999999E-2</v>
      </c>
      <c r="F85" s="8" t="s">
        <v>35</v>
      </c>
      <c r="G85" s="8" t="s">
        <v>35</v>
      </c>
      <c r="H85" t="str">
        <f t="shared" si="1"/>
        <v>YES</v>
      </c>
    </row>
    <row r="86" spans="1:8" x14ac:dyDescent="0.2">
      <c r="A86" s="6" t="s">
        <v>2103</v>
      </c>
      <c r="B86" s="7">
        <v>572</v>
      </c>
      <c r="C86" s="7">
        <v>24</v>
      </c>
      <c r="D86" s="7">
        <v>4.2000000000000003E-2</v>
      </c>
      <c r="E86" s="7">
        <v>2.8400000000000002E-2</v>
      </c>
      <c r="F86" s="8" t="s">
        <v>35</v>
      </c>
      <c r="G86" s="8" t="s">
        <v>35</v>
      </c>
      <c r="H86" t="str">
        <f t="shared" si="1"/>
        <v>YES</v>
      </c>
    </row>
    <row r="87" spans="1:8" x14ac:dyDescent="0.2">
      <c r="A87" s="6" t="s">
        <v>2104</v>
      </c>
      <c r="B87" s="7">
        <v>20</v>
      </c>
      <c r="C87" s="7">
        <v>2</v>
      </c>
      <c r="D87" s="7">
        <v>0.1</v>
      </c>
      <c r="E87" s="7">
        <v>2.7900000000000001E-2</v>
      </c>
      <c r="F87" s="8" t="s">
        <v>35</v>
      </c>
      <c r="G87" s="8" t="s">
        <v>35</v>
      </c>
      <c r="H87" t="str">
        <f t="shared" si="1"/>
        <v>YES</v>
      </c>
    </row>
    <row r="88" spans="1:8" x14ac:dyDescent="0.2">
      <c r="A88" s="6" t="s">
        <v>2105</v>
      </c>
      <c r="B88" s="7">
        <v>953</v>
      </c>
      <c r="C88" s="7">
        <v>35</v>
      </c>
      <c r="D88" s="7">
        <v>3.6700000000000003E-2</v>
      </c>
      <c r="E88" s="7">
        <v>2.6499999999999999E-2</v>
      </c>
      <c r="F88" s="8" t="s">
        <v>35</v>
      </c>
      <c r="G88" s="8" t="s">
        <v>35</v>
      </c>
      <c r="H88" t="str">
        <f t="shared" si="1"/>
        <v>YES</v>
      </c>
    </row>
    <row r="89" spans="1:8" x14ac:dyDescent="0.2">
      <c r="A89" s="6" t="s">
        <v>2106</v>
      </c>
      <c r="B89" s="7">
        <v>2393</v>
      </c>
      <c r="C89" s="7">
        <v>77</v>
      </c>
      <c r="D89" s="7">
        <v>3.2199999999999999E-2</v>
      </c>
      <c r="E89" s="7">
        <v>2.58E-2</v>
      </c>
      <c r="F89" s="8" t="s">
        <v>35</v>
      </c>
      <c r="G89" s="8" t="s">
        <v>35</v>
      </c>
      <c r="H89" t="str">
        <f t="shared" si="1"/>
        <v>YES</v>
      </c>
    </row>
    <row r="90" spans="1:8" x14ac:dyDescent="0.2">
      <c r="A90" s="6" t="s">
        <v>2107</v>
      </c>
      <c r="B90" s="7">
        <v>1459</v>
      </c>
      <c r="C90" s="7">
        <v>49</v>
      </c>
      <c r="D90" s="7">
        <v>3.3599999999999998E-2</v>
      </c>
      <c r="E90" s="7">
        <v>2.5499999999999998E-2</v>
      </c>
      <c r="F90" s="8" t="s">
        <v>35</v>
      </c>
      <c r="G90" s="8" t="s">
        <v>35</v>
      </c>
      <c r="H90" t="str">
        <f t="shared" si="1"/>
        <v>YES</v>
      </c>
    </row>
    <row r="91" spans="1:8" x14ac:dyDescent="0.2">
      <c r="A91" s="6" t="s">
        <v>2108</v>
      </c>
      <c r="B91" s="7">
        <v>1174</v>
      </c>
      <c r="C91" s="7">
        <v>36</v>
      </c>
      <c r="D91" s="7">
        <v>3.0700000000000002E-2</v>
      </c>
      <c r="E91" s="7">
        <v>2.2200000000000001E-2</v>
      </c>
      <c r="F91" s="8" t="s">
        <v>35</v>
      </c>
      <c r="G91" s="8" t="s">
        <v>35</v>
      </c>
      <c r="H91" t="str">
        <f t="shared" si="1"/>
        <v>YES</v>
      </c>
    </row>
    <row r="92" spans="1:8" x14ac:dyDescent="0.2">
      <c r="A92" s="6" t="s">
        <v>2109</v>
      </c>
      <c r="B92" s="7">
        <v>49</v>
      </c>
      <c r="C92" s="7">
        <v>3</v>
      </c>
      <c r="D92" s="7">
        <v>6.1199999999999997E-2</v>
      </c>
      <c r="E92" s="7">
        <v>2.1000000000000001E-2</v>
      </c>
      <c r="F92" s="8" t="s">
        <v>35</v>
      </c>
      <c r="G92" s="8" t="s">
        <v>35</v>
      </c>
      <c r="H92" t="str">
        <f t="shared" si="1"/>
        <v>YES</v>
      </c>
    </row>
    <row r="93" spans="1:8" x14ac:dyDescent="0.2">
      <c r="A93" s="6" t="s">
        <v>2110</v>
      </c>
      <c r="B93" s="7">
        <v>666</v>
      </c>
      <c r="C93" s="7">
        <v>21</v>
      </c>
      <c r="D93" s="7">
        <v>3.15E-2</v>
      </c>
      <c r="E93" s="7">
        <v>2.07E-2</v>
      </c>
      <c r="F93" s="8" t="s">
        <v>35</v>
      </c>
      <c r="G93" s="8" t="s">
        <v>35</v>
      </c>
      <c r="H93" t="str">
        <f t="shared" si="1"/>
        <v>YES</v>
      </c>
    </row>
    <row r="94" spans="1:8" x14ac:dyDescent="0.2">
      <c r="A94" s="6" t="s">
        <v>2111</v>
      </c>
      <c r="B94" s="7">
        <v>27</v>
      </c>
      <c r="C94" s="7">
        <v>2</v>
      </c>
      <c r="D94" s="7">
        <v>7.4099999999999999E-2</v>
      </c>
      <c r="E94" s="7">
        <v>2.06E-2</v>
      </c>
      <c r="F94" s="8" t="s">
        <v>35</v>
      </c>
      <c r="G94" s="8" t="s">
        <v>35</v>
      </c>
      <c r="H94" t="str">
        <f t="shared" si="1"/>
        <v>YES</v>
      </c>
    </row>
    <row r="95" spans="1:8" x14ac:dyDescent="0.2">
      <c r="A95" s="6" t="s">
        <v>2112</v>
      </c>
      <c r="B95" s="7">
        <v>9</v>
      </c>
      <c r="C95" s="7">
        <v>1</v>
      </c>
      <c r="D95" s="7">
        <v>0.1111</v>
      </c>
      <c r="E95" s="7">
        <v>1.9900000000000001E-2</v>
      </c>
      <c r="F95" s="8" t="s">
        <v>35</v>
      </c>
      <c r="G95" s="8" t="s">
        <v>35</v>
      </c>
      <c r="H95" t="str">
        <f t="shared" si="1"/>
        <v>YES</v>
      </c>
    </row>
    <row r="96" spans="1:8" x14ac:dyDescent="0.2">
      <c r="A96" s="6" t="s">
        <v>2113</v>
      </c>
      <c r="B96" s="7">
        <v>141</v>
      </c>
      <c r="C96" s="7">
        <v>6</v>
      </c>
      <c r="D96" s="7">
        <v>4.2599999999999999E-2</v>
      </c>
      <c r="E96" s="7">
        <v>1.9599999999999999E-2</v>
      </c>
      <c r="F96" s="8" t="s">
        <v>35</v>
      </c>
      <c r="G96" s="8" t="s">
        <v>35</v>
      </c>
      <c r="H96" t="str">
        <f t="shared" si="1"/>
        <v>YES</v>
      </c>
    </row>
    <row r="97" spans="1:8" x14ac:dyDescent="0.2">
      <c r="A97" s="6" t="s">
        <v>2114</v>
      </c>
      <c r="B97" s="7">
        <v>512</v>
      </c>
      <c r="C97" s="7">
        <v>15</v>
      </c>
      <c r="D97" s="7">
        <v>2.93E-2</v>
      </c>
      <c r="E97" s="7">
        <v>1.78E-2</v>
      </c>
      <c r="F97" s="8" t="s">
        <v>35</v>
      </c>
      <c r="G97" s="8" t="s">
        <v>35</v>
      </c>
      <c r="H97" t="str">
        <f t="shared" si="1"/>
        <v>YES</v>
      </c>
    </row>
    <row r="98" spans="1:8" x14ac:dyDescent="0.2">
      <c r="A98" s="6" t="s">
        <v>2115</v>
      </c>
      <c r="B98" s="7">
        <v>271</v>
      </c>
      <c r="C98" s="7">
        <v>9</v>
      </c>
      <c r="D98" s="7">
        <v>3.32E-2</v>
      </c>
      <c r="E98" s="7">
        <v>1.7600000000000001E-2</v>
      </c>
      <c r="F98" s="8" t="s">
        <v>35</v>
      </c>
      <c r="G98" s="8" t="s">
        <v>35</v>
      </c>
      <c r="H98" t="str">
        <f t="shared" si="1"/>
        <v>YES</v>
      </c>
    </row>
    <row r="99" spans="1:8" x14ac:dyDescent="0.2">
      <c r="A99" s="6" t="s">
        <v>2116</v>
      </c>
      <c r="B99" s="7">
        <v>59</v>
      </c>
      <c r="C99" s="7">
        <v>3</v>
      </c>
      <c r="D99" s="7">
        <v>5.0799999999999998E-2</v>
      </c>
      <c r="E99" s="7">
        <v>1.7399999999999999E-2</v>
      </c>
      <c r="F99" s="8" t="s">
        <v>35</v>
      </c>
      <c r="G99" s="8" t="s">
        <v>35</v>
      </c>
      <c r="H99" t="str">
        <f t="shared" si="1"/>
        <v>YES</v>
      </c>
    </row>
    <row r="100" spans="1:8" x14ac:dyDescent="0.2">
      <c r="A100" s="6" t="s">
        <v>2117</v>
      </c>
      <c r="B100" s="7">
        <v>32</v>
      </c>
      <c r="C100" s="7">
        <v>2</v>
      </c>
      <c r="D100" s="7">
        <v>6.25E-2</v>
      </c>
      <c r="E100" s="7">
        <v>1.7299999999999999E-2</v>
      </c>
      <c r="F100" s="8" t="s">
        <v>35</v>
      </c>
      <c r="G100" s="8" t="s">
        <v>35</v>
      </c>
      <c r="H100" t="str">
        <f t="shared" si="1"/>
        <v>YES</v>
      </c>
    </row>
    <row r="101" spans="1:8" x14ac:dyDescent="0.2">
      <c r="A101" s="6" t="s">
        <v>2118</v>
      </c>
      <c r="B101" s="7">
        <v>221</v>
      </c>
      <c r="C101" s="7">
        <v>7</v>
      </c>
      <c r="D101" s="7">
        <v>3.1699999999999999E-2</v>
      </c>
      <c r="E101" s="7">
        <v>1.54E-2</v>
      </c>
      <c r="F101" s="8" t="s">
        <v>35</v>
      </c>
      <c r="G101" s="8" t="s">
        <v>35</v>
      </c>
      <c r="H101" t="str">
        <f t="shared" si="1"/>
        <v>YES</v>
      </c>
    </row>
    <row r="102" spans="1:8" x14ac:dyDescent="0.2">
      <c r="A102" s="6" t="s">
        <v>2119</v>
      </c>
      <c r="B102" s="7">
        <v>1390</v>
      </c>
      <c r="C102" s="7">
        <v>29</v>
      </c>
      <c r="D102" s="7">
        <v>2.0899999999999998E-2</v>
      </c>
      <c r="E102" s="7">
        <v>1.46E-2</v>
      </c>
      <c r="F102" s="8" t="s">
        <v>35</v>
      </c>
      <c r="G102" s="8" t="s">
        <v>35</v>
      </c>
      <c r="H102" t="str">
        <f t="shared" si="1"/>
        <v>YES</v>
      </c>
    </row>
    <row r="103" spans="1:8" x14ac:dyDescent="0.2">
      <c r="A103" s="6" t="s">
        <v>2120</v>
      </c>
      <c r="B103" s="7">
        <v>7551</v>
      </c>
      <c r="C103" s="7">
        <v>116</v>
      </c>
      <c r="D103" s="7">
        <v>1.54E-2</v>
      </c>
      <c r="E103" s="7">
        <v>1.2800000000000001E-2</v>
      </c>
      <c r="F103" s="8" t="s">
        <v>35</v>
      </c>
      <c r="G103" s="8" t="s">
        <v>35</v>
      </c>
      <c r="H103" t="str">
        <f t="shared" si="1"/>
        <v>YES</v>
      </c>
    </row>
    <row r="104" spans="1:8" x14ac:dyDescent="0.2">
      <c r="A104" s="6" t="s">
        <v>2121</v>
      </c>
      <c r="B104" s="7">
        <v>44</v>
      </c>
      <c r="C104" s="7">
        <v>2</v>
      </c>
      <c r="D104" s="7">
        <v>4.5499999999999999E-2</v>
      </c>
      <c r="E104" s="7">
        <v>1.26E-2</v>
      </c>
      <c r="F104" s="8" t="s">
        <v>35</v>
      </c>
      <c r="G104" s="8" t="s">
        <v>35</v>
      </c>
      <c r="H104" t="str">
        <f t="shared" si="1"/>
        <v>YES</v>
      </c>
    </row>
    <row r="105" spans="1:8" x14ac:dyDescent="0.2">
      <c r="A105" s="6" t="s">
        <v>2122</v>
      </c>
      <c r="B105" s="7">
        <v>15</v>
      </c>
      <c r="C105" s="7">
        <v>1</v>
      </c>
      <c r="D105" s="7">
        <v>6.6699999999999995E-2</v>
      </c>
      <c r="E105" s="7">
        <v>1.1900000000000001E-2</v>
      </c>
      <c r="F105" s="8" t="s">
        <v>35</v>
      </c>
      <c r="G105" s="8" t="s">
        <v>35</v>
      </c>
      <c r="H105" t="str">
        <f t="shared" si="1"/>
        <v>YES</v>
      </c>
    </row>
    <row r="106" spans="1:8" x14ac:dyDescent="0.2">
      <c r="A106" s="6" t="s">
        <v>2123</v>
      </c>
      <c r="B106" s="7">
        <v>100</v>
      </c>
      <c r="C106" s="7">
        <v>3</v>
      </c>
      <c r="D106" s="7">
        <v>0.03</v>
      </c>
      <c r="E106" s="7">
        <v>1.03E-2</v>
      </c>
      <c r="F106" s="8" t="s">
        <v>35</v>
      </c>
      <c r="G106" s="8" t="s">
        <v>35</v>
      </c>
      <c r="H106" t="str">
        <f t="shared" si="1"/>
        <v>YES</v>
      </c>
    </row>
    <row r="107" spans="1:8" x14ac:dyDescent="0.2">
      <c r="A107" s="6" t="s">
        <v>2124</v>
      </c>
      <c r="B107" s="7">
        <v>217</v>
      </c>
      <c r="C107" s="7">
        <v>5</v>
      </c>
      <c r="D107" s="7">
        <v>2.3E-2</v>
      </c>
      <c r="E107" s="7">
        <v>9.9000000000000008E-3</v>
      </c>
      <c r="F107" s="8" t="s">
        <v>35</v>
      </c>
      <c r="G107" s="8" t="s">
        <v>35</v>
      </c>
      <c r="H107" t="str">
        <f t="shared" si="1"/>
        <v>YES</v>
      </c>
    </row>
    <row r="108" spans="1:8" x14ac:dyDescent="0.2">
      <c r="A108" s="6" t="s">
        <v>2125</v>
      </c>
      <c r="B108" s="7">
        <v>18</v>
      </c>
      <c r="C108" s="7">
        <v>1</v>
      </c>
      <c r="D108" s="7">
        <v>5.5599999999999997E-2</v>
      </c>
      <c r="E108" s="7">
        <v>9.9000000000000008E-3</v>
      </c>
      <c r="F108" s="8" t="s">
        <v>35</v>
      </c>
      <c r="G108" s="8" t="s">
        <v>35</v>
      </c>
      <c r="H108" t="str">
        <f t="shared" si="1"/>
        <v>YES</v>
      </c>
    </row>
    <row r="109" spans="1:8" x14ac:dyDescent="0.2">
      <c r="A109" s="6" t="s">
        <v>2126</v>
      </c>
      <c r="B109" s="7">
        <v>226</v>
      </c>
      <c r="C109" s="7">
        <v>5</v>
      </c>
      <c r="D109" s="7">
        <v>2.2100000000000002E-2</v>
      </c>
      <c r="E109" s="7">
        <v>9.4999999999999998E-3</v>
      </c>
      <c r="F109" s="8" t="s">
        <v>35</v>
      </c>
      <c r="G109" s="8" t="s">
        <v>35</v>
      </c>
      <c r="H109" t="str">
        <f t="shared" si="1"/>
        <v>YES</v>
      </c>
    </row>
    <row r="110" spans="1:8" x14ac:dyDescent="0.2">
      <c r="A110" s="6" t="s">
        <v>2127</v>
      </c>
      <c r="B110" s="7">
        <v>596</v>
      </c>
      <c r="C110" s="7">
        <v>10</v>
      </c>
      <c r="D110" s="7">
        <v>1.6799999999999999E-2</v>
      </c>
      <c r="E110" s="7">
        <v>9.1000000000000004E-3</v>
      </c>
      <c r="F110" s="8" t="s">
        <v>35</v>
      </c>
      <c r="G110" s="8" t="s">
        <v>35</v>
      </c>
      <c r="H110" t="str">
        <f t="shared" si="1"/>
        <v>YES</v>
      </c>
    </row>
    <row r="111" spans="1:8" x14ac:dyDescent="0.2">
      <c r="A111" s="6" t="s">
        <v>2128</v>
      </c>
      <c r="B111" s="7">
        <v>851</v>
      </c>
      <c r="C111" s="7">
        <v>12</v>
      </c>
      <c r="D111" s="7">
        <v>1.41E-2</v>
      </c>
      <c r="E111" s="7">
        <v>8.0999999999999996E-3</v>
      </c>
      <c r="F111" s="8" t="s">
        <v>35</v>
      </c>
      <c r="G111" s="8" t="s">
        <v>35</v>
      </c>
      <c r="H111" t="str">
        <f t="shared" si="1"/>
        <v>YES</v>
      </c>
    </row>
    <row r="112" spans="1:8" x14ac:dyDescent="0.2">
      <c r="A112" s="6" t="s">
        <v>2129</v>
      </c>
      <c r="B112" s="7">
        <v>23</v>
      </c>
      <c r="C112" s="7">
        <v>1</v>
      </c>
      <c r="D112" s="7">
        <v>4.3499999999999997E-2</v>
      </c>
      <c r="E112" s="7">
        <v>7.7000000000000002E-3</v>
      </c>
      <c r="F112" s="8" t="s">
        <v>35</v>
      </c>
      <c r="G112" s="8" t="s">
        <v>35</v>
      </c>
      <c r="H112" t="str">
        <f t="shared" si="1"/>
        <v>YES</v>
      </c>
    </row>
    <row r="113" spans="1:8" x14ac:dyDescent="0.2">
      <c r="A113" s="6" t="s">
        <v>2130</v>
      </c>
      <c r="B113" s="7">
        <v>142</v>
      </c>
      <c r="C113" s="7">
        <v>3</v>
      </c>
      <c r="D113" s="7">
        <v>2.1100000000000001E-2</v>
      </c>
      <c r="E113" s="7">
        <v>7.1999999999999998E-3</v>
      </c>
      <c r="F113" s="8" t="s">
        <v>35</v>
      </c>
      <c r="G113" s="8" t="s">
        <v>35</v>
      </c>
      <c r="H113" t="str">
        <f t="shared" si="1"/>
        <v>YES</v>
      </c>
    </row>
    <row r="114" spans="1:8" x14ac:dyDescent="0.2">
      <c r="A114" s="6" t="s">
        <v>2131</v>
      </c>
      <c r="B114" s="7">
        <v>392</v>
      </c>
      <c r="C114" s="7">
        <v>6</v>
      </c>
      <c r="D114" s="7">
        <v>1.5299999999999999E-2</v>
      </c>
      <c r="E114" s="7">
        <v>7.0000000000000001E-3</v>
      </c>
      <c r="F114" s="8" t="s">
        <v>35</v>
      </c>
      <c r="G114" s="8" t="s">
        <v>35</v>
      </c>
      <c r="H114" t="str">
        <f t="shared" si="1"/>
        <v>YES</v>
      </c>
    </row>
    <row r="115" spans="1:8" x14ac:dyDescent="0.2">
      <c r="A115" s="6" t="s">
        <v>2132</v>
      </c>
      <c r="B115" s="7">
        <v>586</v>
      </c>
      <c r="C115" s="7">
        <v>8</v>
      </c>
      <c r="D115" s="7">
        <v>1.37E-2</v>
      </c>
      <c r="E115" s="7">
        <v>6.8999999999999999E-3</v>
      </c>
      <c r="F115" s="8" t="s">
        <v>35</v>
      </c>
      <c r="G115" s="8" t="s">
        <v>35</v>
      </c>
      <c r="H115" t="str">
        <f t="shared" si="1"/>
        <v>YES</v>
      </c>
    </row>
    <row r="116" spans="1:8" x14ac:dyDescent="0.2">
      <c r="A116" s="6" t="s">
        <v>2133</v>
      </c>
      <c r="B116" s="7">
        <v>699</v>
      </c>
      <c r="C116" s="7">
        <v>9</v>
      </c>
      <c r="D116" s="7">
        <v>1.29E-2</v>
      </c>
      <c r="E116" s="7">
        <v>6.7999999999999996E-3</v>
      </c>
      <c r="F116" s="8" t="s">
        <v>35</v>
      </c>
      <c r="G116" s="8" t="s">
        <v>35</v>
      </c>
      <c r="H116" t="str">
        <f t="shared" si="1"/>
        <v>YES</v>
      </c>
    </row>
    <row r="117" spans="1:8" x14ac:dyDescent="0.2">
      <c r="A117" s="6" t="s">
        <v>2134</v>
      </c>
      <c r="B117" s="7">
        <v>28</v>
      </c>
      <c r="C117" s="7">
        <v>1</v>
      </c>
      <c r="D117" s="7">
        <v>3.5700000000000003E-2</v>
      </c>
      <c r="E117" s="7">
        <v>6.3E-3</v>
      </c>
      <c r="F117" s="8" t="s">
        <v>35</v>
      </c>
      <c r="G117" s="8" t="s">
        <v>35</v>
      </c>
      <c r="H117" t="str">
        <f t="shared" si="1"/>
        <v>YES</v>
      </c>
    </row>
    <row r="118" spans="1:8" x14ac:dyDescent="0.2">
      <c r="A118" s="6" t="s">
        <v>2135</v>
      </c>
      <c r="B118" s="7">
        <v>548</v>
      </c>
      <c r="C118" s="7">
        <v>7</v>
      </c>
      <c r="D118" s="7">
        <v>1.2800000000000001E-2</v>
      </c>
      <c r="E118" s="7">
        <v>6.1999999999999998E-3</v>
      </c>
      <c r="F118" s="8" t="s">
        <v>35</v>
      </c>
      <c r="G118" s="8" t="s">
        <v>35</v>
      </c>
      <c r="H118" t="str">
        <f t="shared" si="1"/>
        <v>YES</v>
      </c>
    </row>
    <row r="119" spans="1:8" x14ac:dyDescent="0.2">
      <c r="A119" s="6" t="s">
        <v>2136</v>
      </c>
      <c r="B119" s="7">
        <v>169</v>
      </c>
      <c r="C119" s="7">
        <v>3</v>
      </c>
      <c r="D119" s="7">
        <v>1.78E-2</v>
      </c>
      <c r="E119" s="7">
        <v>6.1000000000000004E-3</v>
      </c>
      <c r="F119" s="8" t="s">
        <v>35</v>
      </c>
      <c r="G119" s="8" t="s">
        <v>35</v>
      </c>
      <c r="H119" t="str">
        <f t="shared" si="1"/>
        <v>YES</v>
      </c>
    </row>
    <row r="120" spans="1:8" x14ac:dyDescent="0.2">
      <c r="A120" s="6" t="s">
        <v>2137</v>
      </c>
      <c r="B120" s="7">
        <v>33</v>
      </c>
      <c r="C120" s="7">
        <v>1</v>
      </c>
      <c r="D120" s="7">
        <v>3.0300000000000001E-2</v>
      </c>
      <c r="E120" s="7">
        <v>5.4000000000000003E-3</v>
      </c>
      <c r="F120" s="8" t="s">
        <v>35</v>
      </c>
      <c r="G120" s="8" t="s">
        <v>35</v>
      </c>
      <c r="H120" t="str">
        <f t="shared" si="1"/>
        <v>YES</v>
      </c>
    </row>
    <row r="121" spans="1:8" x14ac:dyDescent="0.2">
      <c r="A121" s="6" t="s">
        <v>2138</v>
      </c>
      <c r="B121" s="7">
        <v>140</v>
      </c>
      <c r="C121" s="7">
        <v>2</v>
      </c>
      <c r="D121" s="7">
        <v>1.43E-2</v>
      </c>
      <c r="E121" s="7">
        <v>3.8999999999999998E-3</v>
      </c>
      <c r="F121" s="8" t="s">
        <v>35</v>
      </c>
      <c r="G121" s="8" t="s">
        <v>35</v>
      </c>
      <c r="H121" t="str">
        <f t="shared" si="1"/>
        <v>YES</v>
      </c>
    </row>
    <row r="122" spans="1:8" x14ac:dyDescent="0.2">
      <c r="A122" s="6" t="s">
        <v>2139</v>
      </c>
      <c r="B122" s="7">
        <v>294</v>
      </c>
      <c r="C122" s="7">
        <v>3</v>
      </c>
      <c r="D122" s="7">
        <v>1.0200000000000001E-2</v>
      </c>
      <c r="E122" s="7">
        <v>3.5000000000000001E-3</v>
      </c>
      <c r="F122" s="8" t="s">
        <v>35</v>
      </c>
      <c r="G122" s="8" t="s">
        <v>35</v>
      </c>
      <c r="H122" t="str">
        <f t="shared" si="1"/>
        <v>YES</v>
      </c>
    </row>
    <row r="123" spans="1:8" x14ac:dyDescent="0.2">
      <c r="A123" s="6" t="s">
        <v>2140</v>
      </c>
      <c r="B123" s="7">
        <v>58</v>
      </c>
      <c r="C123" s="7">
        <v>1</v>
      </c>
      <c r="D123" s="7">
        <v>1.72E-2</v>
      </c>
      <c r="E123" s="7">
        <v>3.0000000000000001E-3</v>
      </c>
      <c r="F123" s="8" t="s">
        <v>35</v>
      </c>
      <c r="G123" s="8" t="s">
        <v>35</v>
      </c>
      <c r="H123" t="str">
        <f t="shared" si="1"/>
        <v>YES</v>
      </c>
    </row>
    <row r="124" spans="1:8" x14ac:dyDescent="0.2">
      <c r="A124" s="6" t="s">
        <v>2141</v>
      </c>
      <c r="B124" s="7">
        <v>1007</v>
      </c>
      <c r="C124" s="7">
        <v>6</v>
      </c>
      <c r="D124" s="7">
        <v>6.0000000000000001E-3</v>
      </c>
      <c r="E124" s="7">
        <v>2.7000000000000001E-3</v>
      </c>
      <c r="F124" s="8" t="s">
        <v>35</v>
      </c>
      <c r="G124" s="8" t="s">
        <v>35</v>
      </c>
      <c r="H124" t="str">
        <f t="shared" si="1"/>
        <v>YES</v>
      </c>
    </row>
    <row r="125" spans="1:8" x14ac:dyDescent="0.2">
      <c r="A125" s="6" t="s">
        <v>2142</v>
      </c>
      <c r="B125" s="7">
        <v>219</v>
      </c>
      <c r="C125" s="7">
        <v>2</v>
      </c>
      <c r="D125" s="7">
        <v>9.1000000000000004E-3</v>
      </c>
      <c r="E125" s="7">
        <v>2.5000000000000001E-3</v>
      </c>
      <c r="F125" s="8" t="s">
        <v>35</v>
      </c>
      <c r="G125" s="8" t="s">
        <v>35</v>
      </c>
      <c r="H125" t="str">
        <f t="shared" si="1"/>
        <v>YES</v>
      </c>
    </row>
    <row r="126" spans="1:8" x14ac:dyDescent="0.2">
      <c r="A126" s="6" t="s">
        <v>2143</v>
      </c>
      <c r="B126" s="7">
        <v>72</v>
      </c>
      <c r="C126" s="7">
        <v>1</v>
      </c>
      <c r="D126" s="7">
        <v>1.3899999999999999E-2</v>
      </c>
      <c r="E126" s="7">
        <v>2.5000000000000001E-3</v>
      </c>
      <c r="F126" s="8" t="s">
        <v>35</v>
      </c>
      <c r="G126" s="8" t="s">
        <v>35</v>
      </c>
      <c r="H126" t="str">
        <f t="shared" si="1"/>
        <v>YES</v>
      </c>
    </row>
    <row r="127" spans="1:8" x14ac:dyDescent="0.2">
      <c r="A127" s="6" t="s">
        <v>2144</v>
      </c>
      <c r="B127" s="7">
        <v>668</v>
      </c>
      <c r="C127" s="7">
        <v>4</v>
      </c>
      <c r="D127" s="7">
        <v>6.0000000000000001E-3</v>
      </c>
      <c r="E127" s="7">
        <v>2.3E-3</v>
      </c>
      <c r="F127" s="8" t="s">
        <v>35</v>
      </c>
      <c r="G127" s="8" t="s">
        <v>35</v>
      </c>
      <c r="H127" t="str">
        <f t="shared" si="1"/>
        <v>YES</v>
      </c>
    </row>
    <row r="128" spans="1:8" x14ac:dyDescent="0.2">
      <c r="A128" s="6" t="s">
        <v>2145</v>
      </c>
      <c r="B128" s="7">
        <v>121</v>
      </c>
      <c r="C128" s="7">
        <v>1</v>
      </c>
      <c r="D128" s="7">
        <v>8.3000000000000001E-3</v>
      </c>
      <c r="E128" s="7">
        <v>1.5E-3</v>
      </c>
      <c r="F128" s="8" t="s">
        <v>35</v>
      </c>
      <c r="G128" s="8" t="s">
        <v>35</v>
      </c>
      <c r="H128" t="str">
        <f t="shared" si="1"/>
        <v>YES</v>
      </c>
    </row>
    <row r="129" spans="1:8" x14ac:dyDescent="0.2">
      <c r="A129" s="6" t="s">
        <v>2146</v>
      </c>
      <c r="B129" s="7">
        <v>140</v>
      </c>
      <c r="C129" s="7">
        <v>1</v>
      </c>
      <c r="D129" s="7">
        <v>7.1000000000000004E-3</v>
      </c>
      <c r="E129" s="7">
        <v>1.2999999999999999E-3</v>
      </c>
      <c r="F129" s="8" t="s">
        <v>35</v>
      </c>
      <c r="G129" s="8" t="s">
        <v>35</v>
      </c>
      <c r="H129" t="str">
        <f t="shared" si="1"/>
        <v>YES</v>
      </c>
    </row>
    <row r="130" spans="1:8" x14ac:dyDescent="0.2">
      <c r="A130" s="6" t="s">
        <v>2147</v>
      </c>
      <c r="B130" s="7">
        <v>444</v>
      </c>
      <c r="C130" s="7">
        <v>2</v>
      </c>
      <c r="D130" s="7">
        <v>4.4999999999999997E-3</v>
      </c>
      <c r="E130" s="7">
        <v>1.1999999999999999E-3</v>
      </c>
      <c r="F130" s="8" t="s">
        <v>35</v>
      </c>
      <c r="G130" s="8" t="s">
        <v>35</v>
      </c>
      <c r="H130" t="str">
        <f t="shared" si="1"/>
        <v>YES</v>
      </c>
    </row>
    <row r="131" spans="1:8" x14ac:dyDescent="0.2">
      <c r="A131" s="6" t="s">
        <v>2148</v>
      </c>
      <c r="B131" s="7">
        <v>320</v>
      </c>
      <c r="C131" s="7">
        <v>1</v>
      </c>
      <c r="D131" s="7">
        <v>3.0999999999999999E-3</v>
      </c>
      <c r="E131" s="7">
        <v>5.9999999999999995E-4</v>
      </c>
      <c r="F131" s="8" t="s">
        <v>35</v>
      </c>
      <c r="G131" s="8" t="s">
        <v>35</v>
      </c>
      <c r="H131" t="str">
        <f t="shared" si="1"/>
        <v>YES</v>
      </c>
    </row>
    <row r="132" spans="1:8" x14ac:dyDescent="0.2">
      <c r="A132" s="6" t="s">
        <v>2149</v>
      </c>
      <c r="B132" s="7">
        <v>441</v>
      </c>
      <c r="C132" s="7">
        <v>1</v>
      </c>
      <c r="D132" s="7">
        <v>2.3E-3</v>
      </c>
      <c r="E132" s="7">
        <v>4.0000000000000002E-4</v>
      </c>
      <c r="F132" s="8" t="s">
        <v>35</v>
      </c>
      <c r="G132" s="8" t="s">
        <v>35</v>
      </c>
      <c r="H132" t="str">
        <f t="shared" si="1"/>
        <v>YES</v>
      </c>
    </row>
    <row r="133" spans="1:8" x14ac:dyDescent="0.2">
      <c r="A133" s="6" t="s">
        <v>2150</v>
      </c>
      <c r="B133" s="7">
        <v>468</v>
      </c>
      <c r="C133" s="7">
        <v>1</v>
      </c>
      <c r="D133" s="7">
        <v>2.0999999999999999E-3</v>
      </c>
      <c r="E133" s="7">
        <v>4.0000000000000002E-4</v>
      </c>
      <c r="F133" s="8" t="s">
        <v>35</v>
      </c>
      <c r="G133" s="8" t="s">
        <v>35</v>
      </c>
      <c r="H133" t="str">
        <f t="shared" ref="H133:H196" si="2">IF(F133=G133,"YES","NO")</f>
        <v>YES</v>
      </c>
    </row>
    <row r="134" spans="1:8" x14ac:dyDescent="0.2">
      <c r="A134" s="6" t="s">
        <v>2151</v>
      </c>
      <c r="B134" s="7">
        <v>580</v>
      </c>
      <c r="C134" s="7">
        <v>1</v>
      </c>
      <c r="D134" s="7">
        <v>1.6999999999999999E-3</v>
      </c>
      <c r="E134" s="7">
        <v>2.9999999999999997E-4</v>
      </c>
      <c r="F134" s="8" t="s">
        <v>35</v>
      </c>
      <c r="G134" s="8" t="s">
        <v>35</v>
      </c>
      <c r="H134" t="str">
        <f t="shared" si="2"/>
        <v>YES</v>
      </c>
    </row>
    <row r="135" spans="1:8" x14ac:dyDescent="0.2">
      <c r="A135" s="6" t="s">
        <v>2152</v>
      </c>
      <c r="B135" s="7">
        <v>1037</v>
      </c>
      <c r="C135" s="7">
        <v>1</v>
      </c>
      <c r="D135" s="7">
        <v>1E-3</v>
      </c>
      <c r="E135" s="7">
        <v>2.0000000000000001E-4</v>
      </c>
      <c r="F135" s="8" t="s">
        <v>35</v>
      </c>
      <c r="G135" s="8" t="s">
        <v>35</v>
      </c>
      <c r="H135" t="str">
        <f t="shared" si="2"/>
        <v>YES</v>
      </c>
    </row>
    <row r="136" spans="1:8" x14ac:dyDescent="0.2">
      <c r="A136" s="6" t="s">
        <v>2153</v>
      </c>
      <c r="B136" s="7">
        <v>27</v>
      </c>
      <c r="C136" s="7">
        <v>0</v>
      </c>
      <c r="D136" s="7">
        <v>0</v>
      </c>
      <c r="E136" s="7">
        <v>0</v>
      </c>
      <c r="F136" s="8" t="s">
        <v>35</v>
      </c>
      <c r="G136" s="8" t="s">
        <v>35</v>
      </c>
      <c r="H136" t="str">
        <f t="shared" si="2"/>
        <v>YES</v>
      </c>
    </row>
    <row r="137" spans="1:8" x14ac:dyDescent="0.2">
      <c r="A137" s="6" t="s">
        <v>2154</v>
      </c>
      <c r="B137" s="7">
        <v>47</v>
      </c>
      <c r="C137" s="7">
        <v>0</v>
      </c>
      <c r="D137" s="7">
        <v>0</v>
      </c>
      <c r="E137" s="7">
        <v>0</v>
      </c>
      <c r="F137" s="8" t="s">
        <v>35</v>
      </c>
      <c r="G137" s="8" t="s">
        <v>35</v>
      </c>
      <c r="H137" t="str">
        <f t="shared" si="2"/>
        <v>YES</v>
      </c>
    </row>
    <row r="138" spans="1:8" x14ac:dyDescent="0.2">
      <c r="A138" s="6" t="s">
        <v>2155</v>
      </c>
      <c r="B138" s="7">
        <v>44</v>
      </c>
      <c r="C138" s="7">
        <v>0</v>
      </c>
      <c r="D138" s="7">
        <v>0</v>
      </c>
      <c r="E138" s="7">
        <v>0</v>
      </c>
      <c r="F138" s="8" t="s">
        <v>35</v>
      </c>
      <c r="G138" s="8" t="s">
        <v>35</v>
      </c>
      <c r="H138" t="str">
        <f t="shared" si="2"/>
        <v>YES</v>
      </c>
    </row>
    <row r="139" spans="1:8" x14ac:dyDescent="0.2">
      <c r="A139" s="6" t="s">
        <v>2156</v>
      </c>
      <c r="B139" s="7">
        <v>176</v>
      </c>
      <c r="C139" s="7">
        <v>0</v>
      </c>
      <c r="D139" s="7">
        <v>0</v>
      </c>
      <c r="E139" s="7">
        <v>0</v>
      </c>
      <c r="F139" s="8" t="s">
        <v>35</v>
      </c>
      <c r="G139" s="8" t="s">
        <v>35</v>
      </c>
      <c r="H139" t="str">
        <f t="shared" si="2"/>
        <v>YES</v>
      </c>
    </row>
    <row r="140" spans="1:8" x14ac:dyDescent="0.2">
      <c r="A140" s="6" t="s">
        <v>2157</v>
      </c>
      <c r="B140" s="7">
        <v>461</v>
      </c>
      <c r="C140" s="7">
        <v>0</v>
      </c>
      <c r="D140" s="7">
        <v>0</v>
      </c>
      <c r="E140" s="7">
        <v>0</v>
      </c>
      <c r="F140" s="8" t="s">
        <v>35</v>
      </c>
      <c r="G140" s="8" t="s">
        <v>17</v>
      </c>
      <c r="H140" t="str">
        <f t="shared" si="2"/>
        <v>NO</v>
      </c>
    </row>
    <row r="141" spans="1:8" x14ac:dyDescent="0.2">
      <c r="A141" s="6" t="s">
        <v>2158</v>
      </c>
      <c r="B141" s="7">
        <v>265</v>
      </c>
      <c r="C141" s="7">
        <v>0</v>
      </c>
      <c r="D141" s="7">
        <v>0</v>
      </c>
      <c r="E141" s="7">
        <v>0</v>
      </c>
      <c r="F141" s="8" t="s">
        <v>35</v>
      </c>
      <c r="G141" s="8" t="s">
        <v>35</v>
      </c>
      <c r="H141" t="str">
        <f t="shared" si="2"/>
        <v>YES</v>
      </c>
    </row>
    <row r="142" spans="1:8" x14ac:dyDescent="0.2">
      <c r="A142" s="6" t="s">
        <v>2159</v>
      </c>
      <c r="B142" s="7">
        <v>1</v>
      </c>
      <c r="C142" s="7">
        <v>0</v>
      </c>
      <c r="D142" s="7">
        <v>0</v>
      </c>
      <c r="E142" s="7">
        <v>0</v>
      </c>
      <c r="F142" s="8" t="s">
        <v>35</v>
      </c>
      <c r="G142" s="8" t="s">
        <v>35</v>
      </c>
      <c r="H142" t="str">
        <f t="shared" si="2"/>
        <v>YES</v>
      </c>
    </row>
    <row r="143" spans="1:8" x14ac:dyDescent="0.2">
      <c r="A143" s="6" t="s">
        <v>2160</v>
      </c>
      <c r="B143" s="7">
        <v>1</v>
      </c>
      <c r="C143" s="7">
        <v>0</v>
      </c>
      <c r="D143" s="7">
        <v>0</v>
      </c>
      <c r="E143" s="7">
        <v>0</v>
      </c>
      <c r="F143" s="8" t="s">
        <v>35</v>
      </c>
      <c r="G143" s="8" t="s">
        <v>35</v>
      </c>
      <c r="H143" t="str">
        <f t="shared" si="2"/>
        <v>YES</v>
      </c>
    </row>
    <row r="144" spans="1:8" x14ac:dyDescent="0.2">
      <c r="A144" s="6" t="s">
        <v>2161</v>
      </c>
      <c r="B144" s="7">
        <v>1</v>
      </c>
      <c r="C144" s="7">
        <v>0</v>
      </c>
      <c r="D144" s="7">
        <v>0</v>
      </c>
      <c r="E144" s="7">
        <v>0</v>
      </c>
      <c r="F144" s="8" t="s">
        <v>35</v>
      </c>
      <c r="G144" s="8" t="s">
        <v>35</v>
      </c>
      <c r="H144" t="str">
        <f t="shared" si="2"/>
        <v>YES</v>
      </c>
    </row>
    <row r="145" spans="1:8" x14ac:dyDescent="0.2">
      <c r="A145" s="6" t="s">
        <v>2162</v>
      </c>
      <c r="B145" s="7">
        <v>1</v>
      </c>
      <c r="C145" s="7">
        <v>0</v>
      </c>
      <c r="D145" s="7">
        <v>0</v>
      </c>
      <c r="E145" s="7">
        <v>0</v>
      </c>
      <c r="F145" s="8" t="s">
        <v>35</v>
      </c>
      <c r="G145" s="8" t="s">
        <v>35</v>
      </c>
      <c r="H145" t="str">
        <f t="shared" si="2"/>
        <v>YES</v>
      </c>
    </row>
    <row r="146" spans="1:8" x14ac:dyDescent="0.2">
      <c r="A146" s="6" t="s">
        <v>2163</v>
      </c>
      <c r="B146" s="7">
        <v>1</v>
      </c>
      <c r="C146" s="7">
        <v>0</v>
      </c>
      <c r="D146" s="7">
        <v>0</v>
      </c>
      <c r="E146" s="7">
        <v>0</v>
      </c>
      <c r="F146" s="8" t="s">
        <v>35</v>
      </c>
      <c r="G146" s="8" t="s">
        <v>35</v>
      </c>
      <c r="H146" t="str">
        <f t="shared" si="2"/>
        <v>YES</v>
      </c>
    </row>
    <row r="147" spans="1:8" x14ac:dyDescent="0.2">
      <c r="A147" s="6" t="s">
        <v>2164</v>
      </c>
      <c r="B147" s="7">
        <v>2</v>
      </c>
      <c r="C147" s="7">
        <v>0</v>
      </c>
      <c r="D147" s="7">
        <v>0</v>
      </c>
      <c r="E147" s="7">
        <v>0</v>
      </c>
      <c r="F147" s="8" t="s">
        <v>35</v>
      </c>
      <c r="G147" s="8" t="s">
        <v>35</v>
      </c>
      <c r="H147" t="str">
        <f t="shared" si="2"/>
        <v>YES</v>
      </c>
    </row>
    <row r="148" spans="1:8" x14ac:dyDescent="0.2">
      <c r="A148" s="6" t="s">
        <v>2165</v>
      </c>
      <c r="B148" s="7">
        <v>2</v>
      </c>
      <c r="C148" s="7">
        <v>0</v>
      </c>
      <c r="D148" s="7">
        <v>0</v>
      </c>
      <c r="E148" s="7">
        <v>0</v>
      </c>
      <c r="F148" s="8" t="s">
        <v>35</v>
      </c>
      <c r="G148" s="8" t="s">
        <v>35</v>
      </c>
      <c r="H148" t="str">
        <f t="shared" si="2"/>
        <v>YES</v>
      </c>
    </row>
    <row r="149" spans="1:8" x14ac:dyDescent="0.2">
      <c r="A149" s="6" t="s">
        <v>2166</v>
      </c>
      <c r="B149" s="7">
        <v>2</v>
      </c>
      <c r="C149" s="7">
        <v>0</v>
      </c>
      <c r="D149" s="7">
        <v>0</v>
      </c>
      <c r="E149" s="7">
        <v>0</v>
      </c>
      <c r="F149" s="8" t="s">
        <v>35</v>
      </c>
      <c r="G149" s="8" t="s">
        <v>35</v>
      </c>
      <c r="H149" t="str">
        <f t="shared" si="2"/>
        <v>YES</v>
      </c>
    </row>
    <row r="150" spans="1:8" x14ac:dyDescent="0.2">
      <c r="A150" s="6" t="s">
        <v>2167</v>
      </c>
      <c r="B150" s="7">
        <v>2</v>
      </c>
      <c r="C150" s="7">
        <v>0</v>
      </c>
      <c r="D150" s="7">
        <v>0</v>
      </c>
      <c r="E150" s="7">
        <v>0</v>
      </c>
      <c r="F150" s="8" t="s">
        <v>35</v>
      </c>
      <c r="G150" s="8" t="s">
        <v>35</v>
      </c>
      <c r="H150" t="str">
        <f t="shared" si="2"/>
        <v>YES</v>
      </c>
    </row>
    <row r="151" spans="1:8" x14ac:dyDescent="0.2">
      <c r="A151" s="6" t="s">
        <v>2168</v>
      </c>
      <c r="B151" s="7">
        <v>2</v>
      </c>
      <c r="C151" s="7">
        <v>0</v>
      </c>
      <c r="D151" s="7">
        <v>0</v>
      </c>
      <c r="E151" s="7">
        <v>0</v>
      </c>
      <c r="F151" s="8" t="s">
        <v>35</v>
      </c>
      <c r="G151" s="8" t="s">
        <v>35</v>
      </c>
      <c r="H151" t="str">
        <f t="shared" si="2"/>
        <v>YES</v>
      </c>
    </row>
    <row r="152" spans="1:8" x14ac:dyDescent="0.2">
      <c r="A152" s="6" t="s">
        <v>2169</v>
      </c>
      <c r="B152" s="7">
        <v>2</v>
      </c>
      <c r="C152" s="7">
        <v>0</v>
      </c>
      <c r="D152" s="7">
        <v>0</v>
      </c>
      <c r="E152" s="7">
        <v>0</v>
      </c>
      <c r="F152" s="8" t="s">
        <v>35</v>
      </c>
      <c r="G152" s="8" t="s">
        <v>35</v>
      </c>
      <c r="H152" t="str">
        <f t="shared" si="2"/>
        <v>YES</v>
      </c>
    </row>
    <row r="153" spans="1:8" x14ac:dyDescent="0.2">
      <c r="A153" s="6" t="s">
        <v>2170</v>
      </c>
      <c r="B153" s="7">
        <v>3</v>
      </c>
      <c r="C153" s="7">
        <v>0</v>
      </c>
      <c r="D153" s="7">
        <v>0</v>
      </c>
      <c r="E153" s="7">
        <v>0</v>
      </c>
      <c r="F153" s="8" t="s">
        <v>35</v>
      </c>
      <c r="G153" s="8" t="s">
        <v>35</v>
      </c>
      <c r="H153" t="str">
        <f t="shared" si="2"/>
        <v>YES</v>
      </c>
    </row>
    <row r="154" spans="1:8" x14ac:dyDescent="0.2">
      <c r="A154" s="6" t="s">
        <v>2171</v>
      </c>
      <c r="B154" s="7">
        <v>3</v>
      </c>
      <c r="C154" s="7">
        <v>0</v>
      </c>
      <c r="D154" s="7">
        <v>0</v>
      </c>
      <c r="E154" s="7">
        <v>0</v>
      </c>
      <c r="F154" s="8" t="s">
        <v>35</v>
      </c>
      <c r="G154" s="8" t="s">
        <v>35</v>
      </c>
      <c r="H154" t="str">
        <f t="shared" si="2"/>
        <v>YES</v>
      </c>
    </row>
    <row r="155" spans="1:8" x14ac:dyDescent="0.2">
      <c r="A155" s="6" t="s">
        <v>2172</v>
      </c>
      <c r="B155" s="7">
        <v>3</v>
      </c>
      <c r="C155" s="7">
        <v>0</v>
      </c>
      <c r="D155" s="7">
        <v>0</v>
      </c>
      <c r="E155" s="7">
        <v>0</v>
      </c>
      <c r="F155" s="8" t="s">
        <v>35</v>
      </c>
      <c r="G155" s="8" t="s">
        <v>35</v>
      </c>
      <c r="H155" t="str">
        <f t="shared" si="2"/>
        <v>YES</v>
      </c>
    </row>
    <row r="156" spans="1:8" x14ac:dyDescent="0.2">
      <c r="A156" s="6" t="s">
        <v>2173</v>
      </c>
      <c r="B156" s="7">
        <v>3</v>
      </c>
      <c r="C156" s="7">
        <v>0</v>
      </c>
      <c r="D156" s="7">
        <v>0</v>
      </c>
      <c r="E156" s="7">
        <v>0</v>
      </c>
      <c r="F156" s="8" t="s">
        <v>35</v>
      </c>
      <c r="G156" s="8" t="s">
        <v>35</v>
      </c>
      <c r="H156" t="str">
        <f t="shared" si="2"/>
        <v>YES</v>
      </c>
    </row>
    <row r="157" spans="1:8" x14ac:dyDescent="0.2">
      <c r="A157" s="6" t="s">
        <v>2174</v>
      </c>
      <c r="B157" s="7">
        <v>3</v>
      </c>
      <c r="C157" s="7">
        <v>0</v>
      </c>
      <c r="D157" s="7">
        <v>0</v>
      </c>
      <c r="E157" s="7">
        <v>0</v>
      </c>
      <c r="F157" s="8" t="s">
        <v>35</v>
      </c>
      <c r="G157" s="8" t="s">
        <v>35</v>
      </c>
      <c r="H157" t="str">
        <f t="shared" si="2"/>
        <v>YES</v>
      </c>
    </row>
    <row r="158" spans="1:8" x14ac:dyDescent="0.2">
      <c r="A158" s="6" t="s">
        <v>2175</v>
      </c>
      <c r="B158" s="7">
        <v>3</v>
      </c>
      <c r="C158" s="7">
        <v>0</v>
      </c>
      <c r="D158" s="7">
        <v>0</v>
      </c>
      <c r="E158" s="7">
        <v>0</v>
      </c>
      <c r="F158" s="8" t="s">
        <v>35</v>
      </c>
      <c r="G158" s="8" t="s">
        <v>35</v>
      </c>
      <c r="H158" t="str">
        <f t="shared" si="2"/>
        <v>YES</v>
      </c>
    </row>
    <row r="159" spans="1:8" x14ac:dyDescent="0.2">
      <c r="A159" s="6" t="s">
        <v>2176</v>
      </c>
      <c r="B159" s="7">
        <v>3</v>
      </c>
      <c r="C159" s="7">
        <v>0</v>
      </c>
      <c r="D159" s="7">
        <v>0</v>
      </c>
      <c r="E159" s="7">
        <v>0</v>
      </c>
      <c r="F159" s="8" t="s">
        <v>35</v>
      </c>
      <c r="G159" s="8" t="s">
        <v>35</v>
      </c>
      <c r="H159" t="str">
        <f t="shared" si="2"/>
        <v>YES</v>
      </c>
    </row>
    <row r="160" spans="1:8" x14ac:dyDescent="0.2">
      <c r="A160" s="6" t="s">
        <v>2177</v>
      </c>
      <c r="B160" s="7">
        <v>4</v>
      </c>
      <c r="C160" s="7">
        <v>0</v>
      </c>
      <c r="D160" s="7">
        <v>0</v>
      </c>
      <c r="E160" s="7">
        <v>0</v>
      </c>
      <c r="F160" s="8" t="s">
        <v>35</v>
      </c>
      <c r="G160" s="8" t="s">
        <v>35</v>
      </c>
      <c r="H160" t="str">
        <f t="shared" si="2"/>
        <v>YES</v>
      </c>
    </row>
    <row r="161" spans="1:8" x14ac:dyDescent="0.2">
      <c r="A161" s="6" t="s">
        <v>2178</v>
      </c>
      <c r="B161" s="7">
        <v>4</v>
      </c>
      <c r="C161" s="7">
        <v>0</v>
      </c>
      <c r="D161" s="7">
        <v>0</v>
      </c>
      <c r="E161" s="7">
        <v>0</v>
      </c>
      <c r="F161" s="8" t="s">
        <v>35</v>
      </c>
      <c r="G161" s="8" t="s">
        <v>35</v>
      </c>
      <c r="H161" t="str">
        <f t="shared" si="2"/>
        <v>YES</v>
      </c>
    </row>
    <row r="162" spans="1:8" x14ac:dyDescent="0.2">
      <c r="A162" s="6" t="s">
        <v>2179</v>
      </c>
      <c r="B162" s="7">
        <v>5</v>
      </c>
      <c r="C162" s="7">
        <v>0</v>
      </c>
      <c r="D162" s="7">
        <v>0</v>
      </c>
      <c r="E162" s="7">
        <v>0</v>
      </c>
      <c r="F162" s="8" t="s">
        <v>35</v>
      </c>
      <c r="G162" s="8" t="s">
        <v>35</v>
      </c>
      <c r="H162" t="str">
        <f t="shared" si="2"/>
        <v>YES</v>
      </c>
    </row>
    <row r="163" spans="1:8" x14ac:dyDescent="0.2">
      <c r="A163" s="6" t="s">
        <v>2180</v>
      </c>
      <c r="B163" s="7">
        <v>5</v>
      </c>
      <c r="C163" s="7">
        <v>0</v>
      </c>
      <c r="D163" s="7">
        <v>0</v>
      </c>
      <c r="E163" s="7">
        <v>0</v>
      </c>
      <c r="F163" s="8" t="s">
        <v>35</v>
      </c>
      <c r="G163" s="8" t="s">
        <v>35</v>
      </c>
      <c r="H163" t="str">
        <f t="shared" si="2"/>
        <v>YES</v>
      </c>
    </row>
    <row r="164" spans="1:8" x14ac:dyDescent="0.2">
      <c r="A164" s="6" t="s">
        <v>2181</v>
      </c>
      <c r="B164" s="7">
        <v>5</v>
      </c>
      <c r="C164" s="7">
        <v>0</v>
      </c>
      <c r="D164" s="7">
        <v>0</v>
      </c>
      <c r="E164" s="7">
        <v>0</v>
      </c>
      <c r="F164" s="8" t="s">
        <v>35</v>
      </c>
      <c r="G164" s="8" t="s">
        <v>35</v>
      </c>
      <c r="H164" t="str">
        <f t="shared" si="2"/>
        <v>YES</v>
      </c>
    </row>
    <row r="165" spans="1:8" x14ac:dyDescent="0.2">
      <c r="A165" s="6" t="s">
        <v>2182</v>
      </c>
      <c r="B165" s="7">
        <v>5</v>
      </c>
      <c r="C165" s="7">
        <v>0</v>
      </c>
      <c r="D165" s="7">
        <v>0</v>
      </c>
      <c r="E165" s="7">
        <v>0</v>
      </c>
      <c r="F165" s="8" t="s">
        <v>35</v>
      </c>
      <c r="G165" s="8" t="s">
        <v>35</v>
      </c>
      <c r="H165" t="str">
        <f t="shared" si="2"/>
        <v>YES</v>
      </c>
    </row>
    <row r="166" spans="1:8" x14ac:dyDescent="0.2">
      <c r="A166" s="6" t="s">
        <v>2183</v>
      </c>
      <c r="B166" s="7">
        <v>5</v>
      </c>
      <c r="C166" s="7">
        <v>0</v>
      </c>
      <c r="D166" s="7">
        <v>0</v>
      </c>
      <c r="E166" s="7">
        <v>0</v>
      </c>
      <c r="F166" s="8" t="s">
        <v>35</v>
      </c>
      <c r="G166" s="8" t="s">
        <v>35</v>
      </c>
      <c r="H166" t="str">
        <f t="shared" si="2"/>
        <v>YES</v>
      </c>
    </row>
    <row r="167" spans="1:8" x14ac:dyDescent="0.2">
      <c r="A167" s="6" t="s">
        <v>2184</v>
      </c>
      <c r="B167" s="7">
        <v>5</v>
      </c>
      <c r="C167" s="7">
        <v>0</v>
      </c>
      <c r="D167" s="7">
        <v>0</v>
      </c>
      <c r="E167" s="7">
        <v>0</v>
      </c>
      <c r="F167" s="8" t="s">
        <v>35</v>
      </c>
      <c r="G167" s="8" t="s">
        <v>35</v>
      </c>
      <c r="H167" t="str">
        <f t="shared" si="2"/>
        <v>YES</v>
      </c>
    </row>
    <row r="168" spans="1:8" x14ac:dyDescent="0.2">
      <c r="A168" s="6" t="s">
        <v>2185</v>
      </c>
      <c r="B168" s="7">
        <v>5</v>
      </c>
      <c r="C168" s="7">
        <v>0</v>
      </c>
      <c r="D168" s="7">
        <v>0</v>
      </c>
      <c r="E168" s="7">
        <v>0</v>
      </c>
      <c r="F168" s="8" t="s">
        <v>35</v>
      </c>
      <c r="G168" s="8" t="s">
        <v>35</v>
      </c>
      <c r="H168" t="str">
        <f t="shared" si="2"/>
        <v>YES</v>
      </c>
    </row>
    <row r="169" spans="1:8" x14ac:dyDescent="0.2">
      <c r="A169" s="6" t="s">
        <v>2186</v>
      </c>
      <c r="B169" s="7">
        <v>6</v>
      </c>
      <c r="C169" s="7">
        <v>0</v>
      </c>
      <c r="D169" s="7">
        <v>0</v>
      </c>
      <c r="E169" s="7">
        <v>0</v>
      </c>
      <c r="F169" s="8" t="s">
        <v>35</v>
      </c>
      <c r="G169" s="8" t="s">
        <v>35</v>
      </c>
      <c r="H169" t="str">
        <f t="shared" si="2"/>
        <v>YES</v>
      </c>
    </row>
    <row r="170" spans="1:8" x14ac:dyDescent="0.2">
      <c r="A170" s="6" t="s">
        <v>2187</v>
      </c>
      <c r="B170" s="7">
        <v>6</v>
      </c>
      <c r="C170" s="7">
        <v>0</v>
      </c>
      <c r="D170" s="7">
        <v>0</v>
      </c>
      <c r="E170" s="7">
        <v>0</v>
      </c>
      <c r="F170" s="8" t="s">
        <v>35</v>
      </c>
      <c r="G170" s="8" t="s">
        <v>35</v>
      </c>
      <c r="H170" t="str">
        <f t="shared" si="2"/>
        <v>YES</v>
      </c>
    </row>
    <row r="171" spans="1:8" x14ac:dyDescent="0.2">
      <c r="A171" s="6" t="s">
        <v>2188</v>
      </c>
      <c r="B171" s="7">
        <v>7</v>
      </c>
      <c r="C171" s="7">
        <v>0</v>
      </c>
      <c r="D171" s="7">
        <v>0</v>
      </c>
      <c r="E171" s="7">
        <v>0</v>
      </c>
      <c r="F171" s="8" t="s">
        <v>35</v>
      </c>
      <c r="G171" s="8" t="s">
        <v>35</v>
      </c>
      <c r="H171" t="str">
        <f t="shared" si="2"/>
        <v>YES</v>
      </c>
    </row>
    <row r="172" spans="1:8" x14ac:dyDescent="0.2">
      <c r="A172" s="6" t="s">
        <v>2189</v>
      </c>
      <c r="B172" s="7">
        <v>7</v>
      </c>
      <c r="C172" s="7">
        <v>0</v>
      </c>
      <c r="D172" s="7">
        <v>0</v>
      </c>
      <c r="E172" s="7">
        <v>0</v>
      </c>
      <c r="F172" s="8" t="s">
        <v>35</v>
      </c>
      <c r="G172" s="8" t="s">
        <v>35</v>
      </c>
      <c r="H172" t="str">
        <f t="shared" si="2"/>
        <v>YES</v>
      </c>
    </row>
    <row r="173" spans="1:8" x14ac:dyDescent="0.2">
      <c r="A173" s="6" t="s">
        <v>2190</v>
      </c>
      <c r="B173" s="7">
        <v>8</v>
      </c>
      <c r="C173" s="7">
        <v>0</v>
      </c>
      <c r="D173" s="7">
        <v>0</v>
      </c>
      <c r="E173" s="7">
        <v>0</v>
      </c>
      <c r="F173" s="8" t="s">
        <v>35</v>
      </c>
      <c r="G173" s="8" t="s">
        <v>35</v>
      </c>
      <c r="H173" t="str">
        <f t="shared" si="2"/>
        <v>YES</v>
      </c>
    </row>
    <row r="174" spans="1:8" x14ac:dyDescent="0.2">
      <c r="A174" s="6" t="s">
        <v>2191</v>
      </c>
      <c r="B174" s="7">
        <v>9</v>
      </c>
      <c r="C174" s="7">
        <v>0</v>
      </c>
      <c r="D174" s="7">
        <v>0</v>
      </c>
      <c r="E174" s="7">
        <v>0</v>
      </c>
      <c r="F174" s="8" t="s">
        <v>35</v>
      </c>
      <c r="G174" s="8" t="s">
        <v>35</v>
      </c>
      <c r="H174" t="str">
        <f t="shared" si="2"/>
        <v>YES</v>
      </c>
    </row>
    <row r="175" spans="1:8" x14ac:dyDescent="0.2">
      <c r="A175" s="6" t="s">
        <v>2192</v>
      </c>
      <c r="B175" s="7">
        <v>9</v>
      </c>
      <c r="C175" s="7">
        <v>0</v>
      </c>
      <c r="D175" s="7">
        <v>0</v>
      </c>
      <c r="E175" s="7">
        <v>0</v>
      </c>
      <c r="F175" s="8" t="s">
        <v>35</v>
      </c>
      <c r="G175" s="8" t="s">
        <v>35</v>
      </c>
      <c r="H175" t="str">
        <f t="shared" si="2"/>
        <v>YES</v>
      </c>
    </row>
    <row r="176" spans="1:8" x14ac:dyDescent="0.2">
      <c r="A176" s="6" t="s">
        <v>2193</v>
      </c>
      <c r="B176" s="7">
        <v>9</v>
      </c>
      <c r="C176" s="7">
        <v>0</v>
      </c>
      <c r="D176" s="7">
        <v>0</v>
      </c>
      <c r="E176" s="7">
        <v>0</v>
      </c>
      <c r="F176" s="8" t="s">
        <v>35</v>
      </c>
      <c r="G176" s="8" t="s">
        <v>35</v>
      </c>
      <c r="H176" t="str">
        <f t="shared" si="2"/>
        <v>YES</v>
      </c>
    </row>
    <row r="177" spans="1:8" x14ac:dyDescent="0.2">
      <c r="A177" s="6" t="s">
        <v>2194</v>
      </c>
      <c r="B177" s="7">
        <v>9</v>
      </c>
      <c r="C177" s="7">
        <v>0</v>
      </c>
      <c r="D177" s="7">
        <v>0</v>
      </c>
      <c r="E177" s="7">
        <v>0</v>
      </c>
      <c r="F177" s="8" t="s">
        <v>35</v>
      </c>
      <c r="G177" s="8" t="s">
        <v>35</v>
      </c>
      <c r="H177" t="str">
        <f t="shared" si="2"/>
        <v>YES</v>
      </c>
    </row>
    <row r="178" spans="1:8" x14ac:dyDescent="0.2">
      <c r="A178" s="6" t="s">
        <v>2195</v>
      </c>
      <c r="B178" s="7">
        <v>10</v>
      </c>
      <c r="C178" s="7">
        <v>0</v>
      </c>
      <c r="D178" s="7">
        <v>0</v>
      </c>
      <c r="E178" s="7">
        <v>0</v>
      </c>
      <c r="F178" s="8" t="s">
        <v>35</v>
      </c>
      <c r="G178" s="8" t="s">
        <v>35</v>
      </c>
      <c r="H178" t="str">
        <f t="shared" si="2"/>
        <v>YES</v>
      </c>
    </row>
    <row r="179" spans="1:8" x14ac:dyDescent="0.2">
      <c r="A179" s="6" t="s">
        <v>2196</v>
      </c>
      <c r="B179" s="7">
        <v>10</v>
      </c>
      <c r="C179" s="7">
        <v>0</v>
      </c>
      <c r="D179" s="7">
        <v>0</v>
      </c>
      <c r="E179" s="7">
        <v>0</v>
      </c>
      <c r="F179" s="8" t="s">
        <v>35</v>
      </c>
      <c r="G179" s="8" t="s">
        <v>35</v>
      </c>
      <c r="H179" t="str">
        <f t="shared" si="2"/>
        <v>YES</v>
      </c>
    </row>
    <row r="180" spans="1:8" x14ac:dyDescent="0.2">
      <c r="A180" s="6" t="s">
        <v>2197</v>
      </c>
      <c r="B180" s="7">
        <v>10</v>
      </c>
      <c r="C180" s="7">
        <v>0</v>
      </c>
      <c r="D180" s="7">
        <v>0</v>
      </c>
      <c r="E180" s="7">
        <v>0</v>
      </c>
      <c r="F180" s="8" t="s">
        <v>35</v>
      </c>
      <c r="G180" s="8" t="s">
        <v>35</v>
      </c>
      <c r="H180" t="str">
        <f t="shared" si="2"/>
        <v>YES</v>
      </c>
    </row>
    <row r="181" spans="1:8" x14ac:dyDescent="0.2">
      <c r="A181" s="6" t="s">
        <v>2198</v>
      </c>
      <c r="B181" s="7">
        <v>10</v>
      </c>
      <c r="C181" s="7">
        <v>0</v>
      </c>
      <c r="D181" s="7">
        <v>0</v>
      </c>
      <c r="E181" s="7">
        <v>0</v>
      </c>
      <c r="F181" s="8" t="s">
        <v>35</v>
      </c>
      <c r="G181" s="8" t="s">
        <v>35</v>
      </c>
      <c r="H181" t="str">
        <f t="shared" si="2"/>
        <v>YES</v>
      </c>
    </row>
    <row r="182" spans="1:8" x14ac:dyDescent="0.2">
      <c r="A182" s="6" t="s">
        <v>2199</v>
      </c>
      <c r="B182" s="7">
        <v>10</v>
      </c>
      <c r="C182" s="7">
        <v>0</v>
      </c>
      <c r="D182" s="7">
        <v>0</v>
      </c>
      <c r="E182" s="7">
        <v>0</v>
      </c>
      <c r="F182" s="8" t="s">
        <v>35</v>
      </c>
      <c r="G182" s="8" t="s">
        <v>35</v>
      </c>
      <c r="H182" t="str">
        <f t="shared" si="2"/>
        <v>YES</v>
      </c>
    </row>
    <row r="183" spans="1:8" x14ac:dyDescent="0.2">
      <c r="A183" s="6" t="s">
        <v>2200</v>
      </c>
      <c r="B183" s="7">
        <v>10</v>
      </c>
      <c r="C183" s="7">
        <v>0</v>
      </c>
      <c r="D183" s="7">
        <v>0</v>
      </c>
      <c r="E183" s="7">
        <v>0</v>
      </c>
      <c r="F183" s="8" t="s">
        <v>35</v>
      </c>
      <c r="G183" s="8" t="s">
        <v>35</v>
      </c>
      <c r="H183" t="str">
        <f t="shared" si="2"/>
        <v>YES</v>
      </c>
    </row>
    <row r="184" spans="1:8" x14ac:dyDescent="0.2">
      <c r="A184" s="6" t="s">
        <v>2201</v>
      </c>
      <c r="B184" s="7">
        <v>10</v>
      </c>
      <c r="C184" s="7">
        <v>0</v>
      </c>
      <c r="D184" s="7">
        <v>0</v>
      </c>
      <c r="E184" s="7">
        <v>0</v>
      </c>
      <c r="F184" s="8" t="s">
        <v>35</v>
      </c>
      <c r="G184" s="8" t="s">
        <v>35</v>
      </c>
      <c r="H184" t="str">
        <f t="shared" si="2"/>
        <v>YES</v>
      </c>
    </row>
    <row r="185" spans="1:8" x14ac:dyDescent="0.2">
      <c r="A185" s="6" t="s">
        <v>2202</v>
      </c>
      <c r="B185" s="7">
        <v>12</v>
      </c>
      <c r="C185" s="7">
        <v>0</v>
      </c>
      <c r="D185" s="7">
        <v>0</v>
      </c>
      <c r="E185" s="7">
        <v>0</v>
      </c>
      <c r="F185" s="8" t="s">
        <v>35</v>
      </c>
      <c r="G185" s="8" t="s">
        <v>35</v>
      </c>
      <c r="H185" t="str">
        <f t="shared" si="2"/>
        <v>YES</v>
      </c>
    </row>
    <row r="186" spans="1:8" x14ac:dyDescent="0.2">
      <c r="A186" s="6" t="s">
        <v>2203</v>
      </c>
      <c r="B186" s="7">
        <v>13</v>
      </c>
      <c r="C186" s="7">
        <v>0</v>
      </c>
      <c r="D186" s="7">
        <v>0</v>
      </c>
      <c r="E186" s="7">
        <v>0</v>
      </c>
      <c r="F186" s="8" t="s">
        <v>35</v>
      </c>
      <c r="G186" s="8" t="s">
        <v>35</v>
      </c>
      <c r="H186" t="str">
        <f t="shared" si="2"/>
        <v>YES</v>
      </c>
    </row>
    <row r="187" spans="1:8" x14ac:dyDescent="0.2">
      <c r="A187" s="6" t="s">
        <v>2204</v>
      </c>
      <c r="B187" s="7">
        <v>14</v>
      </c>
      <c r="C187" s="7">
        <v>0</v>
      </c>
      <c r="D187" s="7">
        <v>0</v>
      </c>
      <c r="E187" s="7">
        <v>0</v>
      </c>
      <c r="F187" s="8" t="s">
        <v>35</v>
      </c>
      <c r="G187" s="8" t="s">
        <v>35</v>
      </c>
      <c r="H187" t="str">
        <f t="shared" si="2"/>
        <v>YES</v>
      </c>
    </row>
    <row r="188" spans="1:8" x14ac:dyDescent="0.2">
      <c r="A188" s="6" t="s">
        <v>2205</v>
      </c>
      <c r="B188" s="7">
        <v>14</v>
      </c>
      <c r="C188" s="7">
        <v>0</v>
      </c>
      <c r="D188" s="7">
        <v>0</v>
      </c>
      <c r="E188" s="7">
        <v>0</v>
      </c>
      <c r="F188" s="8" t="s">
        <v>35</v>
      </c>
      <c r="G188" s="8" t="s">
        <v>35</v>
      </c>
      <c r="H188" t="str">
        <f t="shared" si="2"/>
        <v>YES</v>
      </c>
    </row>
    <row r="189" spans="1:8" x14ac:dyDescent="0.2">
      <c r="A189" s="6" t="s">
        <v>2206</v>
      </c>
      <c r="B189" s="7">
        <v>15</v>
      </c>
      <c r="C189" s="7">
        <v>0</v>
      </c>
      <c r="D189" s="7">
        <v>0</v>
      </c>
      <c r="E189" s="7">
        <v>0</v>
      </c>
      <c r="F189" s="8" t="s">
        <v>35</v>
      </c>
      <c r="G189" s="8" t="s">
        <v>35</v>
      </c>
      <c r="H189" t="str">
        <f t="shared" si="2"/>
        <v>YES</v>
      </c>
    </row>
    <row r="190" spans="1:8" x14ac:dyDescent="0.2">
      <c r="A190" s="6" t="s">
        <v>2207</v>
      </c>
      <c r="B190" s="7">
        <v>15</v>
      </c>
      <c r="C190" s="7">
        <v>0</v>
      </c>
      <c r="D190" s="7">
        <v>0</v>
      </c>
      <c r="E190" s="7">
        <v>0</v>
      </c>
      <c r="F190" s="8" t="s">
        <v>35</v>
      </c>
      <c r="G190" s="8" t="s">
        <v>35</v>
      </c>
      <c r="H190" t="str">
        <f t="shared" si="2"/>
        <v>YES</v>
      </c>
    </row>
    <row r="191" spans="1:8" x14ac:dyDescent="0.2">
      <c r="A191" s="6" t="s">
        <v>2208</v>
      </c>
      <c r="B191" s="7">
        <v>16</v>
      </c>
      <c r="C191" s="7">
        <v>0</v>
      </c>
      <c r="D191" s="7">
        <v>0</v>
      </c>
      <c r="E191" s="7">
        <v>0</v>
      </c>
      <c r="F191" s="8" t="s">
        <v>35</v>
      </c>
      <c r="G191" s="8" t="s">
        <v>35</v>
      </c>
      <c r="H191" t="str">
        <f t="shared" si="2"/>
        <v>YES</v>
      </c>
    </row>
    <row r="192" spans="1:8" x14ac:dyDescent="0.2">
      <c r="A192" s="6" t="s">
        <v>2209</v>
      </c>
      <c r="B192" s="7">
        <v>17</v>
      </c>
      <c r="C192" s="7">
        <v>0</v>
      </c>
      <c r="D192" s="7">
        <v>0</v>
      </c>
      <c r="E192" s="7">
        <v>0</v>
      </c>
      <c r="F192" s="8" t="s">
        <v>35</v>
      </c>
      <c r="G192" s="8" t="s">
        <v>35</v>
      </c>
      <c r="H192" t="str">
        <f t="shared" si="2"/>
        <v>YES</v>
      </c>
    </row>
    <row r="193" spans="1:8" x14ac:dyDescent="0.2">
      <c r="A193" s="6" t="s">
        <v>2210</v>
      </c>
      <c r="B193" s="7">
        <v>17</v>
      </c>
      <c r="C193" s="7">
        <v>0</v>
      </c>
      <c r="D193" s="7">
        <v>0</v>
      </c>
      <c r="E193" s="7">
        <v>0</v>
      </c>
      <c r="F193" s="8" t="s">
        <v>35</v>
      </c>
      <c r="G193" s="8" t="s">
        <v>35</v>
      </c>
      <c r="H193" t="str">
        <f t="shared" si="2"/>
        <v>YES</v>
      </c>
    </row>
    <row r="194" spans="1:8" x14ac:dyDescent="0.2">
      <c r="A194" s="6" t="s">
        <v>2211</v>
      </c>
      <c r="B194" s="7">
        <v>18</v>
      </c>
      <c r="C194" s="7">
        <v>0</v>
      </c>
      <c r="D194" s="7">
        <v>0</v>
      </c>
      <c r="E194" s="7">
        <v>0</v>
      </c>
      <c r="F194" s="8" t="s">
        <v>35</v>
      </c>
      <c r="G194" s="8" t="s">
        <v>35</v>
      </c>
      <c r="H194" t="str">
        <f t="shared" si="2"/>
        <v>YES</v>
      </c>
    </row>
    <row r="195" spans="1:8" x14ac:dyDescent="0.2">
      <c r="A195" s="6" t="s">
        <v>2212</v>
      </c>
      <c r="B195" s="7">
        <v>18</v>
      </c>
      <c r="C195" s="7">
        <v>0</v>
      </c>
      <c r="D195" s="7">
        <v>0</v>
      </c>
      <c r="E195" s="7">
        <v>0</v>
      </c>
      <c r="F195" s="8" t="s">
        <v>35</v>
      </c>
      <c r="G195" s="8" t="s">
        <v>35</v>
      </c>
      <c r="H195" t="str">
        <f t="shared" si="2"/>
        <v>YES</v>
      </c>
    </row>
    <row r="196" spans="1:8" x14ac:dyDescent="0.2">
      <c r="A196" s="6" t="s">
        <v>2213</v>
      </c>
      <c r="B196" s="7">
        <v>18</v>
      </c>
      <c r="C196" s="7">
        <v>0</v>
      </c>
      <c r="D196" s="7">
        <v>0</v>
      </c>
      <c r="E196" s="7">
        <v>0</v>
      </c>
      <c r="F196" s="8" t="s">
        <v>35</v>
      </c>
      <c r="G196" s="8" t="s">
        <v>35</v>
      </c>
      <c r="H196" t="str">
        <f t="shared" si="2"/>
        <v>YES</v>
      </c>
    </row>
    <row r="197" spans="1:8" x14ac:dyDescent="0.2">
      <c r="A197" s="6" t="s">
        <v>2214</v>
      </c>
      <c r="B197" s="7">
        <v>19</v>
      </c>
      <c r="C197" s="7">
        <v>0</v>
      </c>
      <c r="D197" s="7">
        <v>0</v>
      </c>
      <c r="E197" s="7">
        <v>0</v>
      </c>
      <c r="F197" s="8" t="s">
        <v>35</v>
      </c>
      <c r="G197" s="8" t="s">
        <v>35</v>
      </c>
      <c r="H197" t="str">
        <f t="shared" ref="H197:H260" si="3">IF(F197=G197,"YES","NO")</f>
        <v>YES</v>
      </c>
    </row>
    <row r="198" spans="1:8" x14ac:dyDescent="0.2">
      <c r="A198" s="6" t="s">
        <v>2215</v>
      </c>
      <c r="B198" s="7">
        <v>20</v>
      </c>
      <c r="C198" s="7">
        <v>0</v>
      </c>
      <c r="D198" s="7">
        <v>0</v>
      </c>
      <c r="E198" s="7">
        <v>0</v>
      </c>
      <c r="F198" s="8" t="s">
        <v>35</v>
      </c>
      <c r="G198" s="8" t="s">
        <v>35</v>
      </c>
      <c r="H198" t="str">
        <f t="shared" si="3"/>
        <v>YES</v>
      </c>
    </row>
    <row r="199" spans="1:8" x14ac:dyDescent="0.2">
      <c r="A199" s="6" t="s">
        <v>2216</v>
      </c>
      <c r="B199" s="7">
        <v>20</v>
      </c>
      <c r="C199" s="7">
        <v>0</v>
      </c>
      <c r="D199" s="7">
        <v>0</v>
      </c>
      <c r="E199" s="7">
        <v>0</v>
      </c>
      <c r="F199" s="8" t="s">
        <v>35</v>
      </c>
      <c r="G199" s="8" t="s">
        <v>35</v>
      </c>
      <c r="H199" t="str">
        <f t="shared" si="3"/>
        <v>YES</v>
      </c>
    </row>
    <row r="200" spans="1:8" x14ac:dyDescent="0.2">
      <c r="A200" s="6" t="s">
        <v>2217</v>
      </c>
      <c r="B200" s="7">
        <v>21</v>
      </c>
      <c r="C200" s="7">
        <v>0</v>
      </c>
      <c r="D200" s="7">
        <v>0</v>
      </c>
      <c r="E200" s="7">
        <v>0</v>
      </c>
      <c r="F200" s="8" t="s">
        <v>35</v>
      </c>
      <c r="G200" s="8" t="s">
        <v>35</v>
      </c>
      <c r="H200" t="str">
        <f t="shared" si="3"/>
        <v>YES</v>
      </c>
    </row>
    <row r="201" spans="1:8" x14ac:dyDescent="0.2">
      <c r="A201" s="6" t="s">
        <v>2218</v>
      </c>
      <c r="B201" s="7">
        <v>21</v>
      </c>
      <c r="C201" s="7">
        <v>0</v>
      </c>
      <c r="D201" s="7">
        <v>0</v>
      </c>
      <c r="E201" s="7">
        <v>0</v>
      </c>
      <c r="F201" s="8" t="s">
        <v>35</v>
      </c>
      <c r="G201" s="8" t="s">
        <v>35</v>
      </c>
      <c r="H201" t="str">
        <f t="shared" si="3"/>
        <v>YES</v>
      </c>
    </row>
    <row r="202" spans="1:8" x14ac:dyDescent="0.2">
      <c r="A202" s="6" t="s">
        <v>2219</v>
      </c>
      <c r="B202" s="7">
        <v>23</v>
      </c>
      <c r="C202" s="7">
        <v>0</v>
      </c>
      <c r="D202" s="7">
        <v>0</v>
      </c>
      <c r="E202" s="7">
        <v>0</v>
      </c>
      <c r="F202" s="8" t="s">
        <v>35</v>
      </c>
      <c r="G202" s="8" t="s">
        <v>35</v>
      </c>
      <c r="H202" t="str">
        <f t="shared" si="3"/>
        <v>YES</v>
      </c>
    </row>
    <row r="203" spans="1:8" x14ac:dyDescent="0.2">
      <c r="A203" s="6" t="s">
        <v>2220</v>
      </c>
      <c r="B203" s="7">
        <v>24</v>
      </c>
      <c r="C203" s="7">
        <v>0</v>
      </c>
      <c r="D203" s="7">
        <v>0</v>
      </c>
      <c r="E203" s="7">
        <v>0</v>
      </c>
      <c r="F203" s="8" t="s">
        <v>35</v>
      </c>
      <c r="G203" s="8" t="s">
        <v>35</v>
      </c>
      <c r="H203" t="str">
        <f t="shared" si="3"/>
        <v>YES</v>
      </c>
    </row>
    <row r="204" spans="1:8" x14ac:dyDescent="0.2">
      <c r="A204" s="6" t="s">
        <v>2221</v>
      </c>
      <c r="B204" s="7">
        <v>24</v>
      </c>
      <c r="C204" s="7">
        <v>0</v>
      </c>
      <c r="D204" s="7">
        <v>0</v>
      </c>
      <c r="E204" s="7">
        <v>0</v>
      </c>
      <c r="F204" s="8" t="s">
        <v>35</v>
      </c>
      <c r="G204" s="8" t="s">
        <v>35</v>
      </c>
      <c r="H204" t="str">
        <f t="shared" si="3"/>
        <v>YES</v>
      </c>
    </row>
    <row r="205" spans="1:8" x14ac:dyDescent="0.2">
      <c r="A205" s="6" t="s">
        <v>2222</v>
      </c>
      <c r="B205" s="7">
        <v>26</v>
      </c>
      <c r="C205" s="7">
        <v>0</v>
      </c>
      <c r="D205" s="7">
        <v>0</v>
      </c>
      <c r="E205" s="7">
        <v>0</v>
      </c>
      <c r="F205" s="8" t="s">
        <v>35</v>
      </c>
      <c r="G205" s="8" t="s">
        <v>35</v>
      </c>
      <c r="H205" t="str">
        <f t="shared" si="3"/>
        <v>YES</v>
      </c>
    </row>
    <row r="206" spans="1:8" x14ac:dyDescent="0.2">
      <c r="A206" s="6" t="s">
        <v>2223</v>
      </c>
      <c r="B206" s="7">
        <v>28</v>
      </c>
      <c r="C206" s="7">
        <v>0</v>
      </c>
      <c r="D206" s="7">
        <v>0</v>
      </c>
      <c r="E206" s="7">
        <v>0</v>
      </c>
      <c r="F206" s="8" t="s">
        <v>35</v>
      </c>
      <c r="G206" s="8" t="s">
        <v>35</v>
      </c>
      <c r="H206" t="str">
        <f t="shared" si="3"/>
        <v>YES</v>
      </c>
    </row>
    <row r="207" spans="1:8" x14ac:dyDescent="0.2">
      <c r="A207" s="6" t="s">
        <v>2224</v>
      </c>
      <c r="B207" s="7">
        <v>29</v>
      </c>
      <c r="C207" s="7">
        <v>0</v>
      </c>
      <c r="D207" s="7">
        <v>0</v>
      </c>
      <c r="E207" s="7">
        <v>0</v>
      </c>
      <c r="F207" s="8" t="s">
        <v>35</v>
      </c>
      <c r="G207" s="8" t="s">
        <v>35</v>
      </c>
      <c r="H207" t="str">
        <f t="shared" si="3"/>
        <v>YES</v>
      </c>
    </row>
    <row r="208" spans="1:8" x14ac:dyDescent="0.2">
      <c r="A208" s="6" t="s">
        <v>2225</v>
      </c>
      <c r="B208" s="7">
        <v>30</v>
      </c>
      <c r="C208" s="7">
        <v>0</v>
      </c>
      <c r="D208" s="7">
        <v>0</v>
      </c>
      <c r="E208" s="7">
        <v>0</v>
      </c>
      <c r="F208" s="8" t="s">
        <v>35</v>
      </c>
      <c r="G208" s="8" t="s">
        <v>35</v>
      </c>
      <c r="H208" t="str">
        <f t="shared" si="3"/>
        <v>YES</v>
      </c>
    </row>
    <row r="209" spans="1:8" x14ac:dyDescent="0.2">
      <c r="A209" s="6" t="s">
        <v>2226</v>
      </c>
      <c r="B209" s="7">
        <v>31</v>
      </c>
      <c r="C209" s="7">
        <v>0</v>
      </c>
      <c r="D209" s="7">
        <v>0</v>
      </c>
      <c r="E209" s="7">
        <v>0</v>
      </c>
      <c r="F209" s="8" t="s">
        <v>35</v>
      </c>
      <c r="G209" s="8" t="s">
        <v>35</v>
      </c>
      <c r="H209" t="str">
        <f t="shared" si="3"/>
        <v>YES</v>
      </c>
    </row>
    <row r="210" spans="1:8" x14ac:dyDescent="0.2">
      <c r="A210" s="6" t="s">
        <v>2227</v>
      </c>
      <c r="B210" s="7">
        <v>37</v>
      </c>
      <c r="C210" s="7">
        <v>0</v>
      </c>
      <c r="D210" s="7">
        <v>0</v>
      </c>
      <c r="E210" s="7">
        <v>0</v>
      </c>
      <c r="F210" s="8" t="s">
        <v>35</v>
      </c>
      <c r="G210" s="8" t="s">
        <v>35</v>
      </c>
      <c r="H210" t="str">
        <f t="shared" si="3"/>
        <v>YES</v>
      </c>
    </row>
    <row r="211" spans="1:8" x14ac:dyDescent="0.2">
      <c r="A211" s="6" t="s">
        <v>2228</v>
      </c>
      <c r="B211" s="7">
        <v>38</v>
      </c>
      <c r="C211" s="7">
        <v>0</v>
      </c>
      <c r="D211" s="7">
        <v>0</v>
      </c>
      <c r="E211" s="7">
        <v>0</v>
      </c>
      <c r="F211" s="8" t="s">
        <v>35</v>
      </c>
      <c r="G211" s="8" t="s">
        <v>35</v>
      </c>
      <c r="H211" t="str">
        <f t="shared" si="3"/>
        <v>YES</v>
      </c>
    </row>
    <row r="212" spans="1:8" x14ac:dyDescent="0.2">
      <c r="A212" s="6" t="s">
        <v>2229</v>
      </c>
      <c r="B212" s="7">
        <v>41</v>
      </c>
      <c r="C212" s="7">
        <v>0</v>
      </c>
      <c r="D212" s="7">
        <v>0</v>
      </c>
      <c r="E212" s="7">
        <v>0</v>
      </c>
      <c r="F212" s="8" t="s">
        <v>35</v>
      </c>
      <c r="G212" s="8" t="s">
        <v>35</v>
      </c>
      <c r="H212" t="str">
        <f t="shared" si="3"/>
        <v>YES</v>
      </c>
    </row>
    <row r="213" spans="1:8" x14ac:dyDescent="0.2">
      <c r="A213" s="6" t="s">
        <v>2230</v>
      </c>
      <c r="B213" s="7">
        <v>42</v>
      </c>
      <c r="C213" s="7">
        <v>0</v>
      </c>
      <c r="D213" s="7">
        <v>0</v>
      </c>
      <c r="E213" s="7">
        <v>0</v>
      </c>
      <c r="F213" s="8" t="s">
        <v>35</v>
      </c>
      <c r="G213" s="8" t="s">
        <v>35</v>
      </c>
      <c r="H213" t="str">
        <f t="shared" si="3"/>
        <v>YES</v>
      </c>
    </row>
    <row r="214" spans="1:8" x14ac:dyDescent="0.2">
      <c r="A214" s="6" t="s">
        <v>2231</v>
      </c>
      <c r="B214" s="7">
        <v>46</v>
      </c>
      <c r="C214" s="7">
        <v>0</v>
      </c>
      <c r="D214" s="7">
        <v>0</v>
      </c>
      <c r="E214" s="7">
        <v>0</v>
      </c>
      <c r="F214" s="8" t="s">
        <v>35</v>
      </c>
      <c r="G214" s="8" t="s">
        <v>35</v>
      </c>
      <c r="H214" t="str">
        <f t="shared" si="3"/>
        <v>YES</v>
      </c>
    </row>
    <row r="215" spans="1:8" x14ac:dyDescent="0.2">
      <c r="A215" s="6" t="s">
        <v>2232</v>
      </c>
      <c r="B215" s="7">
        <v>46</v>
      </c>
      <c r="C215" s="7">
        <v>0</v>
      </c>
      <c r="D215" s="7">
        <v>0</v>
      </c>
      <c r="E215" s="7">
        <v>0</v>
      </c>
      <c r="F215" s="8" t="s">
        <v>35</v>
      </c>
      <c r="G215" s="8" t="s">
        <v>35</v>
      </c>
      <c r="H215" t="str">
        <f t="shared" si="3"/>
        <v>YES</v>
      </c>
    </row>
    <row r="216" spans="1:8" x14ac:dyDescent="0.2">
      <c r="A216" s="6" t="s">
        <v>2233</v>
      </c>
      <c r="B216" s="7">
        <v>50</v>
      </c>
      <c r="C216" s="7">
        <v>0</v>
      </c>
      <c r="D216" s="7">
        <v>0</v>
      </c>
      <c r="E216" s="7">
        <v>0</v>
      </c>
      <c r="F216" s="8" t="s">
        <v>35</v>
      </c>
      <c r="G216" s="8" t="s">
        <v>35</v>
      </c>
      <c r="H216" t="str">
        <f t="shared" si="3"/>
        <v>YES</v>
      </c>
    </row>
    <row r="217" spans="1:8" x14ac:dyDescent="0.2">
      <c r="A217" s="6" t="s">
        <v>2234</v>
      </c>
      <c r="B217" s="7">
        <v>51</v>
      </c>
      <c r="C217" s="7">
        <v>0</v>
      </c>
      <c r="D217" s="7">
        <v>0</v>
      </c>
      <c r="E217" s="7">
        <v>0</v>
      </c>
      <c r="F217" s="8" t="s">
        <v>35</v>
      </c>
      <c r="G217" s="8" t="s">
        <v>35</v>
      </c>
      <c r="H217" t="str">
        <f t="shared" si="3"/>
        <v>YES</v>
      </c>
    </row>
    <row r="218" spans="1:8" x14ac:dyDescent="0.2">
      <c r="A218" s="6" t="s">
        <v>2235</v>
      </c>
      <c r="B218" s="7">
        <v>52</v>
      </c>
      <c r="C218" s="7">
        <v>0</v>
      </c>
      <c r="D218" s="7">
        <v>0</v>
      </c>
      <c r="E218" s="7">
        <v>0</v>
      </c>
      <c r="F218" s="8" t="s">
        <v>35</v>
      </c>
      <c r="G218" s="8" t="s">
        <v>35</v>
      </c>
      <c r="H218" t="str">
        <f t="shared" si="3"/>
        <v>YES</v>
      </c>
    </row>
    <row r="219" spans="1:8" x14ac:dyDescent="0.2">
      <c r="A219" s="6" t="s">
        <v>2236</v>
      </c>
      <c r="B219" s="7">
        <v>64</v>
      </c>
      <c r="C219" s="7">
        <v>0</v>
      </c>
      <c r="D219" s="7">
        <v>0</v>
      </c>
      <c r="E219" s="7">
        <v>0</v>
      </c>
      <c r="F219" s="8" t="s">
        <v>35</v>
      </c>
      <c r="G219" s="8" t="s">
        <v>35</v>
      </c>
      <c r="H219" t="str">
        <f t="shared" si="3"/>
        <v>YES</v>
      </c>
    </row>
    <row r="220" spans="1:8" x14ac:dyDescent="0.2">
      <c r="A220" s="6" t="s">
        <v>2237</v>
      </c>
      <c r="B220" s="7">
        <v>64</v>
      </c>
      <c r="C220" s="7">
        <v>0</v>
      </c>
      <c r="D220" s="7">
        <v>0</v>
      </c>
      <c r="E220" s="7">
        <v>0</v>
      </c>
      <c r="F220" s="8" t="s">
        <v>35</v>
      </c>
      <c r="G220" s="8" t="s">
        <v>35</v>
      </c>
      <c r="H220" t="str">
        <f t="shared" si="3"/>
        <v>YES</v>
      </c>
    </row>
    <row r="221" spans="1:8" x14ac:dyDescent="0.2">
      <c r="A221" s="6" t="s">
        <v>2238</v>
      </c>
      <c r="B221" s="7">
        <v>72</v>
      </c>
      <c r="C221" s="7">
        <v>0</v>
      </c>
      <c r="D221" s="7">
        <v>0</v>
      </c>
      <c r="E221" s="7">
        <v>0</v>
      </c>
      <c r="F221" s="8" t="s">
        <v>35</v>
      </c>
      <c r="G221" s="8" t="s">
        <v>35</v>
      </c>
      <c r="H221" t="str">
        <f t="shared" si="3"/>
        <v>YES</v>
      </c>
    </row>
    <row r="222" spans="1:8" x14ac:dyDescent="0.2">
      <c r="A222" s="6" t="s">
        <v>2239</v>
      </c>
      <c r="B222" s="7">
        <v>84</v>
      </c>
      <c r="C222" s="7">
        <v>0</v>
      </c>
      <c r="D222" s="7">
        <v>0</v>
      </c>
      <c r="E222" s="7">
        <v>0</v>
      </c>
      <c r="F222" s="8" t="s">
        <v>35</v>
      </c>
      <c r="G222" s="8" t="s">
        <v>35</v>
      </c>
      <c r="H222" t="str">
        <f t="shared" si="3"/>
        <v>YES</v>
      </c>
    </row>
    <row r="223" spans="1:8" x14ac:dyDescent="0.2">
      <c r="A223" s="6" t="s">
        <v>2240</v>
      </c>
      <c r="B223" s="7">
        <v>102</v>
      </c>
      <c r="C223" s="7">
        <v>0</v>
      </c>
      <c r="D223" s="7">
        <v>0</v>
      </c>
      <c r="E223" s="7">
        <v>0</v>
      </c>
      <c r="F223" s="8" t="s">
        <v>35</v>
      </c>
      <c r="G223" s="8" t="s">
        <v>35</v>
      </c>
      <c r="H223" t="str">
        <f t="shared" si="3"/>
        <v>YES</v>
      </c>
    </row>
    <row r="224" spans="1:8" x14ac:dyDescent="0.2">
      <c r="A224" s="6" t="s">
        <v>2241</v>
      </c>
      <c r="B224" s="7">
        <v>103</v>
      </c>
      <c r="C224" s="7">
        <v>0</v>
      </c>
      <c r="D224" s="7">
        <v>0</v>
      </c>
      <c r="E224" s="7">
        <v>0</v>
      </c>
      <c r="F224" s="8" t="s">
        <v>35</v>
      </c>
      <c r="G224" s="8" t="s">
        <v>35</v>
      </c>
      <c r="H224" t="str">
        <f t="shared" si="3"/>
        <v>YES</v>
      </c>
    </row>
    <row r="225" spans="1:8" x14ac:dyDescent="0.2">
      <c r="A225" s="6" t="s">
        <v>2242</v>
      </c>
      <c r="B225" s="7">
        <v>114</v>
      </c>
      <c r="C225" s="7">
        <v>0</v>
      </c>
      <c r="D225" s="7">
        <v>0</v>
      </c>
      <c r="E225" s="7">
        <v>0</v>
      </c>
      <c r="F225" s="8" t="s">
        <v>35</v>
      </c>
      <c r="G225" s="8" t="s">
        <v>35</v>
      </c>
      <c r="H225" t="str">
        <f t="shared" si="3"/>
        <v>YES</v>
      </c>
    </row>
    <row r="226" spans="1:8" x14ac:dyDescent="0.2">
      <c r="A226" s="6" t="s">
        <v>2243</v>
      </c>
      <c r="B226" s="7">
        <v>149</v>
      </c>
      <c r="C226" s="7">
        <v>0</v>
      </c>
      <c r="D226" s="7">
        <v>0</v>
      </c>
      <c r="E226" s="7">
        <v>0</v>
      </c>
      <c r="F226" s="8" t="s">
        <v>35</v>
      </c>
      <c r="G226" s="8" t="s">
        <v>35</v>
      </c>
      <c r="H226" t="str">
        <f t="shared" si="3"/>
        <v>YES</v>
      </c>
    </row>
    <row r="227" spans="1:8" x14ac:dyDescent="0.2">
      <c r="A227" s="6" t="s">
        <v>2244</v>
      </c>
      <c r="B227" s="7">
        <v>158</v>
      </c>
      <c r="C227" s="7">
        <v>0</v>
      </c>
      <c r="D227" s="7">
        <v>0</v>
      </c>
      <c r="E227" s="7">
        <v>0</v>
      </c>
      <c r="F227" s="8" t="s">
        <v>35</v>
      </c>
      <c r="G227" s="8" t="s">
        <v>35</v>
      </c>
      <c r="H227" t="str">
        <f t="shared" si="3"/>
        <v>YES</v>
      </c>
    </row>
    <row r="228" spans="1:8" x14ac:dyDescent="0.2">
      <c r="A228" s="6" t="s">
        <v>2245</v>
      </c>
      <c r="B228" s="7">
        <v>583</v>
      </c>
      <c r="C228" s="7">
        <v>0</v>
      </c>
      <c r="D228" s="7">
        <v>0</v>
      </c>
      <c r="E228" s="7">
        <v>0</v>
      </c>
      <c r="F228" s="8" t="s">
        <v>35</v>
      </c>
      <c r="G228" s="8" t="s">
        <v>35</v>
      </c>
      <c r="H228" t="str">
        <f t="shared" si="3"/>
        <v>YES</v>
      </c>
    </row>
    <row r="229" spans="1:8" x14ac:dyDescent="0.2">
      <c r="A229" s="6" t="s">
        <v>2246</v>
      </c>
      <c r="B229" s="7">
        <v>768</v>
      </c>
      <c r="C229" s="7">
        <v>0</v>
      </c>
      <c r="D229" s="7">
        <v>0</v>
      </c>
      <c r="E229" s="7">
        <v>0</v>
      </c>
      <c r="F229" s="8" t="s">
        <v>35</v>
      </c>
      <c r="G229" s="8" t="s">
        <v>35</v>
      </c>
      <c r="H229" t="str">
        <f t="shared" si="3"/>
        <v>YES</v>
      </c>
    </row>
  </sheetData>
  <dataValidations count="1">
    <dataValidation type="list"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xr:uid="{00000000-0002-0000-0400-000000000000}">
      <formula1>"High,Medium,Low"</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8"/>
  <sheetViews>
    <sheetView workbookViewId="0"/>
  </sheetViews>
  <sheetFormatPr baseColWidth="10" defaultColWidth="8.83203125" defaultRowHeight="15" x14ac:dyDescent="0.2"/>
  <cols>
    <col min="1" max="1" width="34" customWidth="1"/>
    <col min="2" max="2" width="16" customWidth="1"/>
    <col min="3" max="5" width="12" customWidth="1"/>
  </cols>
  <sheetData>
    <row r="1" spans="1:5" ht="17" x14ac:dyDescent="0.2">
      <c r="A1" s="3" t="s">
        <v>2247</v>
      </c>
    </row>
    <row r="3" spans="1:5" x14ac:dyDescent="0.2">
      <c r="A3" s="9" t="s">
        <v>2010</v>
      </c>
      <c r="B3">
        <f>COUNTA(Dealers!$F$5:$F$229)</f>
        <v>225</v>
      </c>
    </row>
    <row r="4" spans="1:5" x14ac:dyDescent="0.2">
      <c r="A4" s="9" t="s">
        <v>2011</v>
      </c>
      <c r="B4">
        <f>SUMPRODUCT(--(Dealers!$F$5:$F$229=Dealers!$G$5:$G$229))</f>
        <v>208</v>
      </c>
    </row>
    <row r="5" spans="1:5" x14ac:dyDescent="0.2">
      <c r="A5" s="9" t="s">
        <v>2012</v>
      </c>
      <c r="B5" s="10">
        <f>B4/B3</f>
        <v>0.9244444444444444</v>
      </c>
    </row>
    <row r="7" spans="1:5" x14ac:dyDescent="0.2">
      <c r="A7" s="9" t="s">
        <v>2013</v>
      </c>
    </row>
    <row r="8" spans="1:5" x14ac:dyDescent="0.2">
      <c r="B8" s="11" t="s">
        <v>17</v>
      </c>
      <c r="C8" s="11" t="s">
        <v>94</v>
      </c>
      <c r="D8" s="11" t="s">
        <v>35</v>
      </c>
    </row>
    <row r="9" spans="1:5" x14ac:dyDescent="0.2">
      <c r="A9" s="11" t="s">
        <v>17</v>
      </c>
      <c r="B9" s="12">
        <f>SUMPRODUCT(--(Dealers!$F$5:$F$229="High"),--(Dealers!$G$5:$G$229="High"))</f>
        <v>28</v>
      </c>
      <c r="C9" s="12">
        <f>SUMPRODUCT(--(Dealers!$F$5:$F$229="High"),--(Dealers!$G$5:$G$229="Medium"))</f>
        <v>1</v>
      </c>
      <c r="D9" s="12">
        <f>SUMPRODUCT(--(Dealers!$F$5:$F$229="High"),--(Dealers!$G$5:$G$229="Low"))</f>
        <v>7</v>
      </c>
      <c r="E9">
        <f>SUM(B9:D9)</f>
        <v>36</v>
      </c>
    </row>
    <row r="10" spans="1:5" x14ac:dyDescent="0.2">
      <c r="A10" s="11" t="s">
        <v>94</v>
      </c>
      <c r="B10" s="12">
        <f>SUMPRODUCT(--(Dealers!$F$5:$F$229="Medium"),--(Dealers!$G$5:$G$229="High"))</f>
        <v>0</v>
      </c>
      <c r="C10" s="12">
        <f>SUMPRODUCT(--(Dealers!$F$5:$F$229="Medium"),--(Dealers!$G$5:$G$229="Medium"))</f>
        <v>0</v>
      </c>
      <c r="D10" s="12">
        <f>SUMPRODUCT(--(Dealers!$F$5:$F$229="Medium"),--(Dealers!$G$5:$G$229="Low"))</f>
        <v>0</v>
      </c>
      <c r="E10">
        <f>SUM(B10:D10)</f>
        <v>0</v>
      </c>
    </row>
    <row r="11" spans="1:5" x14ac:dyDescent="0.2">
      <c r="A11" s="11" t="s">
        <v>35</v>
      </c>
      <c r="B11" s="12">
        <f>SUMPRODUCT(--(Dealers!$F$5:$F$229="Low"),--(Dealers!$G$5:$G$229="High"))</f>
        <v>8</v>
      </c>
      <c r="C11" s="12">
        <f>SUMPRODUCT(--(Dealers!$F$5:$F$229="Low"),--(Dealers!$G$5:$G$229="Medium"))</f>
        <v>1</v>
      </c>
      <c r="D11" s="12">
        <f>SUMPRODUCT(--(Dealers!$F$5:$F$229="Low"),--(Dealers!$G$5:$G$229="Low"))</f>
        <v>180</v>
      </c>
      <c r="E11">
        <f>SUM(B11:D11)</f>
        <v>189</v>
      </c>
    </row>
    <row r="12" spans="1:5" x14ac:dyDescent="0.2">
      <c r="B12">
        <f>SUM(B9:B11)</f>
        <v>36</v>
      </c>
      <c r="C12">
        <f>SUM(C9:C11)</f>
        <v>2</v>
      </c>
      <c r="D12">
        <f>SUM(D9:D11)</f>
        <v>187</v>
      </c>
    </row>
    <row r="14" spans="1:5" x14ac:dyDescent="0.2">
      <c r="A14" s="9" t="s">
        <v>2014</v>
      </c>
    </row>
    <row r="15" spans="1:5" x14ac:dyDescent="0.2">
      <c r="A15" s="9" t="s">
        <v>2015</v>
      </c>
      <c r="B15">
        <f>B5</f>
        <v>0.9244444444444444</v>
      </c>
    </row>
    <row r="16" spans="1:5" x14ac:dyDescent="0.2">
      <c r="A16" s="9" t="s">
        <v>2016</v>
      </c>
      <c r="B16">
        <f>(E9*B12+E10*C12+E11*D12)/(B3*B3)</f>
        <v>0.72373333333333334</v>
      </c>
    </row>
    <row r="17" spans="1:2" ht="16" x14ac:dyDescent="0.2">
      <c r="A17" s="9" t="s">
        <v>2017</v>
      </c>
      <c r="B17" s="13">
        <f>(B15-B16)/(1-B16)</f>
        <v>0.72651222651222636</v>
      </c>
    </row>
    <row r="18" spans="1:2" x14ac:dyDescent="0.2">
      <c r="A18" s="9" t="s">
        <v>2018</v>
      </c>
      <c r="B18" t="str">
        <f>IF(B17&lt;0,"worse than chance",IF(B17&lt;=0.2,"slight",IF(B17&lt;=0.4,"fair",IF(B17&lt;=0.6,"moderate",IF(B17&lt;=0.8,"substantial","almost perfect")))))</f>
        <v>substantial</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0"/>
  <sheetViews>
    <sheetView workbookViewId="0">
      <pane ySplit="3" topLeftCell="A4" activePane="bottomLeft" state="frozen"/>
      <selection pane="bottomLeft"/>
    </sheetView>
  </sheetViews>
  <sheetFormatPr baseColWidth="10" defaultColWidth="8.83203125" defaultRowHeight="15" x14ac:dyDescent="0.2"/>
  <cols>
    <col min="1" max="1" width="22" customWidth="1"/>
    <col min="2" max="7" width="12" customWidth="1"/>
  </cols>
  <sheetData>
    <row r="1" spans="1:7" ht="17" x14ac:dyDescent="0.2">
      <c r="A1" s="14" t="s">
        <v>2248</v>
      </c>
    </row>
    <row r="3" spans="1:7" x14ac:dyDescent="0.2">
      <c r="A3" s="5" t="s">
        <v>2021</v>
      </c>
      <c r="B3" s="5" t="s">
        <v>9</v>
      </c>
      <c r="C3" s="5" t="s">
        <v>10</v>
      </c>
      <c r="D3" s="5" t="s">
        <v>11</v>
      </c>
      <c r="E3" s="5" t="s">
        <v>12</v>
      </c>
      <c r="F3" s="5" t="s">
        <v>13</v>
      </c>
      <c r="G3" s="5" t="s">
        <v>14</v>
      </c>
    </row>
    <row r="4" spans="1:7" x14ac:dyDescent="0.2">
      <c r="A4" s="6" t="s">
        <v>2023</v>
      </c>
      <c r="B4" s="7">
        <v>7</v>
      </c>
      <c r="C4" s="7">
        <v>5</v>
      </c>
      <c r="D4" s="7">
        <v>0.71430000000000005</v>
      </c>
      <c r="E4" s="7">
        <v>0.3589</v>
      </c>
      <c r="F4" s="7" t="s">
        <v>17</v>
      </c>
      <c r="G4" s="7" t="s">
        <v>35</v>
      </c>
    </row>
    <row r="5" spans="1:7" x14ac:dyDescent="0.2">
      <c r="A5" s="6" t="s">
        <v>2033</v>
      </c>
      <c r="B5" s="7">
        <v>29</v>
      </c>
      <c r="C5" s="7">
        <v>11</v>
      </c>
      <c r="D5" s="7">
        <v>0.37930000000000003</v>
      </c>
      <c r="E5" s="7">
        <v>0.22689999999999999</v>
      </c>
      <c r="F5" s="7" t="s">
        <v>17</v>
      </c>
      <c r="G5" s="7" t="s">
        <v>35</v>
      </c>
    </row>
    <row r="6" spans="1:7" x14ac:dyDescent="0.2">
      <c r="A6" s="6" t="s">
        <v>2052</v>
      </c>
      <c r="B6" s="7">
        <v>595</v>
      </c>
      <c r="C6" s="7">
        <v>90</v>
      </c>
      <c r="D6" s="7">
        <v>0.15129999999999999</v>
      </c>
      <c r="E6" s="7">
        <v>0.12470000000000001</v>
      </c>
      <c r="F6" s="7" t="s">
        <v>17</v>
      </c>
      <c r="G6" s="7" t="s">
        <v>35</v>
      </c>
    </row>
    <row r="7" spans="1:7" x14ac:dyDescent="0.2">
      <c r="A7" s="6" t="s">
        <v>2053</v>
      </c>
      <c r="B7" s="7">
        <v>30</v>
      </c>
      <c r="C7" s="7">
        <v>7</v>
      </c>
      <c r="D7" s="7">
        <v>0.23330000000000001</v>
      </c>
      <c r="E7" s="7">
        <v>0.1179</v>
      </c>
      <c r="F7" s="7" t="s">
        <v>17</v>
      </c>
      <c r="G7" s="7" t="s">
        <v>35</v>
      </c>
    </row>
    <row r="8" spans="1:7" x14ac:dyDescent="0.2">
      <c r="A8" s="6" t="s">
        <v>2054</v>
      </c>
      <c r="B8" s="7">
        <v>5</v>
      </c>
      <c r="C8" s="7">
        <v>2</v>
      </c>
      <c r="D8" s="7">
        <v>0.4</v>
      </c>
      <c r="E8" s="7">
        <v>0.1176</v>
      </c>
      <c r="F8" s="7" t="s">
        <v>17</v>
      </c>
      <c r="G8" s="7" t="s">
        <v>35</v>
      </c>
    </row>
    <row r="9" spans="1:7" x14ac:dyDescent="0.2">
      <c r="A9" s="6" t="s">
        <v>2055</v>
      </c>
      <c r="B9" s="7">
        <v>48</v>
      </c>
      <c r="C9" s="7">
        <v>10</v>
      </c>
      <c r="D9" s="7">
        <v>0.20830000000000001</v>
      </c>
      <c r="E9" s="7">
        <v>0.1173</v>
      </c>
      <c r="F9" s="7" t="s">
        <v>17</v>
      </c>
      <c r="G9" s="7" t="s">
        <v>94</v>
      </c>
    </row>
    <row r="10" spans="1:7" x14ac:dyDescent="0.2">
      <c r="A10" s="6" t="s">
        <v>2056</v>
      </c>
      <c r="B10" s="7">
        <v>68</v>
      </c>
      <c r="C10" s="7">
        <v>13</v>
      </c>
      <c r="D10" s="7">
        <v>0.19120000000000001</v>
      </c>
      <c r="E10" s="7">
        <v>0.1153</v>
      </c>
      <c r="F10" s="7" t="s">
        <v>17</v>
      </c>
      <c r="G10" s="7" t="s">
        <v>35</v>
      </c>
    </row>
    <row r="11" spans="1:7" x14ac:dyDescent="0.2">
      <c r="A11" s="6" t="s">
        <v>2057</v>
      </c>
      <c r="B11" s="7">
        <v>3950</v>
      </c>
      <c r="C11" s="7">
        <v>455</v>
      </c>
      <c r="D11" s="7">
        <v>0.1152</v>
      </c>
      <c r="E11" s="7">
        <v>0.1056</v>
      </c>
      <c r="F11" s="7" t="s">
        <v>17</v>
      </c>
      <c r="G11" s="7" t="s">
        <v>35</v>
      </c>
    </row>
    <row r="12" spans="1:7" x14ac:dyDescent="0.2">
      <c r="A12" s="6" t="s">
        <v>2062</v>
      </c>
      <c r="B12" s="7">
        <v>635</v>
      </c>
      <c r="C12" s="7">
        <v>71</v>
      </c>
      <c r="D12" s="7">
        <v>0.1118</v>
      </c>
      <c r="E12" s="7">
        <v>8.9599999999999999E-2</v>
      </c>
      <c r="F12" s="7" t="s">
        <v>35</v>
      </c>
      <c r="G12" s="7" t="s">
        <v>17</v>
      </c>
    </row>
    <row r="13" spans="1:7" x14ac:dyDescent="0.2">
      <c r="A13" s="6" t="s">
        <v>2065</v>
      </c>
      <c r="B13" s="7">
        <v>7</v>
      </c>
      <c r="C13" s="7">
        <v>2</v>
      </c>
      <c r="D13" s="7">
        <v>0.28570000000000001</v>
      </c>
      <c r="E13" s="7">
        <v>8.2199999999999995E-2</v>
      </c>
      <c r="F13" s="7" t="s">
        <v>35</v>
      </c>
      <c r="G13" s="7" t="s">
        <v>94</v>
      </c>
    </row>
    <row r="14" spans="1:7" x14ac:dyDescent="0.2">
      <c r="A14" s="6" t="s">
        <v>2067</v>
      </c>
      <c r="B14" s="7">
        <v>1055</v>
      </c>
      <c r="C14" s="7">
        <v>100</v>
      </c>
      <c r="D14" s="7">
        <v>9.4799999999999995E-2</v>
      </c>
      <c r="E14" s="7">
        <v>7.8600000000000003E-2</v>
      </c>
      <c r="F14" s="7" t="s">
        <v>35</v>
      </c>
      <c r="G14" s="7" t="s">
        <v>17</v>
      </c>
    </row>
    <row r="15" spans="1:7" x14ac:dyDescent="0.2">
      <c r="A15" s="6" t="s">
        <v>2076</v>
      </c>
      <c r="B15" s="7">
        <v>226</v>
      </c>
      <c r="C15" s="7">
        <v>21</v>
      </c>
      <c r="D15" s="7">
        <v>9.2899999999999996E-2</v>
      </c>
      <c r="E15" s="7">
        <v>6.1600000000000002E-2</v>
      </c>
      <c r="F15" s="7" t="s">
        <v>35</v>
      </c>
      <c r="G15" s="7" t="s">
        <v>17</v>
      </c>
    </row>
    <row r="16" spans="1:7" x14ac:dyDescent="0.2">
      <c r="A16" s="6" t="s">
        <v>2079</v>
      </c>
      <c r="B16" s="7">
        <v>27</v>
      </c>
      <c r="C16" s="7">
        <v>4</v>
      </c>
      <c r="D16" s="7">
        <v>0.14810000000000001</v>
      </c>
      <c r="E16" s="7">
        <v>5.9200000000000003E-2</v>
      </c>
      <c r="F16" s="7" t="s">
        <v>35</v>
      </c>
      <c r="G16" s="7" t="s">
        <v>17</v>
      </c>
    </row>
    <row r="17" spans="1:7" x14ac:dyDescent="0.2">
      <c r="A17" s="6" t="s">
        <v>2080</v>
      </c>
      <c r="B17" s="7">
        <v>212</v>
      </c>
      <c r="C17" s="7">
        <v>19</v>
      </c>
      <c r="D17" s="7">
        <v>8.9599999999999999E-2</v>
      </c>
      <c r="E17" s="7">
        <v>5.8099999999999999E-2</v>
      </c>
      <c r="F17" s="7" t="s">
        <v>35</v>
      </c>
      <c r="G17" s="7" t="s">
        <v>17</v>
      </c>
    </row>
    <row r="18" spans="1:7" x14ac:dyDescent="0.2">
      <c r="A18" s="6" t="s">
        <v>2092</v>
      </c>
      <c r="B18" s="7">
        <v>306</v>
      </c>
      <c r="C18" s="7">
        <v>18</v>
      </c>
      <c r="D18" s="7">
        <v>5.8799999999999998E-2</v>
      </c>
      <c r="E18" s="7">
        <v>3.7499999999999999E-2</v>
      </c>
      <c r="F18" s="7" t="s">
        <v>35</v>
      </c>
      <c r="G18" s="7" t="s">
        <v>17</v>
      </c>
    </row>
    <row r="19" spans="1:7" x14ac:dyDescent="0.2">
      <c r="A19" s="6" t="s">
        <v>2095</v>
      </c>
      <c r="B19" s="7">
        <v>173</v>
      </c>
      <c r="C19" s="7">
        <v>11</v>
      </c>
      <c r="D19" s="7">
        <v>6.3600000000000004E-2</v>
      </c>
      <c r="E19" s="7">
        <v>3.5900000000000001E-2</v>
      </c>
      <c r="F19" s="7" t="s">
        <v>35</v>
      </c>
      <c r="G19" s="7" t="s">
        <v>17</v>
      </c>
    </row>
    <row r="20" spans="1:7" x14ac:dyDescent="0.2">
      <c r="A20" s="6" t="s">
        <v>2157</v>
      </c>
      <c r="B20" s="7">
        <v>461</v>
      </c>
      <c r="C20" s="7">
        <v>0</v>
      </c>
      <c r="D20" s="7">
        <v>0</v>
      </c>
      <c r="E20" s="7">
        <v>0</v>
      </c>
      <c r="F20" s="7" t="s">
        <v>35</v>
      </c>
      <c r="G20" s="7" t="s">
        <v>17</v>
      </c>
    </row>
  </sheetData>
  <autoFilter ref="A3:G20"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Read me</vt:lpstr>
      <vt:lpstr>Claimants</vt:lpstr>
      <vt:lpstr>Summary (Claimants)</vt:lpstr>
      <vt:lpstr>Disagree (Claimants)</vt:lpstr>
      <vt:lpstr>Dealers</vt:lpstr>
      <vt:lpstr>Summary (Dealers)</vt:lpstr>
      <vt:lpstr>Disagree (Dealers)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Lubina Zaidi</cp:lastModifiedBy>
  <dcterms:created xsi:type="dcterms:W3CDTF">2026-09-02T16:10:04Z</dcterms:created>
  <dcterms:modified xsi:type="dcterms:W3CDTF">2026-09-02T17:45:35Z</dcterms:modified>
</cp:coreProperties>
</file>